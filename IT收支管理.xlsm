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I:\众行\00.财务\05.报表管理\12月\"/>
    </mc:Choice>
  </mc:AlternateContent>
  <xr:revisionPtr revIDLastSave="0" documentId="13_ncr:1_{EF34B893-689B-45D7-B4B1-4BB6300E606D}" xr6:coauthVersionLast="46" xr6:coauthVersionMax="46" xr10:uidLastSave="{00000000-0000-0000-0000-000000000000}"/>
  <bookViews>
    <workbookView xWindow="-120" yWindow="-120" windowWidth="29040" windowHeight="15840" firstSheet="3" activeTab="14" xr2:uid="{00000000-000D-0000-FFFF-FFFF00000000}"/>
  </bookViews>
  <sheets>
    <sheet name="报表" sheetId="1" r:id="rId1"/>
    <sheet name="员工信息管理表" sheetId="3" r:id="rId2"/>
    <sheet name="所得税" sheetId="4" r:id="rId3"/>
    <sheet name="厚生年金" sheetId="8" r:id="rId4"/>
    <sheet name="給料明細" sheetId="5" r:id="rId5"/>
    <sheet name="営業賞金管理" sheetId="6" r:id="rId6"/>
    <sheet name="紀恒" sheetId="9" r:id="rId7"/>
    <sheet name="苗真杰" sheetId="18" r:id="rId8"/>
    <sheet name="李学强" sheetId="7" r:id="rId9"/>
    <sheet name="赵远" sheetId="14" r:id="rId10"/>
    <sheet name="马骏" sheetId="11" r:id="rId11"/>
    <sheet name="高明宇" sheetId="10" r:id="rId12"/>
    <sheet name="李婷" sheetId="12" r:id="rId13"/>
    <sheet name="尹嘉辉" sheetId="16" r:id="rId14"/>
    <sheet name="熊高升" sheetId="13" r:id="rId15"/>
    <sheet name="殷汉奇" sheetId="17" r:id="rId16"/>
  </sheets>
  <functionGroups builtInGroupCount="19"/>
  <definedNames>
    <definedName name="_xlnm.Print_Area" localSheetId="4">給料明細!$B$2:$Y$30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7" l="1"/>
  <c r="C17" i="17" s="1"/>
  <c r="P11" i="17"/>
  <c r="P10" i="17"/>
  <c r="AB16" i="17"/>
  <c r="R16" i="11"/>
  <c r="D18" i="11" s="1"/>
  <c r="R16" i="10"/>
  <c r="D18" i="10" s="1"/>
  <c r="D18" i="18"/>
  <c r="R16" i="7"/>
  <c r="D18" i="7" s="1"/>
  <c r="B18" i="7"/>
  <c r="R16" i="17"/>
  <c r="D18" i="17" s="1"/>
  <c r="R16" i="13"/>
  <c r="D18" i="13" s="1"/>
  <c r="R16" i="16"/>
  <c r="D18" i="16" s="1"/>
  <c r="R16" i="12"/>
  <c r="D18" i="12" s="1"/>
  <c r="R16" i="14"/>
  <c r="D18" i="14" s="1"/>
  <c r="R16" i="18"/>
  <c r="R16" i="9"/>
  <c r="D18" i="9" s="1"/>
  <c r="C17" i="18"/>
  <c r="C17" i="14"/>
  <c r="C17" i="13"/>
  <c r="C17" i="16"/>
  <c r="B18" i="13"/>
  <c r="B18" i="16"/>
  <c r="B18" i="12"/>
  <c r="C17" i="12" s="1"/>
  <c r="B18" i="10"/>
  <c r="B18" i="14"/>
  <c r="B18" i="11"/>
  <c r="A20" i="14"/>
  <c r="B18" i="18"/>
  <c r="B18" i="9"/>
  <c r="M12" i="12" l="1"/>
  <c r="M11" i="9"/>
  <c r="M10" i="9"/>
  <c r="P12" i="18" l="1"/>
  <c r="AC12" i="18" s="1"/>
  <c r="P12" i="9"/>
  <c r="R12" i="18"/>
  <c r="AB12" i="18" s="1"/>
  <c r="R12" i="9"/>
  <c r="AB12" i="9" s="1"/>
  <c r="M12" i="9" l="1"/>
  <c r="Q12" i="9"/>
  <c r="Q12" i="18"/>
  <c r="X12" i="9"/>
  <c r="S12" i="9" s="1"/>
  <c r="AC12" i="9"/>
  <c r="X12" i="18"/>
  <c r="S12" i="18" s="1"/>
  <c r="AC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R11" i="17" l="1"/>
  <c r="AB11" i="17" s="1"/>
  <c r="S11" i="17" l="1"/>
  <c r="H11" i="7"/>
  <c r="R10" i="17" l="1"/>
  <c r="S10" i="17" s="1"/>
  <c r="AB10" i="17" l="1"/>
  <c r="R25" i="17"/>
  <c r="AC16" i="9" l="1"/>
  <c r="AC16" i="17"/>
  <c r="AD16" i="16"/>
  <c r="AC16" i="16"/>
  <c r="AC16" i="14"/>
  <c r="AC16" i="13"/>
  <c r="AD16" i="12"/>
  <c r="AC16" i="12"/>
  <c r="AD16" i="11"/>
  <c r="AC16" i="11"/>
  <c r="AD16" i="10"/>
  <c r="AC16" i="10"/>
  <c r="AC16" i="7"/>
  <c r="AD16" i="7" s="1"/>
  <c r="J2" i="6" l="1"/>
  <c r="I2" i="6"/>
  <c r="J3" i="6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15" i="9" l="1"/>
  <c r="A14" i="9"/>
  <c r="A13" i="9"/>
  <c r="A12" i="9"/>
  <c r="A11" i="9"/>
  <c r="A10" i="9"/>
  <c r="A9" i="9"/>
  <c r="A8" i="9"/>
  <c r="A7" i="9"/>
  <c r="A6" i="9"/>
  <c r="A5" i="9"/>
  <c r="A4" i="9"/>
  <c r="A3" i="9"/>
  <c r="J38" i="8" l="1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J5" i="8"/>
  <c r="H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4" i="8"/>
  <c r="A15" i="7" l="1"/>
  <c r="A14" i="7"/>
  <c r="A13" i="7"/>
  <c r="A12" i="7"/>
  <c r="A11" i="7"/>
  <c r="A10" i="7"/>
  <c r="A9" i="7"/>
  <c r="A8" i="7"/>
  <c r="A7" i="7"/>
  <c r="A6" i="7"/>
  <c r="A5" i="7"/>
  <c r="A4" i="7"/>
  <c r="A3" i="7"/>
  <c r="A10" i="6"/>
  <c r="A9" i="6"/>
  <c r="A8" i="6"/>
  <c r="A7" i="6"/>
  <c r="A6" i="6"/>
  <c r="A5" i="6"/>
  <c r="A4" i="6"/>
  <c r="A3" i="6"/>
  <c r="V29" i="5"/>
  <c r="N29" i="5"/>
  <c r="A10" i="3"/>
  <c r="A9" i="3"/>
  <c r="A8" i="3"/>
  <c r="A7" i="3"/>
  <c r="A6" i="3"/>
  <c r="A5" i="3"/>
  <c r="A4" i="3"/>
  <c r="A3" i="3"/>
  <c r="A2" i="3"/>
  <c r="V30" i="5" l="1"/>
</calcChain>
</file>

<file path=xl/sharedStrings.xml><?xml version="1.0" encoding="utf-8"?>
<sst xmlns="http://schemas.openxmlformats.org/spreadsheetml/2006/main" count="834" uniqueCount="242">
  <si>
    <t>番号</t>
    <phoneticPr fontId="4" type="noConversion"/>
  </si>
  <si>
    <t>员工ID</t>
    <phoneticPr fontId="4" type="noConversion"/>
  </si>
  <si>
    <t>姓名</t>
    <phoneticPr fontId="4" type="noConversion"/>
  </si>
  <si>
    <t>区分</t>
    <phoneticPr fontId="4" type="noConversion"/>
  </si>
  <si>
    <t>职务</t>
    <phoneticPr fontId="4" type="noConversion"/>
  </si>
  <si>
    <t>性别</t>
    <phoneticPr fontId="4" type="noConversion"/>
  </si>
  <si>
    <t>联系方式</t>
    <phoneticPr fontId="4" type="noConversion"/>
  </si>
  <si>
    <t>邮箱</t>
    <phoneticPr fontId="4" type="noConversion"/>
  </si>
  <si>
    <t>邮政编码</t>
    <phoneticPr fontId="4" type="noConversion"/>
  </si>
  <si>
    <t>住址</t>
    <phoneticPr fontId="4" type="noConversion"/>
  </si>
  <si>
    <t>駅</t>
    <phoneticPr fontId="4" type="noConversion"/>
  </si>
  <si>
    <t>备考</t>
    <phoneticPr fontId="4" type="noConversion"/>
  </si>
  <si>
    <t>SK0001</t>
    <phoneticPr fontId="4" type="noConversion"/>
  </si>
  <si>
    <t>纪恒</t>
    <phoneticPr fontId="4" type="noConversion"/>
  </si>
  <si>
    <t>创始人</t>
    <phoneticPr fontId="4" type="noConversion"/>
  </si>
  <si>
    <t>男</t>
    <phoneticPr fontId="4" type="noConversion"/>
  </si>
  <si>
    <t>SK0002</t>
    <phoneticPr fontId="4" type="noConversion"/>
  </si>
  <si>
    <t>阮坤琳</t>
    <phoneticPr fontId="4" type="noConversion"/>
  </si>
  <si>
    <t>SK0003</t>
  </si>
  <si>
    <t>李学强</t>
    <phoneticPr fontId="4" type="noConversion"/>
  </si>
  <si>
    <t>080-4409-9520</t>
    <phoneticPr fontId="4" type="noConversion"/>
  </si>
  <si>
    <t>longernking@yahoo.co.jp</t>
    <phoneticPr fontId="4" type="noConversion"/>
  </si>
  <si>
    <t>135-0001</t>
    <phoneticPr fontId="4" type="noConversion"/>
  </si>
  <si>
    <t>東京都江東区毛利２−７−５ 602室</t>
    <phoneticPr fontId="4" type="noConversion"/>
  </si>
  <si>
    <t>錦糸町</t>
    <phoneticPr fontId="4" type="noConversion"/>
  </si>
  <si>
    <t>SK0004</t>
  </si>
  <si>
    <t>徐佳</t>
    <phoneticPr fontId="4" type="noConversion"/>
  </si>
  <si>
    <t>070-3842-0938</t>
    <phoneticPr fontId="4" type="noConversion"/>
  </si>
  <si>
    <t>510842569＠qq.com</t>
    <phoneticPr fontId="4" type="noConversion"/>
  </si>
  <si>
    <t>SK0005</t>
  </si>
  <si>
    <t>熊高升</t>
    <phoneticPr fontId="4" type="noConversion"/>
  </si>
  <si>
    <t>合伙人</t>
  </si>
  <si>
    <t>SK0006</t>
  </si>
  <si>
    <t>殷汉奇</t>
    <phoneticPr fontId="4" type="noConversion"/>
  </si>
  <si>
    <t>员工</t>
  </si>
  <si>
    <t>SK0007</t>
  </si>
  <si>
    <t>赵远</t>
    <phoneticPr fontId="4" type="noConversion"/>
  </si>
  <si>
    <t>投资人</t>
  </si>
  <si>
    <t>女</t>
  </si>
  <si>
    <t>SK0008</t>
  </si>
  <si>
    <t>李婷</t>
    <phoneticPr fontId="4" type="noConversion"/>
  </si>
  <si>
    <t>元老</t>
  </si>
  <si>
    <t>SK0009</t>
  </si>
  <si>
    <t>尹嘉辉</t>
    <phoneticPr fontId="4" type="noConversion"/>
  </si>
  <si>
    <t>SK0010</t>
  </si>
  <si>
    <t>马骏</t>
    <phoneticPr fontId="4" type="noConversion"/>
  </si>
  <si>
    <t>SK0011</t>
    <phoneticPr fontId="4" type="noConversion"/>
  </si>
  <si>
    <t>高明宇</t>
    <phoneticPr fontId="4" type="noConversion"/>
  </si>
  <si>
    <t>员工区分</t>
    <phoneticPr fontId="4" type="noConversion"/>
  </si>
  <si>
    <t>合伙人</t>
    <phoneticPr fontId="4" type="noConversion"/>
  </si>
  <si>
    <t>投资人</t>
    <phoneticPr fontId="4" type="noConversion"/>
  </si>
  <si>
    <t>元老</t>
    <phoneticPr fontId="4" type="noConversion"/>
  </si>
  <si>
    <t>员工</t>
    <phoneticPr fontId="4" type="noConversion"/>
  </si>
  <si>
    <t>月額表</t>
    <phoneticPr fontId="4" type="noConversion"/>
  </si>
  <si>
    <t>その月の社会保
険料等控除後の
給与等の金額</t>
    <phoneticPr fontId="4" type="noConversion"/>
  </si>
  <si>
    <t>甲</t>
    <phoneticPr fontId="4" type="noConversion"/>
  </si>
  <si>
    <t>乙</t>
  </si>
  <si>
    <t>扶養親族等の数</t>
    <phoneticPr fontId="4" type="noConversion"/>
  </si>
  <si>
    <t>0人</t>
    <phoneticPr fontId="4" type="noConversion"/>
  </si>
  <si>
    <t>1人</t>
  </si>
  <si>
    <t>2人</t>
  </si>
  <si>
    <t>3人</t>
  </si>
  <si>
    <t>4人</t>
  </si>
  <si>
    <t>5人</t>
  </si>
  <si>
    <t>6人</t>
  </si>
  <si>
    <t>7人</t>
  </si>
  <si>
    <t>以　　上</t>
    <phoneticPr fontId="4" type="noConversion"/>
  </si>
  <si>
    <t>未　　満</t>
    <phoneticPr fontId="4" type="noConversion"/>
  </si>
  <si>
    <t>税額</t>
    <phoneticPr fontId="4" type="noConversion"/>
  </si>
  <si>
    <t>円</t>
    <phoneticPr fontId="4" type="noConversion"/>
  </si>
  <si>
    <t>円</t>
  </si>
  <si>
    <t>その月の社
会保険料等
控除後の給
与等の金額
の3.063％に
相当する金
額</t>
    <phoneticPr fontId="4" type="noConversion"/>
  </si>
  <si>
    <t>給料明細</t>
    <rPh sb="0" eb="2">
      <t>キュウリョウ</t>
    </rPh>
    <rPh sb="2" eb="4">
      <t>メイサイ</t>
    </rPh>
    <phoneticPr fontId="10"/>
  </si>
  <si>
    <t>社員コード</t>
    <rPh sb="0" eb="2">
      <t>シャイン</t>
    </rPh>
    <phoneticPr fontId="10"/>
  </si>
  <si>
    <t>所属</t>
    <rPh sb="0" eb="2">
      <t>ショゾク</t>
    </rPh>
    <phoneticPr fontId="10"/>
  </si>
  <si>
    <t>衆行株式会社</t>
    <phoneticPr fontId="10"/>
  </si>
  <si>
    <t>氏名</t>
    <rPh sb="0" eb="2">
      <t>シメイ</t>
    </rPh>
    <phoneticPr fontId="10"/>
  </si>
  <si>
    <t>勤務日数</t>
    <rPh sb="0" eb="2">
      <t>キンム</t>
    </rPh>
    <rPh sb="2" eb="4">
      <t>ニッスウ</t>
    </rPh>
    <phoneticPr fontId="10"/>
  </si>
  <si>
    <t>日</t>
    <rPh sb="0" eb="1">
      <t>ニチ</t>
    </rPh>
    <phoneticPr fontId="10"/>
  </si>
  <si>
    <t>健康保険</t>
    <rPh sb="0" eb="2">
      <t>ケンコウ</t>
    </rPh>
    <rPh sb="2" eb="4">
      <t>ホケン</t>
    </rPh>
    <phoneticPr fontId="10"/>
  </si>
  <si>
    <t>円</t>
    <rPh sb="0" eb="1">
      <t>エン</t>
    </rPh>
    <phoneticPr fontId="10"/>
  </si>
  <si>
    <t>基本給</t>
    <rPh sb="0" eb="3">
      <t>キホンキュウ</t>
    </rPh>
    <phoneticPr fontId="10"/>
  </si>
  <si>
    <t>出勤日数</t>
    <rPh sb="0" eb="2">
      <t>シュッキン</t>
    </rPh>
    <rPh sb="2" eb="4">
      <t>ニッスウ</t>
    </rPh>
    <phoneticPr fontId="10"/>
  </si>
  <si>
    <t>介護保険</t>
    <rPh sb="0" eb="2">
      <t>カイゴ</t>
    </rPh>
    <rPh sb="2" eb="4">
      <t>ホケン</t>
    </rPh>
    <phoneticPr fontId="10"/>
  </si>
  <si>
    <t>役職手当</t>
    <rPh sb="0" eb="2">
      <t>ヤクショク</t>
    </rPh>
    <rPh sb="2" eb="4">
      <t>テアテ</t>
    </rPh>
    <phoneticPr fontId="10"/>
  </si>
  <si>
    <t>出勤時間</t>
    <rPh sb="0" eb="2">
      <t>シュッキン</t>
    </rPh>
    <rPh sb="2" eb="4">
      <t>ジカン</t>
    </rPh>
    <phoneticPr fontId="10"/>
  </si>
  <si>
    <t>Ｈ</t>
    <phoneticPr fontId="10"/>
  </si>
  <si>
    <t>厚生保険</t>
    <rPh sb="0" eb="2">
      <t>コウセイ</t>
    </rPh>
    <rPh sb="2" eb="4">
      <t>ホケン</t>
    </rPh>
    <phoneticPr fontId="10"/>
  </si>
  <si>
    <t>資格手当</t>
    <rPh sb="0" eb="2">
      <t>シカク</t>
    </rPh>
    <rPh sb="2" eb="4">
      <t>テアテ</t>
    </rPh>
    <phoneticPr fontId="10"/>
  </si>
  <si>
    <t>有給日数</t>
    <rPh sb="0" eb="2">
      <t>ユウキュウ</t>
    </rPh>
    <rPh sb="2" eb="4">
      <t>ニッスウ</t>
    </rPh>
    <phoneticPr fontId="10"/>
  </si>
  <si>
    <t>厚生年金</t>
    <rPh sb="0" eb="2">
      <t>コウセイ</t>
    </rPh>
    <rPh sb="2" eb="4">
      <t>キキン</t>
    </rPh>
    <phoneticPr fontId="10"/>
  </si>
  <si>
    <t>住居手当</t>
    <rPh sb="0" eb="2">
      <t>ジュウキョ</t>
    </rPh>
    <rPh sb="2" eb="4">
      <t>テアテ</t>
    </rPh>
    <phoneticPr fontId="10"/>
  </si>
  <si>
    <t>欠勤日数</t>
    <rPh sb="0" eb="2">
      <t>ケッキン</t>
    </rPh>
    <rPh sb="2" eb="4">
      <t>ニッスウ</t>
    </rPh>
    <phoneticPr fontId="10"/>
  </si>
  <si>
    <t>雇用保険</t>
    <rPh sb="0" eb="2">
      <t>コヨウ</t>
    </rPh>
    <rPh sb="2" eb="4">
      <t>ホケン</t>
    </rPh>
    <phoneticPr fontId="10"/>
  </si>
  <si>
    <t>交通手当</t>
    <rPh sb="0" eb="2">
      <t>カゾク</t>
    </rPh>
    <rPh sb="2" eb="4">
      <t>テアテ</t>
    </rPh>
    <phoneticPr fontId="10"/>
  </si>
  <si>
    <t>夜勤手当</t>
    <rPh sb="0" eb="2">
      <t>ヤキン</t>
    </rPh>
    <rPh sb="2" eb="4">
      <t>テアテ</t>
    </rPh>
    <phoneticPr fontId="10"/>
  </si>
  <si>
    <t>深夜手当</t>
    <rPh sb="0" eb="2">
      <t>シンヤ</t>
    </rPh>
    <rPh sb="2" eb="4">
      <t>テアテ</t>
    </rPh>
    <phoneticPr fontId="10"/>
  </si>
  <si>
    <t>遅刻早退時間</t>
    <rPh sb="0" eb="2">
      <t>チコク</t>
    </rPh>
    <rPh sb="2" eb="4">
      <t>ソウタイ</t>
    </rPh>
    <rPh sb="4" eb="6">
      <t>ジカン</t>
    </rPh>
    <phoneticPr fontId="10"/>
  </si>
  <si>
    <t>所得税</t>
    <rPh sb="0" eb="3">
      <t>ショトクゼイ</t>
    </rPh>
    <phoneticPr fontId="10"/>
  </si>
  <si>
    <t>特別休暇日数</t>
    <rPh sb="0" eb="2">
      <t>トクベツ</t>
    </rPh>
    <rPh sb="2" eb="4">
      <t>キュウカ</t>
    </rPh>
    <rPh sb="4" eb="6">
      <t>ニッスウ</t>
    </rPh>
    <phoneticPr fontId="10"/>
  </si>
  <si>
    <t>住民税</t>
    <rPh sb="0" eb="3">
      <t>ジュウミンゼイ</t>
    </rPh>
    <phoneticPr fontId="10"/>
  </si>
  <si>
    <t>有給残日数</t>
    <rPh sb="0" eb="2">
      <t>ユウキュウ</t>
    </rPh>
    <rPh sb="2" eb="3">
      <t>ザン</t>
    </rPh>
    <rPh sb="3" eb="5">
      <t>ニッスウ</t>
    </rPh>
    <phoneticPr fontId="10"/>
  </si>
  <si>
    <t>普通残業</t>
    <rPh sb="0" eb="2">
      <t>フツウ</t>
    </rPh>
    <rPh sb="2" eb="4">
      <t>ザンギョウ</t>
    </rPh>
    <phoneticPr fontId="10"/>
  </si>
  <si>
    <t>深夜残業</t>
    <rPh sb="0" eb="2">
      <t>シンヤ</t>
    </rPh>
    <rPh sb="2" eb="4">
      <t>ザンギョウ</t>
    </rPh>
    <phoneticPr fontId="10"/>
  </si>
  <si>
    <t>休日出勤</t>
    <rPh sb="0" eb="2">
      <t>キュウジツ</t>
    </rPh>
    <rPh sb="2" eb="4">
      <t>シュッキン</t>
    </rPh>
    <phoneticPr fontId="10"/>
  </si>
  <si>
    <t>普通残業時間</t>
    <rPh sb="0" eb="2">
      <t>フツウ</t>
    </rPh>
    <rPh sb="2" eb="4">
      <t>ザンギョウ</t>
    </rPh>
    <rPh sb="4" eb="6">
      <t>ジカン</t>
    </rPh>
    <phoneticPr fontId="10"/>
  </si>
  <si>
    <t>財形貯蓄</t>
    <rPh sb="0" eb="2">
      <t>ザイケイ</t>
    </rPh>
    <rPh sb="2" eb="4">
      <t>チョチク</t>
    </rPh>
    <phoneticPr fontId="10"/>
  </si>
  <si>
    <t>深夜残業時間</t>
    <rPh sb="0" eb="2">
      <t>シンヤ</t>
    </rPh>
    <rPh sb="2" eb="4">
      <t>ザンギョウ</t>
    </rPh>
    <rPh sb="4" eb="6">
      <t>ジカン</t>
    </rPh>
    <phoneticPr fontId="10"/>
  </si>
  <si>
    <t>傷害保険</t>
    <rPh sb="0" eb="2">
      <t>ショウガイ</t>
    </rPh>
    <rPh sb="2" eb="4">
      <t>ホケン</t>
    </rPh>
    <phoneticPr fontId="10"/>
  </si>
  <si>
    <t>休日出勤時間</t>
    <rPh sb="0" eb="2">
      <t>キュウジツ</t>
    </rPh>
    <rPh sb="2" eb="4">
      <t>シュッキン</t>
    </rPh>
    <rPh sb="4" eb="6">
      <t>ジカン</t>
    </rPh>
    <phoneticPr fontId="10"/>
  </si>
  <si>
    <t>生命保険</t>
    <rPh sb="0" eb="2">
      <t>セイメイ</t>
    </rPh>
    <rPh sb="2" eb="4">
      <t>ホケン</t>
    </rPh>
    <phoneticPr fontId="10"/>
  </si>
  <si>
    <t>抚養人</t>
    <phoneticPr fontId="10"/>
  </si>
  <si>
    <t>弁当代</t>
    <rPh sb="0" eb="3">
      <t>ベントウダイ</t>
    </rPh>
    <phoneticPr fontId="10"/>
  </si>
  <si>
    <t>その他控除</t>
    <phoneticPr fontId="10"/>
  </si>
  <si>
    <t>控除総計</t>
    <rPh sb="0" eb="2">
      <t>コウジョ</t>
    </rPh>
    <rPh sb="2" eb="4">
      <t>ソウケイ</t>
    </rPh>
    <phoneticPr fontId="10"/>
  </si>
  <si>
    <t>総支給額合計</t>
    <rPh sb="0" eb="1">
      <t>ソウ</t>
    </rPh>
    <rPh sb="1" eb="4">
      <t>シキュウガク</t>
    </rPh>
    <rPh sb="4" eb="6">
      <t>ゴウケイ</t>
    </rPh>
    <phoneticPr fontId="10"/>
  </si>
  <si>
    <t>差引支給額</t>
    <rPh sb="0" eb="2">
      <t>サシヒキ</t>
    </rPh>
    <rPh sb="2" eb="5">
      <t>シキュウガク</t>
    </rPh>
    <phoneticPr fontId="10"/>
  </si>
  <si>
    <t>招聘者</t>
    <phoneticPr fontId="4" type="noConversion"/>
  </si>
  <si>
    <t>营业者</t>
    <phoneticPr fontId="4" type="noConversion"/>
  </si>
  <si>
    <t>招聘提成比率</t>
    <phoneticPr fontId="4" type="noConversion"/>
  </si>
  <si>
    <t>营业提成比率</t>
    <phoneticPr fontId="4" type="noConversion"/>
  </si>
  <si>
    <t>標準単価</t>
    <phoneticPr fontId="4" type="noConversion"/>
  </si>
  <si>
    <t>標準給料</t>
    <phoneticPr fontId="4" type="noConversion"/>
  </si>
  <si>
    <t>勤务时间</t>
    <phoneticPr fontId="4" type="noConversion"/>
  </si>
  <si>
    <t>工时下限</t>
    <phoneticPr fontId="4" type="noConversion"/>
  </si>
  <si>
    <t>工时上限</t>
    <phoneticPr fontId="4" type="noConversion"/>
  </si>
  <si>
    <t>扶養人数</t>
    <phoneticPr fontId="4" type="noConversion"/>
  </si>
  <si>
    <t>給料</t>
    <phoneticPr fontId="4" type="noConversion"/>
  </si>
  <si>
    <t>勤務日数</t>
    <phoneticPr fontId="4" type="noConversion"/>
  </si>
  <si>
    <t>出勤日数</t>
    <phoneticPr fontId="4" type="noConversion"/>
  </si>
  <si>
    <t>交通費</t>
    <phoneticPr fontId="3" type="noConversion"/>
  </si>
  <si>
    <t>月份</t>
    <phoneticPr fontId="4" type="noConversion"/>
  </si>
  <si>
    <t>2019/12</t>
    <phoneticPr fontId="4" type="noConversion"/>
  </si>
  <si>
    <t>2020/01</t>
  </si>
  <si>
    <t>2020/02</t>
  </si>
  <si>
    <t>2020/03</t>
  </si>
  <si>
    <t>2020/04</t>
  </si>
  <si>
    <t>2020/05</t>
  </si>
  <si>
    <t>2020/06</t>
  </si>
  <si>
    <t>2020/07</t>
  </si>
  <si>
    <t>2020/08</t>
  </si>
  <si>
    <t>2020/09</t>
  </si>
  <si>
    <t>2020/10</t>
  </si>
  <si>
    <t>2020/11</t>
  </si>
  <si>
    <t>2020/12</t>
  </si>
  <si>
    <t>賞金</t>
    <phoneticPr fontId="4" type="noConversion"/>
  </si>
  <si>
    <t>税额</t>
    <phoneticPr fontId="4" type="noConversion"/>
  </si>
  <si>
    <t>厚生年金</t>
    <phoneticPr fontId="4" type="noConversion"/>
  </si>
  <si>
    <t>雇佣保险</t>
    <phoneticPr fontId="4" type="noConversion"/>
  </si>
  <si>
    <t>請求単価</t>
    <phoneticPr fontId="4" type="noConversion"/>
  </si>
  <si>
    <t>売上</t>
    <phoneticPr fontId="4" type="noConversion"/>
  </si>
  <si>
    <t>支払</t>
    <phoneticPr fontId="3" type="noConversion"/>
  </si>
  <si>
    <t>所得税额</t>
    <phoneticPr fontId="4" type="noConversion"/>
  </si>
  <si>
    <t>健康保险</t>
  </si>
  <si>
    <t>扶助費</t>
  </si>
  <si>
    <t>↑半年支払</t>
    <phoneticPr fontId="3" type="noConversion"/>
  </si>
  <si>
    <t>営業賞金</t>
    <phoneticPr fontId="3" type="noConversion"/>
  </si>
  <si>
    <t>募集賞金</t>
    <phoneticPr fontId="3" type="noConversion"/>
  </si>
  <si>
    <t>↑粗利</t>
    <phoneticPr fontId="3" type="noConversion"/>
  </si>
  <si>
    <t>↑売上</t>
    <phoneticPr fontId="3" type="noConversion"/>
  </si>
  <si>
    <t>営業賞金計算</t>
    <phoneticPr fontId="3" type="noConversion"/>
  </si>
  <si>
    <t>営業賞金率</t>
    <phoneticPr fontId="4" type="noConversion"/>
  </si>
  <si>
    <t>※自己联系的现场，营业提成60%作为补助发放</t>
    <phoneticPr fontId="3" type="noConversion"/>
  </si>
  <si>
    <t>契約形式</t>
  </si>
  <si>
    <t>契約形式</t>
    <phoneticPr fontId="3" type="noConversion"/>
  </si>
  <si>
    <t>正社員</t>
    <phoneticPr fontId="3" type="noConversion"/>
  </si>
  <si>
    <t>契約社員</t>
    <phoneticPr fontId="3" type="noConversion"/>
  </si>
  <si>
    <t>正社員</t>
    <phoneticPr fontId="4" type="noConversion"/>
  </si>
  <si>
    <t>契約社員</t>
    <phoneticPr fontId="4" type="noConversion"/>
  </si>
  <si>
    <t>個人事業主</t>
    <phoneticPr fontId="3" type="noConversion"/>
  </si>
  <si>
    <t>↑営業賞金率がある場合、計算</t>
    <phoneticPr fontId="3" type="noConversion"/>
  </si>
  <si>
    <t>標準報酬</t>
    <phoneticPr fontId="3" type="noConversion"/>
  </si>
  <si>
    <t>等級</t>
    <phoneticPr fontId="3" type="noConversion"/>
  </si>
  <si>
    <t>報酬月額</t>
    <phoneticPr fontId="3" type="noConversion"/>
  </si>
  <si>
    <t>円以上</t>
    <phoneticPr fontId="3" type="noConversion"/>
  </si>
  <si>
    <t>円未満</t>
    <phoneticPr fontId="3" type="noConversion"/>
  </si>
  <si>
    <t>全国健康保険協会管掌健康保険料</t>
    <phoneticPr fontId="3" type="noConversion"/>
  </si>
  <si>
    <t>介護保険第2号被保険者に該当しない場合</t>
    <phoneticPr fontId="3" type="noConversion"/>
  </si>
  <si>
    <t>全額</t>
    <phoneticPr fontId="3" type="noConversion"/>
  </si>
  <si>
    <t>折半額</t>
    <phoneticPr fontId="3" type="noConversion"/>
  </si>
  <si>
    <t>厚生年金保険料(厚生年金基金加入員を除く)</t>
    <phoneticPr fontId="3" type="noConversion"/>
  </si>
  <si>
    <t>4(1)</t>
  </si>
  <si>
    <t>5(2)</t>
  </si>
  <si>
    <t>6(3)</t>
  </si>
  <si>
    <t>7(4)</t>
  </si>
  <si>
    <t>8(5)</t>
  </si>
  <si>
    <t>9(6)</t>
  </si>
  <si>
    <t>10(7)</t>
  </si>
  <si>
    <t>11(8)</t>
  </si>
  <si>
    <t>12(9)</t>
  </si>
  <si>
    <t>13(10)</t>
  </si>
  <si>
    <t>14(11)</t>
  </si>
  <si>
    <t>15(12)</t>
  </si>
  <si>
    <t>16(13)</t>
  </si>
  <si>
    <t>17(14)</t>
  </si>
  <si>
    <t>18(15)</t>
  </si>
  <si>
    <t>19(16)</t>
  </si>
  <si>
    <t>20(17)</t>
  </si>
  <si>
    <t>21(18)</t>
  </si>
  <si>
    <t>22(19)</t>
  </si>
  <si>
    <t>23(20)</t>
  </si>
  <si>
    <t>24(21)</t>
  </si>
  <si>
    <t>25(22)</t>
  </si>
  <si>
    <t>26(23)</t>
  </si>
  <si>
    <t>27(24)</t>
  </si>
  <si>
    <t>28(25)</t>
  </si>
  <si>
    <t>29(26)</t>
  </si>
  <si>
    <t>30(27)</t>
  </si>
  <si>
    <t>31(28)</t>
  </si>
  <si>
    <t>32(29)</t>
  </si>
  <si>
    <t>33(30)</t>
  </si>
  <si>
    <t>34(31)</t>
  </si>
  <si>
    <t>月額</t>
    <phoneticPr fontId="3" type="noConversion"/>
  </si>
  <si>
    <r>
      <t>一般、坑内員</t>
    </r>
    <r>
      <rPr>
        <b/>
        <sz val="11"/>
        <color theme="1"/>
        <rFont val="等线"/>
        <family val="3"/>
        <charset val="128"/>
        <scheme val="minor"/>
      </rPr>
      <t>・</t>
    </r>
    <r>
      <rPr>
        <b/>
        <sz val="11"/>
        <color theme="1"/>
        <rFont val="等线"/>
        <family val="3"/>
        <charset val="134"/>
        <scheme val="minor"/>
      </rPr>
      <t>船員</t>
    </r>
    <phoneticPr fontId="3" type="noConversion"/>
  </si>
  <si>
    <t>欠勤時間</t>
    <phoneticPr fontId="3" type="noConversion"/>
  </si>
  <si>
    <t>残業欠勤</t>
    <phoneticPr fontId="3" type="noConversion"/>
  </si>
  <si>
    <t>欠勤料金</t>
    <phoneticPr fontId="3" type="noConversion"/>
  </si>
  <si>
    <t>残業時間</t>
    <phoneticPr fontId="3" type="noConversion"/>
  </si>
  <si>
    <t>残業料金</t>
    <phoneticPr fontId="3" type="noConversion"/>
  </si>
  <si>
    <t>給料</t>
    <phoneticPr fontId="3" type="noConversion"/>
  </si>
  <si>
    <t>支払給料</t>
    <phoneticPr fontId="3" type="noConversion"/>
  </si>
  <si>
    <t>賞金</t>
    <phoneticPr fontId="3" type="noConversion"/>
  </si>
  <si>
    <t>粗利金額</t>
    <phoneticPr fontId="3" type="noConversion"/>
  </si>
  <si>
    <t>↑請求単価*0.08</t>
    <phoneticPr fontId="3" type="noConversion"/>
  </si>
  <si>
    <t>↑(請求単価 - 給料 )*0.2</t>
    <phoneticPr fontId="3" type="noConversion"/>
  </si>
  <si>
    <t>厚生年金</t>
    <phoneticPr fontId="3" type="noConversion"/>
  </si>
  <si>
    <t>紀恒</t>
    <phoneticPr fontId="4" type="noConversion"/>
  </si>
  <si>
    <t>扶助費</t>
    <phoneticPr fontId="3" type="noConversion"/>
  </si>
  <si>
    <t>紀恒</t>
  </si>
  <si>
    <t>营业料金</t>
    <phoneticPr fontId="4" type="noConversion"/>
  </si>
  <si>
    <t>募集賞金</t>
    <phoneticPr fontId="4" type="noConversion"/>
  </si>
  <si>
    <t>紀恒</t>
    <phoneticPr fontId="3" type="noConversion"/>
  </si>
  <si>
    <t>阮坤琳</t>
  </si>
  <si>
    <t>↑扶助費含む</t>
    <phoneticPr fontId="3" type="noConversion"/>
  </si>
  <si>
    <t>健康保险</t>
    <phoneticPr fontId="3" type="noConversion"/>
  </si>
  <si>
    <t>↑請求単価*0.9-給料-厚生年金-健康保险</t>
    <phoneticPr fontId="3" type="noConversion"/>
  </si>
  <si>
    <t>↑給料-健康保险-厚生年金-健康保险</t>
    <phoneticPr fontId="3" type="noConversion"/>
  </si>
  <si>
    <t>↑給料*0.009</t>
    <phoneticPr fontId="3" type="noConversion"/>
  </si>
  <si>
    <t>↑給料*0.009</t>
    <phoneticPr fontId="3" type="noConversion"/>
  </si>
  <si>
    <t>売上</t>
    <phoneticPr fontId="3" type="noConversion"/>
  </si>
  <si>
    <t>令和　　2　　年　12　月分</t>
  </si>
  <si>
    <t>殷汉奇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</si>
</sst>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¥&quot;#,##0;[Red]&quot;¥&quot;\-#,##0"/>
    <numFmt numFmtId="176" formatCode="#,##0_ "/>
    <numFmt numFmtId="177" formatCode="#,##0.0_);[Red]\(#,##0.0\)"/>
  </numFmts>
  <fonts count="20">
    <font>
      <sz val="11"/>
      <color theme="1"/>
      <name val="等线"/>
      <family val="2"/>
      <scheme val="minor"/>
    </font>
    <font>
      <sz val="12"/>
      <color theme="1"/>
      <name val="等线"/>
      <family val="2"/>
      <charset val="134"/>
      <scheme val="minor"/>
    </font>
    <font>
      <b/>
      <sz val="12"/>
      <color theme="1"/>
      <name val="等线"/>
      <family val="4"/>
      <charset val="134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u/>
      <sz val="12"/>
      <color theme="10"/>
      <name val="等线"/>
      <family val="2"/>
      <charset val="134"/>
      <scheme val="minor"/>
    </font>
    <font>
      <sz val="12"/>
      <color theme="1"/>
      <name val="DengXian"/>
      <family val="4"/>
      <charset val="134"/>
    </font>
    <font>
      <sz val="11"/>
      <color theme="1"/>
      <name val="ＭＳ 明朝"/>
      <family val="3"/>
    </font>
    <font>
      <sz val="11"/>
      <color theme="1"/>
      <name val="Meiryo UI"/>
      <family val="2"/>
      <charset val="128"/>
    </font>
    <font>
      <sz val="18"/>
      <name val="Meiryo UI"/>
      <family val="2"/>
      <charset val="128"/>
    </font>
    <font>
      <sz val="6"/>
      <name val="ＭＳ 明朝"/>
      <family val="3"/>
    </font>
    <font>
      <sz val="14"/>
      <color theme="1"/>
      <name val="Meiryo UI"/>
      <family val="2"/>
      <charset val="128"/>
    </font>
    <font>
      <b/>
      <sz val="12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28"/>
      <scheme val="minor"/>
    </font>
    <font>
      <sz val="11"/>
      <color theme="1"/>
      <name val="等线"/>
      <family val="2"/>
      <scheme val="minor"/>
    </font>
    <font>
      <sz val="11"/>
      <name val="等线"/>
      <family val="2"/>
      <scheme val="minor"/>
    </font>
    <font>
      <sz val="11"/>
      <name val="等线"/>
      <family val="3"/>
      <charset val="134"/>
      <scheme val="minor"/>
    </font>
    <font>
      <sz val="12"/>
      <color theme="1"/>
      <name val="等线"/>
      <family val="4"/>
      <charset val="134"/>
      <scheme val="minor"/>
    </font>
    <font>
      <sz val="11"/>
      <color theme="1"/>
      <name val="Meiryo U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medium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 style="double">
        <color auto="1"/>
      </top>
      <bottom style="medium">
        <color auto="1"/>
      </bottom>
      <diagonal/>
    </border>
    <border>
      <left/>
      <right/>
      <top style="double">
        <color auto="1"/>
      </top>
      <bottom style="medium">
        <color auto="1"/>
      </bottom>
      <diagonal/>
    </border>
    <border>
      <left/>
      <right style="hair">
        <color auto="1"/>
      </right>
      <top style="double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/>
      <right style="medium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129">
    <xf numFmtId="0" fontId="0" fillId="0" borderId="0" xfId="0"/>
    <xf numFmtId="0" fontId="2" fillId="2" borderId="1" xfId="1" applyFont="1" applyFill="1" applyBorder="1" applyAlignment="1">
      <alignment horizontal="center" vertical="center"/>
    </xf>
    <xf numFmtId="0" fontId="1" fillId="0" borderId="0" xfId="1">
      <alignment vertical="center"/>
    </xf>
    <xf numFmtId="0" fontId="1" fillId="0" borderId="1" xfId="1" applyBorder="1">
      <alignment vertical="center"/>
    </xf>
    <xf numFmtId="49" fontId="1" fillId="0" borderId="1" xfId="1" applyNumberFormat="1" applyBorder="1">
      <alignment vertical="center"/>
    </xf>
    <xf numFmtId="0" fontId="5" fillId="0" borderId="1" xfId="2" applyBorder="1">
      <alignment vertical="center"/>
    </xf>
    <xf numFmtId="0" fontId="6" fillId="0" borderId="1" xfId="1" applyFont="1" applyBorder="1">
      <alignment vertical="center"/>
    </xf>
    <xf numFmtId="0" fontId="0" fillId="0" borderId="0" xfId="0" applyAlignment="1">
      <alignment vertical="center"/>
    </xf>
    <xf numFmtId="0" fontId="8" fillId="0" borderId="0" xfId="3" applyFont="1">
      <alignment vertical="center"/>
    </xf>
    <xf numFmtId="0" fontId="7" fillId="0" borderId="0" xfId="3">
      <alignment vertical="center"/>
    </xf>
    <xf numFmtId="0" fontId="8" fillId="0" borderId="0" xfId="3" applyFont="1" applyAlignment="1">
      <alignment horizontal="center" vertical="center"/>
    </xf>
    <xf numFmtId="0" fontId="8" fillId="0" borderId="6" xfId="3" applyFont="1" applyBorder="1">
      <alignment vertical="center"/>
    </xf>
    <xf numFmtId="0" fontId="8" fillId="0" borderId="7" xfId="3" applyFont="1" applyBorder="1">
      <alignment vertical="center"/>
    </xf>
    <xf numFmtId="0" fontId="8" fillId="0" borderId="12" xfId="3" applyFont="1" applyBorder="1">
      <alignment vertical="center"/>
    </xf>
    <xf numFmtId="0" fontId="8" fillId="0" borderId="13" xfId="3" applyFont="1" applyBorder="1">
      <alignment vertical="center"/>
    </xf>
    <xf numFmtId="0" fontId="8" fillId="0" borderId="18" xfId="3" applyFont="1" applyBorder="1">
      <alignment vertical="center"/>
    </xf>
    <xf numFmtId="0" fontId="8" fillId="0" borderId="19" xfId="3" applyFont="1" applyBorder="1">
      <alignment vertical="center"/>
    </xf>
    <xf numFmtId="0" fontId="8" fillId="0" borderId="24" xfId="3" applyFont="1" applyBorder="1">
      <alignment vertical="center"/>
    </xf>
    <xf numFmtId="0" fontId="8" fillId="0" borderId="25" xfId="3" applyFont="1" applyBorder="1">
      <alignment vertical="center"/>
    </xf>
    <xf numFmtId="0" fontId="8" fillId="0" borderId="31" xfId="3" applyFont="1" applyBorder="1">
      <alignment vertical="center"/>
    </xf>
    <xf numFmtId="0" fontId="8" fillId="0" borderId="34" xfId="3" applyFont="1" applyBorder="1">
      <alignment vertical="center"/>
    </xf>
    <xf numFmtId="9" fontId="0" fillId="0" borderId="1" xfId="4" applyFont="1" applyBorder="1">
      <alignment vertical="center"/>
    </xf>
    <xf numFmtId="49" fontId="1" fillId="0" borderId="0" xfId="1" applyNumberFormat="1">
      <alignment vertical="center"/>
    </xf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4" borderId="1" xfId="0" applyFill="1" applyBorder="1" applyAlignment="1">
      <alignment horizontal="center" vertical="center"/>
    </xf>
    <xf numFmtId="49" fontId="0" fillId="0" borderId="1" xfId="0" applyNumberFormat="1" applyBorder="1" applyAlignment="1">
      <alignment vertical="center"/>
    </xf>
    <xf numFmtId="0" fontId="12" fillId="2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13" fillId="2" borderId="1" xfId="0" applyFont="1" applyFill="1" applyBorder="1"/>
    <xf numFmtId="0" fontId="0" fillId="5" borderId="1" xfId="0" applyFill="1" applyBorder="1"/>
    <xf numFmtId="0" fontId="0" fillId="0" borderId="1" xfId="0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0" fontId="0" fillId="0" borderId="1" xfId="0" applyNumberFormat="1" applyBorder="1" applyAlignment="1">
      <alignment horizontal="center" vertical="center"/>
    </xf>
    <xf numFmtId="3" fontId="0" fillId="0" borderId="1" xfId="0" applyNumberFormat="1" applyBorder="1"/>
    <xf numFmtId="40" fontId="0" fillId="6" borderId="1" xfId="0" applyNumberFormat="1" applyFill="1" applyBorder="1" applyAlignment="1">
      <alignment horizontal="center" vertical="center"/>
    </xf>
    <xf numFmtId="40" fontId="0" fillId="6" borderId="1" xfId="0" applyNumberFormat="1" applyFill="1" applyBorder="1"/>
    <xf numFmtId="0" fontId="1" fillId="2" borderId="1" xfId="1" applyFill="1" applyBorder="1" applyAlignment="1">
      <alignment horizontal="center" vertical="center"/>
    </xf>
    <xf numFmtId="9" fontId="0" fillId="0" borderId="1" xfId="5" applyFont="1" applyBorder="1" applyAlignment="1">
      <alignment vertical="center"/>
    </xf>
    <xf numFmtId="3" fontId="0" fillId="0" borderId="1" xfId="0" applyNumberFormat="1" applyFill="1" applyBorder="1"/>
    <xf numFmtId="3" fontId="0" fillId="0" borderId="1" xfId="0" applyNumberFormat="1" applyFill="1" applyBorder="1" applyAlignment="1">
      <alignment horizontal="center" vertical="center"/>
    </xf>
    <xf numFmtId="177" fontId="0" fillId="0" borderId="1" xfId="0" applyNumberForma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3" fontId="17" fillId="0" borderId="1" xfId="0" applyNumberFormat="1" applyFont="1" applyFill="1" applyBorder="1" applyAlignment="1">
      <alignment horizontal="center" vertical="center"/>
    </xf>
    <xf numFmtId="3" fontId="17" fillId="0" borderId="1" xfId="0" applyNumberFormat="1" applyFont="1" applyFill="1" applyBorder="1"/>
    <xf numFmtId="177" fontId="17" fillId="0" borderId="1" xfId="0" applyNumberFormat="1" applyFont="1" applyFill="1" applyBorder="1" applyAlignment="1">
      <alignment horizontal="center" vertical="center"/>
    </xf>
    <xf numFmtId="40" fontId="17" fillId="0" borderId="1" xfId="0" applyNumberFormat="1" applyFont="1" applyFill="1" applyBorder="1" applyAlignment="1">
      <alignment horizontal="center" vertical="center"/>
    </xf>
    <xf numFmtId="0" fontId="17" fillId="0" borderId="0" xfId="0" applyFont="1" applyFill="1"/>
    <xf numFmtId="0" fontId="16" fillId="0" borderId="0" xfId="0" applyFont="1"/>
    <xf numFmtId="10" fontId="0" fillId="0" borderId="1" xfId="0" applyNumberFormat="1" applyBorder="1" applyAlignment="1">
      <alignment vertical="center"/>
    </xf>
    <xf numFmtId="0" fontId="18" fillId="0" borderId="38" xfId="0" applyFont="1" applyBorder="1" applyAlignment="1">
      <alignment horizontal="center" vertical="center"/>
    </xf>
    <xf numFmtId="9" fontId="0" fillId="0" borderId="1" xfId="5" applyFont="1" applyFill="1" applyBorder="1" applyAlignment="1">
      <alignment vertical="center"/>
    </xf>
    <xf numFmtId="1" fontId="0" fillId="5" borderId="1" xfId="0" applyNumberFormat="1" applyFill="1" applyBorder="1"/>
    <xf numFmtId="1" fontId="0" fillId="0" borderId="0" xfId="0" applyNumberFormat="1"/>
    <xf numFmtId="0" fontId="0" fillId="0" borderId="1" xfId="0" applyBorder="1" applyAlignment="1">
      <alignment vertical="top" wrapText="1"/>
    </xf>
    <xf numFmtId="0" fontId="19" fillId="0" borderId="1" xfId="0" applyFont="1" applyBorder="1" applyAlignment="1">
      <alignment vertical="center"/>
    </xf>
    <xf numFmtId="9" fontId="0" fillId="0" borderId="0" xfId="0" applyNumberFormat="1"/>
    <xf numFmtId="0" fontId="0" fillId="0" borderId="0" xfId="0" applyFill="1" applyBorder="1" applyAlignment="1">
      <alignment vertical="center"/>
    </xf>
    <xf numFmtId="0" fontId="1" fillId="2" borderId="1" xfId="1" applyFill="1" applyBorder="1" applyAlignment="1">
      <alignment horizontal="center" vertical="center" wrapText="1"/>
    </xf>
    <xf numFmtId="0" fontId="1" fillId="2" borderId="1" xfId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/>
    </xf>
    <xf numFmtId="10" fontId="13" fillId="2" borderId="1" xfId="0" applyNumberFormat="1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39" xfId="0" applyFont="1" applyFill="1" applyBorder="1" applyAlignment="1">
      <alignment horizontal="center" vertical="center"/>
    </xf>
    <xf numFmtId="0" fontId="13" fillId="2" borderId="41" xfId="0" applyFont="1" applyFill="1" applyBorder="1" applyAlignment="1">
      <alignment horizontal="center" vertical="center"/>
    </xf>
    <xf numFmtId="0" fontId="13" fillId="2" borderId="42" xfId="0" applyFont="1" applyFill="1" applyBorder="1" applyAlignment="1">
      <alignment horizontal="center" vertical="center"/>
    </xf>
    <xf numFmtId="0" fontId="13" fillId="2" borderId="43" xfId="0" applyFont="1" applyFill="1" applyBorder="1" applyAlignment="1">
      <alignment horizontal="center" vertical="center"/>
    </xf>
    <xf numFmtId="0" fontId="13" fillId="2" borderId="37" xfId="0" applyFont="1" applyFill="1" applyBorder="1" applyAlignment="1">
      <alignment horizontal="center" vertical="center"/>
    </xf>
    <xf numFmtId="0" fontId="13" fillId="2" borderId="38" xfId="0" applyFont="1" applyFill="1" applyBorder="1" applyAlignment="1">
      <alignment horizontal="center" vertical="center"/>
    </xf>
    <xf numFmtId="0" fontId="8" fillId="3" borderId="26" xfId="3" applyFont="1" applyFill="1" applyBorder="1" applyAlignment="1">
      <alignment horizontal="center" vertical="center"/>
    </xf>
    <xf numFmtId="0" fontId="8" fillId="3" borderId="27" xfId="3" applyFont="1" applyFill="1" applyBorder="1" applyAlignment="1">
      <alignment horizontal="center" vertical="center"/>
    </xf>
    <xf numFmtId="0" fontId="8" fillId="3" borderId="28" xfId="3" applyFont="1" applyFill="1" applyBorder="1" applyAlignment="1">
      <alignment horizontal="center" vertical="center"/>
    </xf>
    <xf numFmtId="0" fontId="8" fillId="0" borderId="29" xfId="3" applyFont="1" applyBorder="1">
      <alignment vertical="center"/>
    </xf>
    <xf numFmtId="0" fontId="8" fillId="0" borderId="30" xfId="3" applyFont="1" applyBorder="1">
      <alignment vertical="center"/>
    </xf>
    <xf numFmtId="0" fontId="8" fillId="3" borderId="32" xfId="3" applyFont="1" applyFill="1" applyBorder="1" applyAlignment="1">
      <alignment horizontal="center" vertical="center"/>
    </xf>
    <xf numFmtId="0" fontId="8" fillId="3" borderId="33" xfId="3" applyFont="1" applyFill="1" applyBorder="1" applyAlignment="1">
      <alignment horizontal="center" vertical="center"/>
    </xf>
    <xf numFmtId="176" fontId="8" fillId="0" borderId="29" xfId="3" applyNumberFormat="1" applyFont="1" applyBorder="1">
      <alignment vertical="center"/>
    </xf>
    <xf numFmtId="176" fontId="8" fillId="0" borderId="30" xfId="3" applyNumberFormat="1" applyFont="1" applyBorder="1">
      <alignment vertical="center"/>
    </xf>
    <xf numFmtId="0" fontId="8" fillId="3" borderId="20" xfId="3" applyFont="1" applyFill="1" applyBorder="1" applyAlignment="1">
      <alignment horizontal="center" vertical="center"/>
    </xf>
    <xf numFmtId="0" fontId="8" fillId="3" borderId="21" xfId="3" applyFont="1" applyFill="1" applyBorder="1" applyAlignment="1">
      <alignment horizontal="center" vertical="center"/>
    </xf>
    <xf numFmtId="0" fontId="8" fillId="0" borderId="22" xfId="3" applyFont="1" applyBorder="1">
      <alignment vertical="center"/>
    </xf>
    <xf numFmtId="0" fontId="8" fillId="0" borderId="23" xfId="3" applyFont="1" applyBorder="1">
      <alignment vertical="center"/>
    </xf>
    <xf numFmtId="176" fontId="8" fillId="0" borderId="22" xfId="3" applyNumberFormat="1" applyFont="1" applyBorder="1">
      <alignment vertical="center"/>
    </xf>
    <xf numFmtId="176" fontId="8" fillId="0" borderId="23" xfId="3" applyNumberFormat="1" applyFont="1" applyBorder="1">
      <alignment vertical="center"/>
    </xf>
    <xf numFmtId="0" fontId="8" fillId="3" borderId="14" xfId="3" applyFont="1" applyFill="1" applyBorder="1" applyAlignment="1">
      <alignment horizontal="center" vertical="center"/>
    </xf>
    <xf numFmtId="0" fontId="8" fillId="3" borderId="15" xfId="3" applyFont="1" applyFill="1" applyBorder="1" applyAlignment="1">
      <alignment horizontal="center" vertical="center"/>
    </xf>
    <xf numFmtId="0" fontId="8" fillId="0" borderId="16" xfId="3" applyFont="1" applyBorder="1">
      <alignment vertical="center"/>
    </xf>
    <xf numFmtId="0" fontId="8" fillId="0" borderId="17" xfId="3" applyFont="1" applyBorder="1">
      <alignment vertical="center"/>
    </xf>
    <xf numFmtId="176" fontId="8" fillId="0" borderId="16" xfId="3" applyNumberFormat="1" applyFont="1" applyBorder="1">
      <alignment vertical="center"/>
    </xf>
    <xf numFmtId="176" fontId="8" fillId="0" borderId="17" xfId="3" applyNumberFormat="1" applyFont="1" applyBorder="1">
      <alignment vertical="center"/>
    </xf>
    <xf numFmtId="0" fontId="8" fillId="3" borderId="8" xfId="3" applyFont="1" applyFill="1" applyBorder="1" applyAlignment="1">
      <alignment horizontal="center" vertical="center"/>
    </xf>
    <xf numFmtId="0" fontId="8" fillId="3" borderId="9" xfId="3" applyFont="1" applyFill="1" applyBorder="1" applyAlignment="1">
      <alignment horizontal="center" vertical="center"/>
    </xf>
    <xf numFmtId="0" fontId="8" fillId="0" borderId="10" xfId="3" applyFont="1" applyBorder="1">
      <alignment vertical="center"/>
    </xf>
    <xf numFmtId="0" fontId="8" fillId="0" borderId="11" xfId="3" applyFont="1" applyBorder="1">
      <alignment vertical="center"/>
    </xf>
    <xf numFmtId="176" fontId="8" fillId="0" borderId="10" xfId="3" applyNumberFormat="1" applyFont="1" applyBorder="1">
      <alignment vertical="center"/>
    </xf>
    <xf numFmtId="176" fontId="8" fillId="0" borderId="11" xfId="3" applyNumberFormat="1" applyFont="1" applyBorder="1">
      <alignment vertical="center"/>
    </xf>
    <xf numFmtId="0" fontId="8" fillId="3" borderId="10" xfId="3" applyFont="1" applyFill="1" applyBorder="1" applyAlignment="1">
      <alignment horizontal="center" vertical="center"/>
    </xf>
    <xf numFmtId="0" fontId="8" fillId="3" borderId="11" xfId="3" applyFont="1" applyFill="1" applyBorder="1" applyAlignment="1">
      <alignment horizontal="center" vertical="center"/>
    </xf>
    <xf numFmtId="0" fontId="8" fillId="3" borderId="12" xfId="3" applyFont="1" applyFill="1" applyBorder="1" applyAlignment="1">
      <alignment horizontal="center" vertical="center"/>
    </xf>
    <xf numFmtId="0" fontId="8" fillId="3" borderId="2" xfId="3" applyFont="1" applyFill="1" applyBorder="1" applyAlignment="1">
      <alignment horizontal="center" vertical="center"/>
    </xf>
    <xf numFmtId="0" fontId="8" fillId="3" borderId="3" xfId="3" applyFont="1" applyFill="1" applyBorder="1" applyAlignment="1">
      <alignment horizontal="center" vertical="center"/>
    </xf>
    <xf numFmtId="0" fontId="8" fillId="0" borderId="4" xfId="3" applyFont="1" applyBorder="1">
      <alignment vertical="center"/>
    </xf>
    <xf numFmtId="0" fontId="8" fillId="0" borderId="5" xfId="3" applyFont="1" applyBorder="1">
      <alignment vertical="center"/>
    </xf>
    <xf numFmtId="176" fontId="8" fillId="0" borderId="4" xfId="3" applyNumberFormat="1" applyFont="1" applyBorder="1">
      <alignment vertical="center"/>
    </xf>
    <xf numFmtId="176" fontId="8" fillId="0" borderId="5" xfId="3" applyNumberFormat="1" applyFont="1" applyBorder="1">
      <alignment vertical="center"/>
    </xf>
    <xf numFmtId="0" fontId="9" fillId="3" borderId="0" xfId="3" applyFont="1" applyFill="1" applyAlignment="1">
      <alignment horizontal="center" vertical="center"/>
    </xf>
    <xf numFmtId="0" fontId="11" fillId="3" borderId="0" xfId="3" applyFont="1" applyFill="1" applyAlignment="1">
      <alignment horizontal="center" vertical="center"/>
    </xf>
    <xf numFmtId="0" fontId="8" fillId="3" borderId="0" xfId="3" applyFont="1" applyFill="1" applyAlignment="1">
      <alignment horizontal="center" vertical="center"/>
    </xf>
    <xf numFmtId="0" fontId="8" fillId="3" borderId="0" xfId="3" applyFont="1" applyFill="1" applyAlignment="1"/>
    <xf numFmtId="0" fontId="8" fillId="3" borderId="0" xfId="3" applyFont="1" applyFill="1">
      <alignment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0" fontId="13" fillId="2" borderId="35" xfId="0" applyFont="1" applyFill="1" applyBorder="1" applyAlignment="1">
      <alignment horizontal="center"/>
    </xf>
    <xf numFmtId="0" fontId="13" fillId="2" borderId="44" xfId="0" applyFont="1" applyFill="1" applyBorder="1" applyAlignment="1">
      <alignment horizontal="center"/>
    </xf>
    <xf numFmtId="0" fontId="13" fillId="2" borderId="36" xfId="0" applyFont="1" applyFill="1" applyBorder="1" applyAlignment="1">
      <alignment horizontal="center"/>
    </xf>
    <xf numFmtId="0" fontId="2" fillId="2" borderId="37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12" fillId="2" borderId="35" xfId="0" applyFont="1" applyFill="1" applyBorder="1" applyAlignment="1">
      <alignment horizontal="center" vertical="center"/>
    </xf>
    <xf numFmtId="0" fontId="12" fillId="2" borderId="44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39" xfId="0" applyFont="1" applyFill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/>
    </xf>
    <xf numFmtId="0" fontId="2" fillId="2" borderId="41" xfId="0" applyFont="1" applyFill="1" applyBorder="1" applyAlignment="1">
      <alignment horizontal="center" vertical="center"/>
    </xf>
    <xf numFmtId="6" fontId="0" fillId="0" borderId="0" xfId="0" applyNumberFormat="1" applyAlignment="1">
      <alignment vertical="center"/>
    </xf>
    <xf numFmtId="6" fontId="1" fillId="0" borderId="1" xfId="1" applyNumberFormat="1" applyBorder="1">
      <alignment vertical="center"/>
    </xf>
    <xf numFmtId="1" fontId="0" fillId="7" borderId="1" xfId="0" applyNumberFormat="1" applyFill="1" applyBorder="1" applyAlignment="1">
      <alignment vertical="center"/>
    </xf>
  </cellXfs>
  <cellStyles count="6">
    <cellStyle name="百分比" xfId="5" builtinId="5"/>
    <cellStyle name="百分比 2" xfId="4" xr:uid="{1FB3C833-004C-4D3B-9D3C-8083C5EB98D0}"/>
    <cellStyle name="常规" xfId="0" builtinId="0"/>
    <cellStyle name="常规 2" xfId="1" xr:uid="{87974204-26ED-4933-9F99-269820D413C1}"/>
    <cellStyle name="常规 2 2" xfId="3" xr:uid="{77F8AD02-8D6A-4082-A721-9BE34D6A8A7F}"/>
    <cellStyle name="超链接 2" xfId="2" xr:uid="{DC1498E4-8858-4E28-B70A-6A6F8F3FAC6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longernking@yahoo.co.jp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ColWidth="8.875" defaultRowHeight="14.25"/>
  <sheetData/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EB392-C625-42D8-ADDB-7A8963EC5B31}">
  <sheetPr codeName="Sheet2"/>
  <dimension ref="A1:M20"/>
  <sheetViews>
    <sheetView workbookViewId="0">
      <selection activeCell="N2" sqref="N2"/>
    </sheetView>
  </sheetViews>
  <sheetFormatPr defaultColWidth="11" defaultRowHeight="15.75"/>
  <cols>
    <col min="1" max="7" width="11" style="2"/>
    <col min="8" max="8" width="15.375" style="2" bestFit="1" customWidth="1"/>
    <col min="9" max="9" width="26" style="2" bestFit="1" customWidth="1"/>
    <col min="10" max="10" width="11" style="2"/>
    <col min="11" max="11" width="33.875" style="2" bestFit="1" customWidth="1"/>
    <col min="12" max="12" width="19.625" style="2" customWidth="1"/>
    <col min="13" max="16384" width="11" style="2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164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</row>
    <row r="2" spans="1:13">
      <c r="A2" s="3">
        <f>ROW()-1</f>
        <v>1</v>
      </c>
      <c r="B2" s="4" t="s">
        <v>12</v>
      </c>
      <c r="C2" s="3" t="s">
        <v>226</v>
      </c>
      <c r="D2" s="3" t="s">
        <v>14</v>
      </c>
      <c r="E2" s="3" t="s">
        <v>165</v>
      </c>
      <c r="F2" s="3"/>
      <c r="G2" s="3" t="s">
        <v>15</v>
      </c>
      <c r="H2" s="3"/>
      <c r="I2" s="3"/>
      <c r="J2" s="3"/>
      <c r="K2" s="3"/>
      <c r="L2" s="3"/>
      <c r="M2" s="3"/>
    </row>
    <row r="3" spans="1:13">
      <c r="A3" s="3">
        <f t="shared" ref="A3:A10" si="0">ROW()-1</f>
        <v>2</v>
      </c>
      <c r="B3" s="4" t="s">
        <v>16</v>
      </c>
      <c r="C3" s="3" t="s">
        <v>17</v>
      </c>
      <c r="D3" s="3" t="s">
        <v>14</v>
      </c>
      <c r="E3" s="3"/>
      <c r="F3" s="3"/>
      <c r="G3" s="3" t="s">
        <v>15</v>
      </c>
      <c r="H3" s="3"/>
      <c r="I3" s="3"/>
      <c r="J3" s="3"/>
      <c r="K3" s="3"/>
      <c r="L3" s="3"/>
      <c r="M3" s="3"/>
    </row>
    <row r="4" spans="1:13">
      <c r="A4" s="3">
        <f t="shared" si="0"/>
        <v>3</v>
      </c>
      <c r="B4" s="4" t="s">
        <v>18</v>
      </c>
      <c r="C4" s="3" t="s">
        <v>19</v>
      </c>
      <c r="D4" s="3" t="s">
        <v>14</v>
      </c>
      <c r="E4" s="3" t="s">
        <v>166</v>
      </c>
      <c r="F4" s="3"/>
      <c r="G4" s="3" t="s">
        <v>15</v>
      </c>
      <c r="H4" s="3" t="s">
        <v>20</v>
      </c>
      <c r="I4" s="5" t="s">
        <v>21</v>
      </c>
      <c r="J4" s="3" t="s">
        <v>22</v>
      </c>
      <c r="K4" s="3" t="s">
        <v>23</v>
      </c>
      <c r="L4" s="3" t="s">
        <v>24</v>
      </c>
      <c r="M4" s="3"/>
    </row>
    <row r="5" spans="1:13">
      <c r="A5" s="3">
        <f t="shared" si="0"/>
        <v>4</v>
      </c>
      <c r="B5" s="4" t="s">
        <v>25</v>
      </c>
      <c r="C5" s="3" t="s">
        <v>26</v>
      </c>
      <c r="D5" s="3" t="s">
        <v>14</v>
      </c>
      <c r="E5" s="3"/>
      <c r="F5" s="3"/>
      <c r="G5" s="3" t="s">
        <v>15</v>
      </c>
      <c r="H5" s="6" t="s">
        <v>27</v>
      </c>
      <c r="I5" s="3" t="s">
        <v>28</v>
      </c>
      <c r="J5" s="3"/>
      <c r="K5" s="3"/>
      <c r="L5" s="3"/>
      <c r="M5" s="3"/>
    </row>
    <row r="6" spans="1:13">
      <c r="A6" s="3">
        <f t="shared" si="0"/>
        <v>5</v>
      </c>
      <c r="B6" s="4" t="s">
        <v>29</v>
      </c>
      <c r="C6" s="3" t="s">
        <v>30</v>
      </c>
      <c r="D6" s="3" t="s">
        <v>31</v>
      </c>
      <c r="E6" s="3" t="s">
        <v>166</v>
      </c>
      <c r="F6" s="3"/>
      <c r="G6" s="3" t="s">
        <v>15</v>
      </c>
      <c r="H6" s="3"/>
      <c r="I6" s="3"/>
      <c r="J6" s="3"/>
      <c r="K6" s="3"/>
      <c r="L6" s="3"/>
      <c r="M6" s="3"/>
    </row>
    <row r="7" spans="1:13">
      <c r="A7" s="3">
        <f t="shared" si="0"/>
        <v>6</v>
      </c>
      <c r="B7" s="4" t="s">
        <v>32</v>
      </c>
      <c r="C7" s="3" t="s">
        <v>33</v>
      </c>
      <c r="D7" s="3" t="s">
        <v>34</v>
      </c>
      <c r="E7" s="3" t="s">
        <v>165</v>
      </c>
      <c r="F7" s="3"/>
      <c r="G7" s="3" t="s">
        <v>15</v>
      </c>
      <c r="H7" s="3"/>
      <c r="I7" s="3"/>
      <c r="J7" s="3"/>
      <c r="K7" s="3"/>
      <c r="L7" s="3"/>
      <c r="M7" s="3"/>
    </row>
    <row r="8" spans="1:13">
      <c r="A8" s="3">
        <f t="shared" si="0"/>
        <v>7</v>
      </c>
      <c r="B8" s="4" t="s">
        <v>35</v>
      </c>
      <c r="C8" s="3" t="s">
        <v>36</v>
      </c>
      <c r="D8" s="3" t="s">
        <v>37</v>
      </c>
      <c r="E8" s="3" t="s">
        <v>166</v>
      </c>
      <c r="F8" s="3"/>
      <c r="G8" s="3" t="s">
        <v>38</v>
      </c>
      <c r="H8" s="3"/>
      <c r="I8" s="3"/>
      <c r="J8" s="3"/>
      <c r="K8" s="3"/>
      <c r="L8" s="3"/>
      <c r="M8" s="3"/>
    </row>
    <row r="9" spans="1:13">
      <c r="A9" s="3">
        <f t="shared" si="0"/>
        <v>8</v>
      </c>
      <c r="B9" s="4" t="s">
        <v>39</v>
      </c>
      <c r="C9" s="3" t="s">
        <v>40</v>
      </c>
      <c r="D9" s="3" t="s">
        <v>41</v>
      </c>
      <c r="E9" s="3" t="s">
        <v>166</v>
      </c>
      <c r="F9" s="3"/>
      <c r="G9" s="3" t="s">
        <v>38</v>
      </c>
      <c r="H9" s="3"/>
      <c r="I9" s="3"/>
      <c r="J9" s="3"/>
      <c r="K9" s="3"/>
      <c r="L9" s="3"/>
      <c r="M9" s="3"/>
    </row>
    <row r="10" spans="1:13">
      <c r="A10" s="3">
        <f t="shared" si="0"/>
        <v>9</v>
      </c>
      <c r="B10" s="4" t="s">
        <v>42</v>
      </c>
      <c r="C10" s="3" t="s">
        <v>43</v>
      </c>
      <c r="D10" s="3" t="s">
        <v>41</v>
      </c>
      <c r="E10" s="3" t="s">
        <v>166</v>
      </c>
      <c r="F10" s="3"/>
      <c r="G10" s="3" t="s">
        <v>15</v>
      </c>
      <c r="H10" s="3"/>
      <c r="I10" s="3"/>
      <c r="J10" s="3"/>
      <c r="K10" s="3"/>
      <c r="L10" s="3"/>
      <c r="M10" s="3"/>
    </row>
    <row r="11" spans="1:13">
      <c r="A11" s="3">
        <v>10</v>
      </c>
      <c r="B11" s="4" t="s">
        <v>44</v>
      </c>
      <c r="C11" s="3" t="s">
        <v>45</v>
      </c>
      <c r="D11" s="3" t="s">
        <v>34</v>
      </c>
      <c r="E11" s="3" t="s">
        <v>166</v>
      </c>
      <c r="F11" s="3"/>
      <c r="G11" s="3" t="s">
        <v>15</v>
      </c>
      <c r="H11" s="3"/>
      <c r="I11" s="3"/>
      <c r="J11" s="3"/>
      <c r="K11" s="3"/>
      <c r="L11" s="3"/>
      <c r="M11" s="3"/>
    </row>
    <row r="12" spans="1:13">
      <c r="A12" s="3">
        <v>11</v>
      </c>
      <c r="B12" s="4" t="s">
        <v>46</v>
      </c>
      <c r="C12" s="3" t="s">
        <v>47</v>
      </c>
      <c r="D12" s="3" t="s">
        <v>34</v>
      </c>
      <c r="E12" s="3" t="s">
        <v>166</v>
      </c>
      <c r="F12" s="3"/>
      <c r="G12" s="3" t="s">
        <v>15</v>
      </c>
      <c r="H12" s="3"/>
      <c r="I12" s="3"/>
      <c r="J12" s="3"/>
      <c r="K12" s="3"/>
      <c r="L12" s="3"/>
      <c r="M12" s="3"/>
    </row>
    <row r="15" spans="1:13">
      <c r="D15" s="7" t="s">
        <v>48</v>
      </c>
      <c r="E15" s="7" t="s">
        <v>163</v>
      </c>
    </row>
    <row r="16" spans="1:13">
      <c r="D16" s="7" t="s">
        <v>14</v>
      </c>
      <c r="E16" s="7" t="s">
        <v>167</v>
      </c>
    </row>
    <row r="17" spans="4:5">
      <c r="D17" s="7" t="s">
        <v>49</v>
      </c>
      <c r="E17" s="7" t="s">
        <v>168</v>
      </c>
    </row>
    <row r="18" spans="4:5">
      <c r="D18" s="7" t="s">
        <v>50</v>
      </c>
      <c r="E18" s="7" t="s">
        <v>169</v>
      </c>
    </row>
    <row r="19" spans="4:5">
      <c r="D19" s="7" t="s">
        <v>51</v>
      </c>
      <c r="E19" s="7"/>
    </row>
    <row r="20" spans="4:5">
      <c r="D20" s="7" t="s">
        <v>52</v>
      </c>
      <c r="E20" s="7"/>
    </row>
  </sheetData>
  <phoneticPr fontId="3" type="noConversion"/>
  <hyperlinks>
    <hyperlink ref="I4" r:id="rId1" xr:uid="{6F0EC9AE-355E-4487-BA6C-D7BE225D106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D19CF-95C8-4195-AF2E-1EB954E08C59}">
  <sheetPr codeName="Sheet3"/>
  <dimension ref="A1:K260"/>
  <sheetViews>
    <sheetView workbookViewId="0">
      <selection activeCell="C25" sqref="C25"/>
    </sheetView>
  </sheetViews>
  <sheetFormatPr defaultColWidth="8.875" defaultRowHeight="15.75"/>
  <cols>
    <col min="1" max="16384" width="8.875" style="2"/>
  </cols>
  <sheetData>
    <row r="1" spans="1:11">
      <c r="A1" s="2" t="s">
        <v>53</v>
      </c>
    </row>
    <row r="2" spans="1:11">
      <c r="A2" s="61" t="s">
        <v>54</v>
      </c>
      <c r="B2" s="62"/>
      <c r="C2" s="62" t="s">
        <v>55</v>
      </c>
      <c r="D2" s="62"/>
      <c r="E2" s="62"/>
      <c r="F2" s="62"/>
      <c r="G2" s="62"/>
      <c r="H2" s="62"/>
      <c r="I2" s="62"/>
      <c r="J2" s="62"/>
      <c r="K2" s="62" t="s">
        <v>56</v>
      </c>
    </row>
    <row r="3" spans="1:11">
      <c r="A3" s="62"/>
      <c r="B3" s="62"/>
      <c r="C3" s="62" t="s">
        <v>57</v>
      </c>
      <c r="D3" s="62"/>
      <c r="E3" s="62"/>
      <c r="F3" s="62"/>
      <c r="G3" s="62"/>
      <c r="H3" s="62"/>
      <c r="I3" s="62"/>
      <c r="J3" s="62"/>
      <c r="K3" s="62"/>
    </row>
    <row r="4" spans="1:11">
      <c r="A4" s="62"/>
      <c r="B4" s="62"/>
      <c r="C4" s="40" t="s">
        <v>58</v>
      </c>
      <c r="D4" s="40" t="s">
        <v>59</v>
      </c>
      <c r="E4" s="40" t="s">
        <v>60</v>
      </c>
      <c r="F4" s="40" t="s">
        <v>61</v>
      </c>
      <c r="G4" s="40" t="s">
        <v>62</v>
      </c>
      <c r="H4" s="40" t="s">
        <v>63</v>
      </c>
      <c r="I4" s="40" t="s">
        <v>64</v>
      </c>
      <c r="J4" s="40" t="s">
        <v>65</v>
      </c>
      <c r="K4" s="62"/>
    </row>
    <row r="5" spans="1:11">
      <c r="A5" s="40" t="s">
        <v>66</v>
      </c>
      <c r="B5" s="40" t="s">
        <v>67</v>
      </c>
      <c r="C5" s="62" t="s">
        <v>68</v>
      </c>
      <c r="D5" s="62"/>
      <c r="E5" s="62"/>
      <c r="F5" s="62"/>
      <c r="G5" s="62"/>
      <c r="H5" s="62"/>
      <c r="I5" s="62"/>
      <c r="J5" s="62"/>
      <c r="K5" s="40" t="s">
        <v>68</v>
      </c>
    </row>
    <row r="6" spans="1:11">
      <c r="A6" s="40" t="s">
        <v>69</v>
      </c>
      <c r="B6" s="40" t="s">
        <v>70</v>
      </c>
      <c r="C6" s="40" t="s">
        <v>70</v>
      </c>
      <c r="D6" s="40" t="s">
        <v>70</v>
      </c>
      <c r="E6" s="40" t="s">
        <v>70</v>
      </c>
      <c r="F6" s="40" t="s">
        <v>70</v>
      </c>
      <c r="G6" s="40" t="s">
        <v>70</v>
      </c>
      <c r="H6" s="40" t="s">
        <v>70</v>
      </c>
      <c r="I6" s="40" t="s">
        <v>70</v>
      </c>
      <c r="J6" s="40" t="s">
        <v>70</v>
      </c>
      <c r="K6" s="40" t="s">
        <v>70</v>
      </c>
    </row>
    <row r="7" spans="1:11">
      <c r="A7" s="3">
        <v>0</v>
      </c>
      <c r="B7" s="3">
        <v>88000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 t="s">
        <v>71</v>
      </c>
    </row>
    <row r="8" spans="1:11">
      <c r="A8" s="3">
        <v>88000</v>
      </c>
      <c r="B8" s="3">
        <v>89000</v>
      </c>
      <c r="C8" s="3">
        <v>130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3200</v>
      </c>
    </row>
    <row r="9" spans="1:11">
      <c r="A9" s="3">
        <v>89000</v>
      </c>
      <c r="B9" s="3">
        <v>90000</v>
      </c>
      <c r="C9" s="2">
        <v>180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3200</v>
      </c>
    </row>
    <row r="10" spans="1:11">
      <c r="A10" s="3">
        <v>90000</v>
      </c>
      <c r="B10" s="3">
        <v>91000</v>
      </c>
      <c r="C10" s="3">
        <v>230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3200</v>
      </c>
    </row>
    <row r="11" spans="1:11">
      <c r="A11" s="3">
        <v>91000</v>
      </c>
      <c r="B11" s="3">
        <v>92000</v>
      </c>
      <c r="C11" s="2">
        <v>290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3200</v>
      </c>
    </row>
    <row r="12" spans="1:11">
      <c r="A12" s="3">
        <v>92000</v>
      </c>
      <c r="B12" s="3">
        <v>93000</v>
      </c>
      <c r="C12" s="3">
        <v>340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3300</v>
      </c>
    </row>
    <row r="13" spans="1:11">
      <c r="A13" s="3">
        <v>93000</v>
      </c>
      <c r="B13" s="3">
        <v>94000</v>
      </c>
      <c r="C13" s="2">
        <v>390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3300</v>
      </c>
    </row>
    <row r="14" spans="1:11">
      <c r="A14" s="3">
        <v>94000</v>
      </c>
      <c r="B14" s="3">
        <v>95000</v>
      </c>
      <c r="C14" s="3">
        <v>440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3300</v>
      </c>
    </row>
    <row r="15" spans="1:11">
      <c r="A15" s="3">
        <v>95000</v>
      </c>
      <c r="B15" s="3">
        <v>96000</v>
      </c>
      <c r="C15" s="2">
        <v>490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3400</v>
      </c>
    </row>
    <row r="16" spans="1:11">
      <c r="A16" s="3">
        <v>96000</v>
      </c>
      <c r="B16" s="3">
        <v>97000</v>
      </c>
      <c r="C16" s="3">
        <v>540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3400</v>
      </c>
    </row>
    <row r="17" spans="1:11">
      <c r="A17" s="3">
        <v>97000</v>
      </c>
      <c r="B17" s="3">
        <v>98000</v>
      </c>
      <c r="C17" s="2">
        <v>590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3500</v>
      </c>
    </row>
    <row r="18" spans="1:11">
      <c r="A18" s="3">
        <v>98000</v>
      </c>
      <c r="B18" s="3">
        <v>99000</v>
      </c>
      <c r="C18" s="3">
        <v>640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3500</v>
      </c>
    </row>
    <row r="19" spans="1:11">
      <c r="A19" s="3">
        <v>99000</v>
      </c>
      <c r="B19" s="3">
        <v>101000</v>
      </c>
      <c r="C19" s="3">
        <v>720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3600</v>
      </c>
    </row>
    <row r="20" spans="1:11">
      <c r="A20" s="3">
        <v>101000</v>
      </c>
      <c r="B20" s="3">
        <v>103000</v>
      </c>
      <c r="C20" s="3">
        <v>830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3600</v>
      </c>
    </row>
    <row r="21" spans="1:11">
      <c r="A21" s="3">
        <v>103000</v>
      </c>
      <c r="B21" s="3">
        <v>105000</v>
      </c>
      <c r="C21" s="3">
        <v>930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3700</v>
      </c>
    </row>
    <row r="22" spans="1:11">
      <c r="A22" s="3">
        <v>105000</v>
      </c>
      <c r="B22" s="3">
        <v>107000</v>
      </c>
      <c r="C22" s="3">
        <v>1030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3800</v>
      </c>
    </row>
    <row r="23" spans="1:11">
      <c r="A23" s="3">
        <v>107000</v>
      </c>
      <c r="B23" s="3">
        <v>109000</v>
      </c>
      <c r="C23" s="3">
        <v>1130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3800</v>
      </c>
    </row>
    <row r="24" spans="1:11">
      <c r="A24" s="3">
        <v>109000</v>
      </c>
      <c r="B24" s="3">
        <v>111000</v>
      </c>
      <c r="C24" s="3">
        <v>1240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3900</v>
      </c>
    </row>
    <row r="25" spans="1:11">
      <c r="A25" s="3">
        <v>111000</v>
      </c>
      <c r="B25" s="3">
        <v>113000</v>
      </c>
      <c r="C25" s="3">
        <v>1340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4000</v>
      </c>
    </row>
    <row r="26" spans="1:11">
      <c r="A26" s="3">
        <v>113000</v>
      </c>
      <c r="B26" s="3">
        <v>115000</v>
      </c>
      <c r="C26" s="3">
        <v>1440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4100</v>
      </c>
    </row>
    <row r="27" spans="1:11">
      <c r="A27" s="3">
        <v>115000</v>
      </c>
      <c r="B27" s="3">
        <v>117000</v>
      </c>
      <c r="C27" s="3">
        <v>1540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4100</v>
      </c>
    </row>
    <row r="28" spans="1:11">
      <c r="A28" s="3">
        <v>117000</v>
      </c>
      <c r="B28" s="3">
        <v>119000</v>
      </c>
      <c r="C28" s="3">
        <v>1640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4200</v>
      </c>
    </row>
    <row r="29" spans="1:11">
      <c r="A29" s="3">
        <v>119000</v>
      </c>
      <c r="B29" s="3">
        <v>121000</v>
      </c>
      <c r="C29" s="3">
        <v>1750</v>
      </c>
      <c r="D29" s="3">
        <v>120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4300</v>
      </c>
    </row>
    <row r="30" spans="1:11">
      <c r="A30" s="3">
        <v>121000</v>
      </c>
      <c r="B30" s="3">
        <v>123000</v>
      </c>
      <c r="C30" s="3">
        <v>1850</v>
      </c>
      <c r="D30" s="3">
        <v>220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4500</v>
      </c>
    </row>
    <row r="31" spans="1:11">
      <c r="A31" s="3">
        <v>123000</v>
      </c>
      <c r="B31" s="3">
        <v>125000</v>
      </c>
      <c r="C31" s="3">
        <v>1950</v>
      </c>
      <c r="D31" s="3">
        <v>330</v>
      </c>
      <c r="E31" s="3">
        <v>0</v>
      </c>
      <c r="F31" s="3">
        <v>0</v>
      </c>
      <c r="G31" s="3">
        <v>0</v>
      </c>
      <c r="H31" s="3">
        <v>0</v>
      </c>
      <c r="I31" s="3">
        <v>0</v>
      </c>
      <c r="J31" s="3">
        <v>0</v>
      </c>
      <c r="K31" s="3">
        <v>4800</v>
      </c>
    </row>
    <row r="32" spans="1:11">
      <c r="A32" s="3">
        <v>125000</v>
      </c>
      <c r="B32" s="3">
        <v>127000</v>
      </c>
      <c r="C32" s="3">
        <v>2050</v>
      </c>
      <c r="D32" s="3">
        <v>430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J32" s="3">
        <v>0</v>
      </c>
      <c r="K32" s="3">
        <v>5100</v>
      </c>
    </row>
    <row r="33" spans="1:11">
      <c r="A33" s="3">
        <v>127000</v>
      </c>
      <c r="B33" s="3">
        <v>129000</v>
      </c>
      <c r="C33" s="3">
        <v>2150</v>
      </c>
      <c r="D33" s="3">
        <v>530</v>
      </c>
      <c r="E33" s="3">
        <v>0</v>
      </c>
      <c r="F33" s="3">
        <v>0</v>
      </c>
      <c r="G33" s="3">
        <v>0</v>
      </c>
      <c r="H33" s="3">
        <v>0</v>
      </c>
      <c r="I33" s="3">
        <v>0</v>
      </c>
      <c r="J33" s="3">
        <v>0</v>
      </c>
      <c r="K33" s="3">
        <v>5400</v>
      </c>
    </row>
    <row r="34" spans="1:11">
      <c r="A34" s="3">
        <v>129000</v>
      </c>
      <c r="B34" s="3">
        <v>131000</v>
      </c>
      <c r="C34" s="3">
        <v>2260</v>
      </c>
      <c r="D34" s="3">
        <v>630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0</v>
      </c>
      <c r="K34" s="3">
        <v>5700</v>
      </c>
    </row>
    <row r="35" spans="1:11">
      <c r="A35" s="3">
        <v>131000</v>
      </c>
      <c r="B35" s="3">
        <v>133000</v>
      </c>
      <c r="C35" s="3">
        <v>2360</v>
      </c>
      <c r="D35" s="3">
        <v>740</v>
      </c>
      <c r="E35" s="3">
        <v>0</v>
      </c>
      <c r="F35" s="3">
        <v>0</v>
      </c>
      <c r="G35" s="3">
        <v>0</v>
      </c>
      <c r="H35" s="3">
        <v>0</v>
      </c>
      <c r="I35" s="3">
        <v>0</v>
      </c>
      <c r="J35" s="3">
        <v>0</v>
      </c>
      <c r="K35" s="3">
        <v>6000</v>
      </c>
    </row>
    <row r="36" spans="1:11">
      <c r="A36" s="3">
        <v>133000</v>
      </c>
      <c r="B36" s="3">
        <v>135000</v>
      </c>
      <c r="C36" s="3">
        <v>2460</v>
      </c>
      <c r="D36" s="3">
        <v>840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0</v>
      </c>
      <c r="K36" s="3">
        <v>6300</v>
      </c>
    </row>
    <row r="37" spans="1:11">
      <c r="A37" s="3">
        <v>135000</v>
      </c>
      <c r="B37" s="3">
        <v>137000</v>
      </c>
      <c r="C37" s="3">
        <v>2550</v>
      </c>
      <c r="D37" s="3">
        <v>930</v>
      </c>
      <c r="E37" s="3">
        <v>0</v>
      </c>
      <c r="F37" s="3">
        <v>0</v>
      </c>
      <c r="G37" s="3">
        <v>0</v>
      </c>
      <c r="H37" s="3">
        <v>0</v>
      </c>
      <c r="I37" s="3">
        <v>0</v>
      </c>
      <c r="J37" s="3">
        <v>0</v>
      </c>
      <c r="K37" s="3">
        <v>6600</v>
      </c>
    </row>
    <row r="38" spans="1:11">
      <c r="A38" s="3">
        <v>137000</v>
      </c>
      <c r="B38" s="3">
        <v>139000</v>
      </c>
      <c r="C38" s="3">
        <v>2610</v>
      </c>
      <c r="D38" s="3">
        <v>990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6800</v>
      </c>
    </row>
    <row r="39" spans="1:11">
      <c r="A39" s="3">
        <v>139000</v>
      </c>
      <c r="B39" s="3">
        <v>141000</v>
      </c>
      <c r="C39" s="3">
        <v>2680</v>
      </c>
      <c r="D39" s="3">
        <v>1050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0</v>
      </c>
      <c r="K39" s="3">
        <v>7100</v>
      </c>
    </row>
    <row r="40" spans="1:11">
      <c r="A40" s="3">
        <v>141000</v>
      </c>
      <c r="B40" s="3">
        <v>143000</v>
      </c>
      <c r="C40" s="3">
        <v>2740</v>
      </c>
      <c r="D40" s="3">
        <v>1110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3">
        <v>0</v>
      </c>
      <c r="K40" s="3">
        <v>7500</v>
      </c>
    </row>
    <row r="41" spans="1:11">
      <c r="A41" s="3">
        <v>143000</v>
      </c>
      <c r="B41" s="3">
        <v>145000</v>
      </c>
      <c r="C41" s="3">
        <v>2800</v>
      </c>
      <c r="D41" s="3">
        <v>1170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7800</v>
      </c>
    </row>
    <row r="42" spans="1:11">
      <c r="A42" s="3">
        <v>145000</v>
      </c>
      <c r="B42" s="3">
        <v>147000</v>
      </c>
      <c r="C42" s="3">
        <v>2860</v>
      </c>
      <c r="D42" s="3">
        <v>1240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>
        <v>8100</v>
      </c>
    </row>
    <row r="43" spans="1:11">
      <c r="A43" s="3">
        <v>147000</v>
      </c>
      <c r="B43" s="3">
        <v>149000</v>
      </c>
      <c r="C43" s="3">
        <v>2920</v>
      </c>
      <c r="D43" s="3">
        <v>1300</v>
      </c>
      <c r="E43" s="3">
        <v>0</v>
      </c>
      <c r="F43" s="3">
        <v>0</v>
      </c>
      <c r="G43" s="3">
        <v>0</v>
      </c>
      <c r="H43" s="3">
        <v>0</v>
      </c>
      <c r="I43" s="3">
        <v>0</v>
      </c>
      <c r="J43" s="3">
        <v>0</v>
      </c>
      <c r="K43" s="3">
        <v>8400</v>
      </c>
    </row>
    <row r="44" spans="1:11">
      <c r="A44" s="3">
        <v>149000</v>
      </c>
      <c r="B44" s="3">
        <v>151000</v>
      </c>
      <c r="C44" s="3">
        <v>2980</v>
      </c>
      <c r="D44" s="3">
        <v>1360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8700</v>
      </c>
    </row>
    <row r="45" spans="1:11">
      <c r="A45" s="3">
        <v>151000</v>
      </c>
      <c r="B45" s="3">
        <v>153000</v>
      </c>
      <c r="C45" s="3">
        <v>3050</v>
      </c>
      <c r="D45" s="3">
        <v>1430</v>
      </c>
      <c r="E45" s="3">
        <v>0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>
        <v>9000</v>
      </c>
    </row>
    <row r="46" spans="1:11">
      <c r="A46" s="3">
        <v>153000</v>
      </c>
      <c r="B46" s="3">
        <v>155000</v>
      </c>
      <c r="C46" s="3">
        <v>3120</v>
      </c>
      <c r="D46" s="3">
        <v>1500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0</v>
      </c>
      <c r="K46" s="3">
        <v>9300</v>
      </c>
    </row>
    <row r="47" spans="1:11">
      <c r="A47" s="3">
        <v>155000</v>
      </c>
      <c r="B47" s="3">
        <v>157000</v>
      </c>
      <c r="C47" s="3">
        <v>3200</v>
      </c>
      <c r="D47" s="3">
        <v>1570</v>
      </c>
      <c r="E47" s="3">
        <v>0</v>
      </c>
      <c r="F47" s="3">
        <v>0</v>
      </c>
      <c r="G47" s="3">
        <v>0</v>
      </c>
      <c r="H47" s="3">
        <v>0</v>
      </c>
      <c r="I47" s="3">
        <v>0</v>
      </c>
      <c r="J47" s="3">
        <v>0</v>
      </c>
      <c r="K47" s="3">
        <v>9600</v>
      </c>
    </row>
    <row r="48" spans="1:11">
      <c r="A48" s="3">
        <v>157000</v>
      </c>
      <c r="B48" s="3">
        <v>159000</v>
      </c>
      <c r="C48" s="3">
        <v>3270</v>
      </c>
      <c r="D48" s="3">
        <v>1640</v>
      </c>
      <c r="E48" s="3">
        <v>0</v>
      </c>
      <c r="F48" s="3">
        <v>0</v>
      </c>
      <c r="G48" s="3">
        <v>0</v>
      </c>
      <c r="H48" s="3">
        <v>0</v>
      </c>
      <c r="I48" s="3">
        <v>0</v>
      </c>
      <c r="J48" s="3">
        <v>0</v>
      </c>
      <c r="K48" s="3">
        <v>9900</v>
      </c>
    </row>
    <row r="49" spans="1:11">
      <c r="A49" s="3">
        <v>159000</v>
      </c>
      <c r="B49" s="3">
        <v>161000</v>
      </c>
      <c r="C49" s="3">
        <v>3340</v>
      </c>
      <c r="D49" s="3">
        <v>1720</v>
      </c>
      <c r="E49" s="3">
        <v>100</v>
      </c>
      <c r="F49" s="3">
        <v>0</v>
      </c>
      <c r="G49" s="3">
        <v>0</v>
      </c>
      <c r="H49" s="3">
        <v>0</v>
      </c>
      <c r="I49" s="3">
        <v>0</v>
      </c>
      <c r="J49" s="3">
        <v>0</v>
      </c>
      <c r="K49" s="3">
        <v>10200</v>
      </c>
    </row>
    <row r="50" spans="1:11">
      <c r="A50" s="3">
        <v>161000</v>
      </c>
      <c r="B50" s="3">
        <v>163000</v>
      </c>
      <c r="C50" s="3">
        <v>3410</v>
      </c>
      <c r="D50" s="3">
        <v>1790</v>
      </c>
      <c r="E50" s="3">
        <v>170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10500</v>
      </c>
    </row>
    <row r="51" spans="1:11">
      <c r="A51" s="3">
        <v>163000</v>
      </c>
      <c r="B51" s="3">
        <v>165000</v>
      </c>
      <c r="C51" s="3">
        <v>3480</v>
      </c>
      <c r="D51" s="3">
        <v>1860</v>
      </c>
      <c r="E51" s="3">
        <v>250</v>
      </c>
      <c r="F51" s="3">
        <v>0</v>
      </c>
      <c r="G51" s="3">
        <v>0</v>
      </c>
      <c r="H51" s="3">
        <v>0</v>
      </c>
      <c r="I51" s="3">
        <v>0</v>
      </c>
      <c r="J51" s="3">
        <v>0</v>
      </c>
      <c r="K51" s="3">
        <v>10800</v>
      </c>
    </row>
    <row r="52" spans="1:11">
      <c r="A52" s="3">
        <v>165000</v>
      </c>
      <c r="B52" s="3">
        <v>167000</v>
      </c>
      <c r="C52" s="3">
        <v>3550</v>
      </c>
      <c r="D52" s="3">
        <v>1930</v>
      </c>
      <c r="E52" s="3">
        <v>320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11100</v>
      </c>
    </row>
    <row r="53" spans="1:11">
      <c r="A53" s="3">
        <v>167000</v>
      </c>
      <c r="B53" s="3">
        <v>169000</v>
      </c>
      <c r="C53" s="3">
        <v>3620</v>
      </c>
      <c r="D53" s="3">
        <v>2000</v>
      </c>
      <c r="E53" s="3">
        <v>390</v>
      </c>
      <c r="F53" s="3">
        <v>0</v>
      </c>
      <c r="G53" s="3">
        <v>0</v>
      </c>
      <c r="H53" s="3">
        <v>0</v>
      </c>
      <c r="I53" s="3">
        <v>0</v>
      </c>
      <c r="J53" s="3">
        <v>0</v>
      </c>
      <c r="K53" s="3">
        <v>11400</v>
      </c>
    </row>
    <row r="54" spans="1:11">
      <c r="A54" s="3">
        <v>169000</v>
      </c>
      <c r="B54" s="3">
        <v>171000</v>
      </c>
      <c r="C54" s="3">
        <v>3700</v>
      </c>
      <c r="D54" s="3">
        <v>2070</v>
      </c>
      <c r="E54" s="3">
        <v>460</v>
      </c>
      <c r="F54" s="3">
        <v>0</v>
      </c>
      <c r="G54" s="3">
        <v>0</v>
      </c>
      <c r="H54" s="3">
        <v>0</v>
      </c>
      <c r="I54" s="3">
        <v>0</v>
      </c>
      <c r="J54" s="3">
        <v>0</v>
      </c>
      <c r="K54" s="3">
        <v>11700</v>
      </c>
    </row>
    <row r="55" spans="1:11">
      <c r="A55" s="3">
        <v>171000</v>
      </c>
      <c r="B55" s="3">
        <v>173000</v>
      </c>
      <c r="C55" s="3">
        <v>3770</v>
      </c>
      <c r="D55" s="3">
        <v>2140</v>
      </c>
      <c r="E55" s="3">
        <v>530</v>
      </c>
      <c r="F55" s="3">
        <v>0</v>
      </c>
      <c r="G55" s="3">
        <v>0</v>
      </c>
      <c r="H55" s="3">
        <v>0</v>
      </c>
      <c r="I55" s="3">
        <v>0</v>
      </c>
      <c r="J55" s="3">
        <v>0</v>
      </c>
      <c r="K55" s="3">
        <v>12000</v>
      </c>
    </row>
    <row r="56" spans="1:11">
      <c r="A56" s="3">
        <v>173000</v>
      </c>
      <c r="B56" s="3">
        <v>175000</v>
      </c>
      <c r="C56" s="3">
        <v>3840</v>
      </c>
      <c r="D56" s="3">
        <v>2220</v>
      </c>
      <c r="E56" s="3">
        <v>600</v>
      </c>
      <c r="F56" s="3">
        <v>0</v>
      </c>
      <c r="G56" s="3">
        <v>0</v>
      </c>
      <c r="H56" s="3">
        <v>0</v>
      </c>
      <c r="I56" s="3">
        <v>0</v>
      </c>
      <c r="J56" s="3">
        <v>0</v>
      </c>
      <c r="K56" s="3">
        <v>12400</v>
      </c>
    </row>
    <row r="57" spans="1:11">
      <c r="A57" s="3">
        <v>175000</v>
      </c>
      <c r="B57" s="3">
        <v>177000</v>
      </c>
      <c r="C57" s="3">
        <v>3910</v>
      </c>
      <c r="D57" s="3">
        <v>2290</v>
      </c>
      <c r="E57" s="3">
        <v>670</v>
      </c>
      <c r="F57" s="3">
        <v>0</v>
      </c>
      <c r="G57" s="3">
        <v>0</v>
      </c>
      <c r="H57" s="3">
        <v>0</v>
      </c>
      <c r="I57" s="3">
        <v>0</v>
      </c>
      <c r="J57" s="3">
        <v>0</v>
      </c>
      <c r="K57" s="3">
        <v>12700</v>
      </c>
    </row>
    <row r="58" spans="1:11">
      <c r="A58" s="3">
        <v>177000</v>
      </c>
      <c r="B58" s="3">
        <v>179000</v>
      </c>
      <c r="C58" s="3">
        <v>3980</v>
      </c>
      <c r="D58" s="3">
        <v>2360</v>
      </c>
      <c r="E58" s="3">
        <v>750</v>
      </c>
      <c r="F58" s="3">
        <v>0</v>
      </c>
      <c r="G58" s="3">
        <v>0</v>
      </c>
      <c r="H58" s="3">
        <v>0</v>
      </c>
      <c r="I58" s="3">
        <v>0</v>
      </c>
      <c r="J58" s="3">
        <v>0</v>
      </c>
      <c r="K58" s="3">
        <v>13200</v>
      </c>
    </row>
    <row r="59" spans="1:11">
      <c r="A59" s="3">
        <v>179000</v>
      </c>
      <c r="B59" s="3">
        <v>181000</v>
      </c>
      <c r="C59" s="3">
        <v>4050</v>
      </c>
      <c r="D59" s="3">
        <v>2430</v>
      </c>
      <c r="E59" s="3">
        <v>820</v>
      </c>
      <c r="F59" s="3">
        <v>0</v>
      </c>
      <c r="G59" s="3">
        <v>0</v>
      </c>
      <c r="H59" s="3">
        <v>0</v>
      </c>
      <c r="I59" s="3">
        <v>0</v>
      </c>
      <c r="J59" s="3">
        <v>0</v>
      </c>
      <c r="K59" s="3">
        <v>13900</v>
      </c>
    </row>
    <row r="60" spans="1:11">
      <c r="A60" s="3">
        <v>181000</v>
      </c>
      <c r="B60" s="3">
        <v>183000</v>
      </c>
      <c r="C60" s="3">
        <v>4120</v>
      </c>
      <c r="D60" s="3">
        <v>2500</v>
      </c>
      <c r="E60" s="3">
        <v>890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14600</v>
      </c>
    </row>
    <row r="61" spans="1:11">
      <c r="A61" s="3">
        <v>183000</v>
      </c>
      <c r="B61" s="3">
        <v>185000</v>
      </c>
      <c r="C61" s="3">
        <v>4200</v>
      </c>
      <c r="D61" s="3">
        <v>2570</v>
      </c>
      <c r="E61" s="3">
        <v>960</v>
      </c>
      <c r="F61" s="3">
        <v>0</v>
      </c>
      <c r="G61" s="3">
        <v>0</v>
      </c>
      <c r="H61" s="3">
        <v>0</v>
      </c>
      <c r="I61" s="3">
        <v>0</v>
      </c>
      <c r="J61" s="3">
        <v>0</v>
      </c>
      <c r="K61" s="3">
        <v>15300</v>
      </c>
    </row>
    <row r="62" spans="1:11">
      <c r="A62" s="3">
        <v>185000</v>
      </c>
      <c r="B62" s="3">
        <v>187000</v>
      </c>
      <c r="C62" s="3">
        <v>4270</v>
      </c>
      <c r="D62" s="3">
        <v>2640</v>
      </c>
      <c r="E62" s="3">
        <v>1030</v>
      </c>
      <c r="F62" s="3">
        <v>0</v>
      </c>
      <c r="G62" s="3">
        <v>0</v>
      </c>
      <c r="H62" s="3">
        <v>0</v>
      </c>
      <c r="I62" s="3">
        <v>0</v>
      </c>
      <c r="J62" s="3">
        <v>0</v>
      </c>
      <c r="K62" s="3">
        <v>16000</v>
      </c>
    </row>
    <row r="63" spans="1:11">
      <c r="A63" s="3">
        <v>187000</v>
      </c>
      <c r="B63" s="3">
        <v>189000</v>
      </c>
      <c r="C63" s="3">
        <v>4340</v>
      </c>
      <c r="D63" s="3">
        <v>2720</v>
      </c>
      <c r="E63" s="3">
        <v>1100</v>
      </c>
      <c r="F63" s="3">
        <v>0</v>
      </c>
      <c r="G63" s="3">
        <v>0</v>
      </c>
      <c r="H63" s="3">
        <v>0</v>
      </c>
      <c r="I63" s="3">
        <v>0</v>
      </c>
      <c r="J63" s="3">
        <v>0</v>
      </c>
      <c r="K63" s="3">
        <v>16700</v>
      </c>
    </row>
    <row r="64" spans="1:11">
      <c r="A64" s="3">
        <v>189000</v>
      </c>
      <c r="B64" s="3">
        <v>191000</v>
      </c>
      <c r="C64" s="3">
        <v>4410</v>
      </c>
      <c r="D64" s="3">
        <v>2790</v>
      </c>
      <c r="E64" s="3">
        <v>1170</v>
      </c>
      <c r="F64" s="3">
        <v>0</v>
      </c>
      <c r="G64" s="3">
        <v>0</v>
      </c>
      <c r="H64" s="3">
        <v>0</v>
      </c>
      <c r="I64" s="3">
        <v>0</v>
      </c>
      <c r="J64" s="3">
        <v>0</v>
      </c>
      <c r="K64" s="3">
        <v>17500</v>
      </c>
    </row>
    <row r="65" spans="1:11">
      <c r="A65" s="3">
        <v>191000</v>
      </c>
      <c r="B65" s="3">
        <v>193000</v>
      </c>
      <c r="C65" s="3">
        <v>4480</v>
      </c>
      <c r="D65" s="3">
        <v>2860</v>
      </c>
      <c r="E65" s="3">
        <v>1250</v>
      </c>
      <c r="F65" s="3">
        <v>0</v>
      </c>
      <c r="G65" s="3">
        <v>0</v>
      </c>
      <c r="H65" s="3">
        <v>0</v>
      </c>
      <c r="I65" s="3">
        <v>0</v>
      </c>
      <c r="J65" s="3">
        <v>0</v>
      </c>
      <c r="K65" s="3">
        <v>18100</v>
      </c>
    </row>
    <row r="66" spans="1:11">
      <c r="A66" s="3">
        <v>193000</v>
      </c>
      <c r="B66" s="3">
        <v>195000</v>
      </c>
      <c r="C66" s="3">
        <v>4550</v>
      </c>
      <c r="D66" s="3">
        <v>2930</v>
      </c>
      <c r="E66" s="3">
        <v>1320</v>
      </c>
      <c r="F66" s="3">
        <v>0</v>
      </c>
      <c r="G66" s="3">
        <v>0</v>
      </c>
      <c r="H66" s="3">
        <v>0</v>
      </c>
      <c r="I66" s="3">
        <v>0</v>
      </c>
      <c r="J66" s="3">
        <v>0</v>
      </c>
      <c r="K66" s="3">
        <v>18800</v>
      </c>
    </row>
    <row r="67" spans="1:11">
      <c r="A67" s="3">
        <v>195000</v>
      </c>
      <c r="B67" s="3">
        <v>197000</v>
      </c>
      <c r="C67" s="3">
        <v>4630</v>
      </c>
      <c r="D67" s="3">
        <v>3000</v>
      </c>
      <c r="E67" s="3">
        <v>1390</v>
      </c>
      <c r="F67" s="3">
        <v>0</v>
      </c>
      <c r="G67" s="3">
        <v>0</v>
      </c>
      <c r="H67" s="3">
        <v>0</v>
      </c>
      <c r="I67" s="3">
        <v>0</v>
      </c>
      <c r="J67" s="3">
        <v>0</v>
      </c>
      <c r="K67" s="3">
        <v>19500</v>
      </c>
    </row>
    <row r="68" spans="1:11">
      <c r="A68" s="3">
        <v>197000</v>
      </c>
      <c r="B68" s="3">
        <v>199000</v>
      </c>
      <c r="C68" s="3">
        <v>4700</v>
      </c>
      <c r="D68" s="3">
        <v>3070</v>
      </c>
      <c r="E68" s="3">
        <v>1460</v>
      </c>
      <c r="F68" s="3">
        <v>0</v>
      </c>
      <c r="G68" s="3">
        <v>0</v>
      </c>
      <c r="H68" s="3">
        <v>0</v>
      </c>
      <c r="I68" s="3">
        <v>0</v>
      </c>
      <c r="J68" s="3">
        <v>0</v>
      </c>
      <c r="K68" s="3">
        <v>20200</v>
      </c>
    </row>
    <row r="69" spans="1:11">
      <c r="A69" s="3">
        <v>199000</v>
      </c>
      <c r="B69" s="3">
        <v>201000</v>
      </c>
      <c r="C69" s="3">
        <v>4770</v>
      </c>
      <c r="D69" s="3">
        <v>3140</v>
      </c>
      <c r="E69" s="3">
        <v>1530</v>
      </c>
      <c r="F69" s="3">
        <v>0</v>
      </c>
      <c r="G69" s="3">
        <v>0</v>
      </c>
      <c r="H69" s="3">
        <v>0</v>
      </c>
      <c r="I69" s="3">
        <v>0</v>
      </c>
      <c r="J69" s="3">
        <v>0</v>
      </c>
      <c r="K69" s="3">
        <v>20900</v>
      </c>
    </row>
    <row r="70" spans="1:11">
      <c r="A70" s="3">
        <v>201000</v>
      </c>
      <c r="B70" s="3">
        <v>203000</v>
      </c>
      <c r="C70" s="3">
        <v>4840</v>
      </c>
      <c r="D70" s="3">
        <v>3220</v>
      </c>
      <c r="E70" s="3">
        <v>1600</v>
      </c>
      <c r="F70" s="3">
        <v>0</v>
      </c>
      <c r="G70" s="3">
        <v>0</v>
      </c>
      <c r="H70" s="3">
        <v>0</v>
      </c>
      <c r="I70" s="3">
        <v>0</v>
      </c>
      <c r="J70" s="3">
        <v>0</v>
      </c>
      <c r="K70" s="3">
        <v>21500</v>
      </c>
    </row>
    <row r="71" spans="1:11">
      <c r="A71" s="3">
        <v>203000</v>
      </c>
      <c r="B71" s="3">
        <v>205000</v>
      </c>
      <c r="C71" s="3">
        <v>4910</v>
      </c>
      <c r="D71" s="3">
        <v>3290</v>
      </c>
      <c r="E71" s="3">
        <v>1670</v>
      </c>
      <c r="F71" s="3">
        <v>0</v>
      </c>
      <c r="G71" s="3">
        <v>0</v>
      </c>
      <c r="H71" s="3">
        <v>0</v>
      </c>
      <c r="I71" s="3">
        <v>0</v>
      </c>
      <c r="J71" s="3">
        <v>0</v>
      </c>
      <c r="K71" s="3">
        <v>22200</v>
      </c>
    </row>
    <row r="72" spans="1:11">
      <c r="A72" s="3">
        <v>205000</v>
      </c>
      <c r="B72" s="3">
        <v>207000</v>
      </c>
      <c r="C72" s="3">
        <v>4980</v>
      </c>
      <c r="D72" s="3">
        <v>3360</v>
      </c>
      <c r="E72" s="3">
        <v>1750</v>
      </c>
      <c r="F72" s="3">
        <v>130</v>
      </c>
      <c r="G72" s="3">
        <v>0</v>
      </c>
      <c r="H72" s="3">
        <v>0</v>
      </c>
      <c r="I72" s="3">
        <v>0</v>
      </c>
      <c r="J72" s="3">
        <v>0</v>
      </c>
      <c r="K72" s="3">
        <v>22700</v>
      </c>
    </row>
    <row r="73" spans="1:11">
      <c r="A73" s="3">
        <v>207000</v>
      </c>
      <c r="B73" s="3">
        <v>209000</v>
      </c>
      <c r="C73" s="3">
        <v>5050</v>
      </c>
      <c r="D73" s="3">
        <v>3430</v>
      </c>
      <c r="E73" s="3">
        <v>1820</v>
      </c>
      <c r="F73" s="3">
        <v>200</v>
      </c>
      <c r="G73" s="3">
        <v>0</v>
      </c>
      <c r="H73" s="3">
        <v>0</v>
      </c>
      <c r="I73" s="3">
        <v>0</v>
      </c>
      <c r="J73" s="3">
        <v>0</v>
      </c>
      <c r="K73" s="3">
        <v>23300</v>
      </c>
    </row>
    <row r="74" spans="1:11">
      <c r="A74" s="3">
        <v>209000</v>
      </c>
      <c r="B74" s="3">
        <v>211000</v>
      </c>
      <c r="C74" s="3">
        <v>5130</v>
      </c>
      <c r="D74" s="3">
        <v>3500</v>
      </c>
      <c r="E74" s="3">
        <v>1890</v>
      </c>
      <c r="F74" s="3">
        <v>280</v>
      </c>
      <c r="G74" s="3">
        <v>0</v>
      </c>
      <c r="H74" s="3">
        <v>0</v>
      </c>
      <c r="I74" s="3">
        <v>0</v>
      </c>
      <c r="J74" s="3">
        <v>0</v>
      </c>
      <c r="K74" s="3">
        <v>23900</v>
      </c>
    </row>
    <row r="75" spans="1:11">
      <c r="A75" s="3">
        <v>211000</v>
      </c>
      <c r="B75" s="3">
        <v>213000</v>
      </c>
      <c r="C75" s="3">
        <v>5200</v>
      </c>
      <c r="D75" s="3">
        <v>3570</v>
      </c>
      <c r="E75" s="3">
        <v>1960</v>
      </c>
      <c r="F75" s="3">
        <v>350</v>
      </c>
      <c r="G75" s="3">
        <v>0</v>
      </c>
      <c r="H75" s="3">
        <v>0</v>
      </c>
      <c r="I75" s="3">
        <v>0</v>
      </c>
      <c r="J75" s="3">
        <v>0</v>
      </c>
      <c r="K75" s="3">
        <v>24400</v>
      </c>
    </row>
    <row r="76" spans="1:11">
      <c r="A76" s="3">
        <v>213000</v>
      </c>
      <c r="B76" s="3">
        <v>215000</v>
      </c>
      <c r="C76" s="3">
        <v>5270</v>
      </c>
      <c r="D76" s="3">
        <v>3640</v>
      </c>
      <c r="E76" s="3">
        <v>2030</v>
      </c>
      <c r="F76" s="3">
        <v>420</v>
      </c>
      <c r="G76" s="3">
        <v>0</v>
      </c>
      <c r="H76" s="3">
        <v>0</v>
      </c>
      <c r="I76" s="3">
        <v>0</v>
      </c>
      <c r="J76" s="3">
        <v>0</v>
      </c>
      <c r="K76" s="3">
        <v>25000</v>
      </c>
    </row>
    <row r="77" spans="1:11">
      <c r="A77" s="3">
        <v>215000</v>
      </c>
      <c r="B77" s="3">
        <v>217000</v>
      </c>
      <c r="C77" s="3">
        <v>5340</v>
      </c>
      <c r="D77" s="3">
        <v>3720</v>
      </c>
      <c r="E77" s="3">
        <v>2100</v>
      </c>
      <c r="F77" s="3">
        <v>490</v>
      </c>
      <c r="G77" s="3">
        <v>0</v>
      </c>
      <c r="H77" s="3">
        <v>0</v>
      </c>
      <c r="I77" s="3">
        <v>0</v>
      </c>
      <c r="J77" s="3">
        <v>0</v>
      </c>
      <c r="K77" s="3">
        <v>25500</v>
      </c>
    </row>
    <row r="78" spans="1:11">
      <c r="A78" s="3">
        <v>217000</v>
      </c>
      <c r="B78" s="3">
        <v>219000</v>
      </c>
      <c r="C78" s="3">
        <v>5410</v>
      </c>
      <c r="D78" s="3">
        <v>3790</v>
      </c>
      <c r="E78" s="3">
        <v>2170</v>
      </c>
      <c r="F78" s="3">
        <v>560</v>
      </c>
      <c r="G78" s="3">
        <v>0</v>
      </c>
      <c r="H78" s="3">
        <v>0</v>
      </c>
      <c r="I78" s="3">
        <v>0</v>
      </c>
      <c r="J78" s="3">
        <v>0</v>
      </c>
      <c r="K78" s="3">
        <v>26100</v>
      </c>
    </row>
    <row r="79" spans="1:11">
      <c r="A79" s="3">
        <v>219000</v>
      </c>
      <c r="B79" s="3">
        <v>221000</v>
      </c>
      <c r="C79" s="3">
        <v>5480</v>
      </c>
      <c r="D79" s="3">
        <v>3860</v>
      </c>
      <c r="E79" s="3">
        <v>2250</v>
      </c>
      <c r="F79" s="3">
        <v>630</v>
      </c>
      <c r="G79" s="3">
        <v>0</v>
      </c>
      <c r="H79" s="3">
        <v>0</v>
      </c>
      <c r="I79" s="3">
        <v>0</v>
      </c>
      <c r="J79" s="3">
        <v>0</v>
      </c>
      <c r="K79" s="3">
        <v>26800</v>
      </c>
    </row>
    <row r="80" spans="1:11">
      <c r="A80" s="3">
        <v>221000</v>
      </c>
      <c r="B80" s="3">
        <v>224000</v>
      </c>
      <c r="C80" s="3">
        <v>5560</v>
      </c>
      <c r="D80" s="3">
        <v>3950</v>
      </c>
      <c r="E80" s="3">
        <v>2340</v>
      </c>
      <c r="F80" s="3">
        <v>710</v>
      </c>
      <c r="G80" s="3">
        <v>0</v>
      </c>
      <c r="H80" s="3">
        <v>0</v>
      </c>
      <c r="I80" s="3">
        <v>0</v>
      </c>
      <c r="J80" s="3">
        <v>0</v>
      </c>
      <c r="K80" s="3">
        <v>27400</v>
      </c>
    </row>
    <row r="81" spans="1:11">
      <c r="A81" s="3">
        <v>224000</v>
      </c>
      <c r="B81" s="3">
        <v>227000</v>
      </c>
      <c r="C81" s="3">
        <v>5680</v>
      </c>
      <c r="D81" s="3">
        <v>4060</v>
      </c>
      <c r="E81" s="3">
        <v>2440</v>
      </c>
      <c r="F81" s="3">
        <v>830</v>
      </c>
      <c r="G81" s="3">
        <v>0</v>
      </c>
      <c r="H81" s="3">
        <v>0</v>
      </c>
      <c r="I81" s="3">
        <v>0</v>
      </c>
      <c r="J81" s="3">
        <v>0</v>
      </c>
      <c r="K81" s="3">
        <v>28400</v>
      </c>
    </row>
    <row r="82" spans="1:11">
      <c r="A82" s="3">
        <v>227000</v>
      </c>
      <c r="B82" s="3">
        <v>230000</v>
      </c>
      <c r="C82" s="3">
        <v>5780</v>
      </c>
      <c r="D82" s="3">
        <v>4170</v>
      </c>
      <c r="E82" s="3">
        <v>2550</v>
      </c>
      <c r="F82" s="3">
        <v>930</v>
      </c>
      <c r="G82" s="3">
        <v>0</v>
      </c>
      <c r="H82" s="3">
        <v>0</v>
      </c>
      <c r="I82" s="3">
        <v>0</v>
      </c>
      <c r="J82" s="3">
        <v>0</v>
      </c>
      <c r="K82" s="3">
        <v>29300</v>
      </c>
    </row>
    <row r="83" spans="1:11">
      <c r="A83" s="3">
        <v>230000</v>
      </c>
      <c r="B83" s="3">
        <v>233000</v>
      </c>
      <c r="C83" s="3">
        <v>5890</v>
      </c>
      <c r="D83" s="3">
        <v>4280</v>
      </c>
      <c r="E83" s="3">
        <v>2650</v>
      </c>
      <c r="F83" s="3">
        <v>1040</v>
      </c>
      <c r="G83" s="3">
        <v>0</v>
      </c>
      <c r="H83" s="3">
        <v>0</v>
      </c>
      <c r="I83" s="3">
        <v>0</v>
      </c>
      <c r="J83" s="3">
        <v>0</v>
      </c>
      <c r="K83" s="3">
        <v>30300</v>
      </c>
    </row>
    <row r="84" spans="1:11">
      <c r="A84" s="3">
        <v>233000</v>
      </c>
      <c r="B84" s="3">
        <v>236000</v>
      </c>
      <c r="C84" s="3">
        <v>5990</v>
      </c>
      <c r="D84" s="3">
        <v>4380</v>
      </c>
      <c r="E84" s="3">
        <v>2770</v>
      </c>
      <c r="F84" s="3">
        <v>1140</v>
      </c>
      <c r="G84" s="3">
        <v>0</v>
      </c>
      <c r="H84" s="3">
        <v>0</v>
      </c>
      <c r="I84" s="3">
        <v>0</v>
      </c>
      <c r="J84" s="3">
        <v>0</v>
      </c>
      <c r="K84" s="3">
        <v>31300</v>
      </c>
    </row>
    <row r="85" spans="1:11">
      <c r="A85" s="3">
        <v>236000</v>
      </c>
      <c r="B85" s="3">
        <v>239000</v>
      </c>
      <c r="C85" s="3">
        <v>6110</v>
      </c>
      <c r="D85" s="3">
        <v>4490</v>
      </c>
      <c r="E85" s="3">
        <v>2870</v>
      </c>
      <c r="F85" s="3">
        <v>1260</v>
      </c>
      <c r="G85" s="3">
        <v>0</v>
      </c>
      <c r="H85" s="3">
        <v>0</v>
      </c>
      <c r="I85" s="3">
        <v>0</v>
      </c>
      <c r="J85" s="3">
        <v>0</v>
      </c>
      <c r="K85" s="3">
        <v>32400</v>
      </c>
    </row>
    <row r="86" spans="1:11">
      <c r="A86" s="3">
        <v>239000</v>
      </c>
      <c r="B86" s="3">
        <v>242000</v>
      </c>
      <c r="C86" s="3">
        <v>6210</v>
      </c>
      <c r="D86" s="3">
        <v>4590</v>
      </c>
      <c r="E86" s="3">
        <v>2980</v>
      </c>
      <c r="F86" s="3">
        <v>1360</v>
      </c>
      <c r="G86" s="3">
        <v>0</v>
      </c>
      <c r="H86" s="3">
        <v>0</v>
      </c>
      <c r="I86" s="3">
        <v>0</v>
      </c>
      <c r="J86" s="3">
        <v>0</v>
      </c>
      <c r="K86" s="3">
        <v>33400</v>
      </c>
    </row>
    <row r="87" spans="1:11">
      <c r="A87" s="3">
        <v>242000</v>
      </c>
      <c r="B87" s="3">
        <v>245000</v>
      </c>
      <c r="C87" s="3">
        <v>6320</v>
      </c>
      <c r="D87" s="3">
        <v>4710</v>
      </c>
      <c r="E87" s="3">
        <v>3080</v>
      </c>
      <c r="F87" s="3">
        <v>1470</v>
      </c>
      <c r="G87" s="3">
        <v>0</v>
      </c>
      <c r="H87" s="3">
        <v>0</v>
      </c>
      <c r="I87" s="3">
        <v>0</v>
      </c>
      <c r="J87" s="3">
        <v>0</v>
      </c>
      <c r="K87" s="3">
        <v>34400</v>
      </c>
    </row>
    <row r="88" spans="1:11">
      <c r="A88" s="3">
        <v>245000</v>
      </c>
      <c r="B88" s="3">
        <v>248000</v>
      </c>
      <c r="C88" s="3">
        <v>6420</v>
      </c>
      <c r="D88" s="3">
        <v>4810</v>
      </c>
      <c r="E88" s="3">
        <v>3200</v>
      </c>
      <c r="F88" s="3">
        <v>1570</v>
      </c>
      <c r="G88" s="3">
        <v>0</v>
      </c>
      <c r="H88" s="3">
        <v>0</v>
      </c>
      <c r="I88" s="3">
        <v>0</v>
      </c>
      <c r="J88" s="3">
        <v>0</v>
      </c>
      <c r="K88" s="3">
        <v>35400</v>
      </c>
    </row>
    <row r="89" spans="1:11">
      <c r="A89" s="3">
        <v>248000</v>
      </c>
      <c r="B89" s="3">
        <v>251000</v>
      </c>
      <c r="C89" s="3">
        <v>6530</v>
      </c>
      <c r="D89" s="3">
        <v>4920</v>
      </c>
      <c r="E89" s="3">
        <v>3300</v>
      </c>
      <c r="F89" s="3">
        <v>1680</v>
      </c>
      <c r="G89" s="3">
        <v>0</v>
      </c>
      <c r="H89" s="3">
        <v>0</v>
      </c>
      <c r="I89" s="3">
        <v>0</v>
      </c>
      <c r="J89" s="3">
        <v>0</v>
      </c>
      <c r="K89" s="3">
        <v>36400</v>
      </c>
    </row>
    <row r="90" spans="1:11">
      <c r="A90" s="3">
        <v>251000</v>
      </c>
      <c r="B90" s="3">
        <v>254000</v>
      </c>
      <c r="C90" s="3">
        <v>6640</v>
      </c>
      <c r="D90" s="3">
        <v>5020</v>
      </c>
      <c r="E90" s="3">
        <v>3410</v>
      </c>
      <c r="F90" s="3">
        <v>1790</v>
      </c>
      <c r="G90" s="3">
        <v>170</v>
      </c>
      <c r="H90" s="3">
        <v>0</v>
      </c>
      <c r="I90" s="3">
        <v>0</v>
      </c>
      <c r="J90" s="3">
        <v>0</v>
      </c>
      <c r="K90" s="3">
        <v>37500</v>
      </c>
    </row>
    <row r="91" spans="1:11">
      <c r="A91" s="3">
        <v>254000</v>
      </c>
      <c r="B91" s="3">
        <v>257000</v>
      </c>
      <c r="C91" s="3">
        <v>6750</v>
      </c>
      <c r="D91" s="3">
        <v>5140</v>
      </c>
      <c r="E91" s="3">
        <v>3510</v>
      </c>
      <c r="F91" s="3">
        <v>1900</v>
      </c>
      <c r="G91" s="3">
        <v>290</v>
      </c>
      <c r="H91" s="3">
        <v>0</v>
      </c>
      <c r="I91" s="3">
        <v>0</v>
      </c>
      <c r="J91" s="3">
        <v>0</v>
      </c>
      <c r="K91" s="3">
        <v>38500</v>
      </c>
    </row>
    <row r="92" spans="1:11">
      <c r="A92" s="3">
        <v>257000</v>
      </c>
      <c r="B92" s="3">
        <v>260000</v>
      </c>
      <c r="C92" s="3">
        <v>6850</v>
      </c>
      <c r="D92" s="3">
        <v>5240</v>
      </c>
      <c r="E92" s="3">
        <v>3620</v>
      </c>
      <c r="F92" s="3">
        <v>2000</v>
      </c>
      <c r="G92" s="3">
        <v>390</v>
      </c>
      <c r="H92" s="3">
        <v>0</v>
      </c>
      <c r="I92" s="3">
        <v>0</v>
      </c>
      <c r="J92" s="3">
        <v>0</v>
      </c>
      <c r="K92" s="3">
        <v>39400</v>
      </c>
    </row>
    <row r="93" spans="1:11">
      <c r="A93" s="3">
        <v>260000</v>
      </c>
      <c r="B93" s="3">
        <v>263000</v>
      </c>
      <c r="C93" s="3">
        <v>6960</v>
      </c>
      <c r="D93" s="3">
        <v>5350</v>
      </c>
      <c r="E93" s="3">
        <v>3730</v>
      </c>
      <c r="F93" s="3">
        <v>2110</v>
      </c>
      <c r="G93" s="3">
        <v>500</v>
      </c>
      <c r="H93" s="3">
        <v>0</v>
      </c>
      <c r="I93" s="3">
        <v>0</v>
      </c>
      <c r="J93" s="3">
        <v>0</v>
      </c>
      <c r="K93" s="3">
        <v>40400</v>
      </c>
    </row>
    <row r="94" spans="1:11">
      <c r="A94" s="3">
        <v>263000</v>
      </c>
      <c r="B94" s="3">
        <v>266000</v>
      </c>
      <c r="C94" s="3">
        <v>7070</v>
      </c>
      <c r="D94" s="3">
        <v>5450</v>
      </c>
      <c r="E94" s="3">
        <v>3840</v>
      </c>
      <c r="F94" s="3">
        <v>2220</v>
      </c>
      <c r="G94" s="3">
        <v>600</v>
      </c>
      <c r="H94" s="3">
        <v>0</v>
      </c>
      <c r="I94" s="3">
        <v>0</v>
      </c>
      <c r="J94" s="3">
        <v>0</v>
      </c>
      <c r="K94" s="3">
        <v>41500</v>
      </c>
    </row>
    <row r="95" spans="1:11">
      <c r="A95" s="3">
        <v>266000</v>
      </c>
      <c r="B95" s="3">
        <v>269000</v>
      </c>
      <c r="C95" s="3">
        <v>7180</v>
      </c>
      <c r="D95" s="3">
        <v>5560</v>
      </c>
      <c r="E95" s="3">
        <v>3940</v>
      </c>
      <c r="F95" s="3">
        <v>2330</v>
      </c>
      <c r="G95" s="3">
        <v>710</v>
      </c>
      <c r="H95" s="3">
        <v>0</v>
      </c>
      <c r="I95" s="3">
        <v>0</v>
      </c>
      <c r="J95" s="3">
        <v>0</v>
      </c>
      <c r="K95" s="3">
        <v>42500</v>
      </c>
    </row>
    <row r="96" spans="1:11">
      <c r="A96" s="3">
        <v>269000</v>
      </c>
      <c r="B96" s="3">
        <v>272000</v>
      </c>
      <c r="C96" s="3">
        <v>7280</v>
      </c>
      <c r="D96" s="3">
        <v>5670</v>
      </c>
      <c r="E96" s="3">
        <v>4050</v>
      </c>
      <c r="F96" s="3">
        <v>2430</v>
      </c>
      <c r="G96" s="3">
        <v>820</v>
      </c>
      <c r="H96" s="3">
        <v>0</v>
      </c>
      <c r="I96" s="3">
        <v>0</v>
      </c>
      <c r="J96" s="3">
        <v>0</v>
      </c>
      <c r="K96" s="3">
        <v>43500</v>
      </c>
    </row>
    <row r="97" spans="1:11">
      <c r="A97" s="3">
        <v>272000</v>
      </c>
      <c r="B97" s="3">
        <v>275000</v>
      </c>
      <c r="C97" s="3">
        <v>7390</v>
      </c>
      <c r="D97" s="3">
        <v>5780</v>
      </c>
      <c r="E97" s="3">
        <v>4160</v>
      </c>
      <c r="F97" s="3">
        <v>2540</v>
      </c>
      <c r="G97" s="3">
        <v>930</v>
      </c>
      <c r="H97" s="3">
        <v>0</v>
      </c>
      <c r="I97" s="3">
        <v>0</v>
      </c>
      <c r="J97" s="3">
        <v>0</v>
      </c>
      <c r="K97" s="3">
        <v>44500</v>
      </c>
    </row>
    <row r="98" spans="1:11">
      <c r="A98" s="3">
        <v>275000</v>
      </c>
      <c r="B98" s="3">
        <v>278000</v>
      </c>
      <c r="C98" s="3">
        <v>7490</v>
      </c>
      <c r="D98" s="3">
        <v>5880</v>
      </c>
      <c r="E98" s="3">
        <v>4270</v>
      </c>
      <c r="F98" s="3">
        <v>2640</v>
      </c>
      <c r="G98" s="3">
        <v>1030</v>
      </c>
      <c r="H98" s="3">
        <v>0</v>
      </c>
      <c r="I98" s="3">
        <v>0</v>
      </c>
      <c r="J98" s="3">
        <v>0</v>
      </c>
      <c r="K98" s="3">
        <v>45500</v>
      </c>
    </row>
    <row r="99" spans="1:11">
      <c r="A99" s="3">
        <v>278000</v>
      </c>
      <c r="B99" s="3">
        <v>281000</v>
      </c>
      <c r="C99" s="3">
        <v>7610</v>
      </c>
      <c r="D99" s="3">
        <v>5990</v>
      </c>
      <c r="E99" s="3">
        <v>4370</v>
      </c>
      <c r="F99" s="3">
        <v>2760</v>
      </c>
      <c r="G99" s="3">
        <v>1140</v>
      </c>
      <c r="H99" s="3">
        <v>0</v>
      </c>
      <c r="I99" s="3">
        <v>0</v>
      </c>
      <c r="J99" s="3">
        <v>0</v>
      </c>
      <c r="K99" s="3">
        <v>46600</v>
      </c>
    </row>
    <row r="100" spans="1:11">
      <c r="A100" s="3">
        <v>281000</v>
      </c>
      <c r="B100" s="3">
        <v>284000</v>
      </c>
      <c r="C100" s="3">
        <v>7710</v>
      </c>
      <c r="D100" s="3">
        <v>6100</v>
      </c>
      <c r="E100" s="3">
        <v>4480</v>
      </c>
      <c r="F100" s="3">
        <v>2860</v>
      </c>
      <c r="G100" s="3">
        <v>1250</v>
      </c>
      <c r="H100" s="3">
        <v>0</v>
      </c>
      <c r="I100" s="3">
        <v>0</v>
      </c>
      <c r="J100" s="3">
        <v>0</v>
      </c>
      <c r="K100" s="3">
        <v>47600</v>
      </c>
    </row>
    <row r="101" spans="1:11">
      <c r="A101" s="3">
        <v>284000</v>
      </c>
      <c r="B101" s="3">
        <v>287000</v>
      </c>
      <c r="C101" s="3">
        <v>7820</v>
      </c>
      <c r="D101" s="3">
        <v>6210</v>
      </c>
      <c r="E101" s="3">
        <v>4580</v>
      </c>
      <c r="F101" s="3">
        <v>2970</v>
      </c>
      <c r="G101" s="3">
        <v>1360</v>
      </c>
      <c r="H101" s="3">
        <v>0</v>
      </c>
      <c r="I101" s="3">
        <v>0</v>
      </c>
      <c r="J101" s="3">
        <v>0</v>
      </c>
      <c r="K101" s="3">
        <v>48600</v>
      </c>
    </row>
    <row r="102" spans="1:11">
      <c r="A102" s="3">
        <v>287000</v>
      </c>
      <c r="B102" s="3">
        <v>290000</v>
      </c>
      <c r="C102" s="3">
        <v>7920</v>
      </c>
      <c r="D102" s="3">
        <v>6310</v>
      </c>
      <c r="E102" s="3">
        <v>4700</v>
      </c>
      <c r="F102" s="3">
        <v>3070</v>
      </c>
      <c r="G102" s="3">
        <v>1460</v>
      </c>
      <c r="H102" s="3">
        <v>0</v>
      </c>
      <c r="I102" s="3">
        <v>0</v>
      </c>
      <c r="J102" s="3">
        <v>0</v>
      </c>
      <c r="K102" s="3">
        <v>49700</v>
      </c>
    </row>
    <row r="103" spans="1:11">
      <c r="A103" s="3">
        <v>290000</v>
      </c>
      <c r="B103" s="3">
        <v>293000</v>
      </c>
      <c r="C103" s="3">
        <v>8040</v>
      </c>
      <c r="D103" s="3">
        <v>6420</v>
      </c>
      <c r="E103" s="3">
        <v>4800</v>
      </c>
      <c r="F103" s="3">
        <v>3190</v>
      </c>
      <c r="G103" s="3">
        <v>1570</v>
      </c>
      <c r="H103" s="3">
        <v>0</v>
      </c>
      <c r="I103" s="3">
        <v>0</v>
      </c>
      <c r="J103" s="3">
        <v>0</v>
      </c>
      <c r="K103" s="3">
        <v>50900</v>
      </c>
    </row>
    <row r="104" spans="1:11">
      <c r="A104" s="3">
        <v>293000</v>
      </c>
      <c r="B104" s="3">
        <v>296000</v>
      </c>
      <c r="C104" s="3">
        <v>8140</v>
      </c>
      <c r="D104" s="3">
        <v>6520</v>
      </c>
      <c r="E104" s="3">
        <v>4910</v>
      </c>
      <c r="F104" s="3">
        <v>3290</v>
      </c>
      <c r="G104" s="3">
        <v>1670</v>
      </c>
      <c r="H104" s="3">
        <v>0</v>
      </c>
      <c r="I104" s="3">
        <v>0</v>
      </c>
      <c r="J104" s="3">
        <v>0</v>
      </c>
      <c r="K104" s="3">
        <v>52100</v>
      </c>
    </row>
    <row r="105" spans="1:11">
      <c r="A105" s="3">
        <v>296000</v>
      </c>
      <c r="B105" s="3">
        <v>299000</v>
      </c>
      <c r="C105" s="3">
        <v>8250</v>
      </c>
      <c r="D105" s="3">
        <v>6640</v>
      </c>
      <c r="E105" s="3">
        <v>5010</v>
      </c>
      <c r="F105" s="3">
        <v>3400</v>
      </c>
      <c r="G105" s="3">
        <v>1790</v>
      </c>
      <c r="H105" s="3">
        <v>160</v>
      </c>
      <c r="I105" s="3">
        <v>0</v>
      </c>
      <c r="J105" s="3">
        <v>0</v>
      </c>
      <c r="K105" s="3">
        <v>52900</v>
      </c>
    </row>
    <row r="106" spans="1:11">
      <c r="A106" s="3">
        <v>299000</v>
      </c>
      <c r="B106" s="3">
        <v>302000</v>
      </c>
      <c r="C106" s="3">
        <v>8420</v>
      </c>
      <c r="D106" s="3">
        <v>6740</v>
      </c>
      <c r="E106" s="3">
        <v>5130</v>
      </c>
      <c r="F106" s="3">
        <v>3510</v>
      </c>
      <c r="G106" s="3">
        <v>1890</v>
      </c>
      <c r="H106" s="3">
        <v>280</v>
      </c>
      <c r="I106" s="3">
        <v>0</v>
      </c>
      <c r="J106" s="3">
        <v>0</v>
      </c>
      <c r="K106" s="3">
        <v>53700</v>
      </c>
    </row>
    <row r="107" spans="1:11">
      <c r="A107" s="3">
        <v>302000</v>
      </c>
      <c r="B107" s="3">
        <v>305000</v>
      </c>
      <c r="C107" s="3">
        <v>8670</v>
      </c>
      <c r="D107" s="3">
        <v>6860</v>
      </c>
      <c r="E107" s="3">
        <v>5250</v>
      </c>
      <c r="F107" s="3">
        <v>3630</v>
      </c>
      <c r="G107" s="3">
        <v>2010</v>
      </c>
      <c r="H107" s="3">
        <v>400</v>
      </c>
      <c r="I107" s="3">
        <v>0</v>
      </c>
      <c r="J107" s="3">
        <v>0</v>
      </c>
      <c r="K107" s="3">
        <v>54500</v>
      </c>
    </row>
    <row r="108" spans="1:11">
      <c r="A108" s="3">
        <v>305000</v>
      </c>
      <c r="B108" s="3">
        <v>308000</v>
      </c>
      <c r="C108" s="3">
        <v>8910</v>
      </c>
      <c r="D108" s="3">
        <v>6980</v>
      </c>
      <c r="E108" s="3">
        <v>5370</v>
      </c>
      <c r="F108" s="3">
        <v>3760</v>
      </c>
      <c r="G108" s="3">
        <v>2130</v>
      </c>
      <c r="H108" s="3">
        <v>520</v>
      </c>
      <c r="I108" s="3">
        <v>0</v>
      </c>
      <c r="J108" s="3">
        <v>0</v>
      </c>
      <c r="K108" s="3">
        <v>55200</v>
      </c>
    </row>
    <row r="109" spans="1:11">
      <c r="A109" s="3">
        <v>308000</v>
      </c>
      <c r="B109" s="3">
        <v>311000</v>
      </c>
      <c r="C109" s="3">
        <v>9160</v>
      </c>
      <c r="D109" s="3">
        <v>7110</v>
      </c>
      <c r="E109" s="3">
        <v>5490</v>
      </c>
      <c r="F109" s="3">
        <v>3880</v>
      </c>
      <c r="G109" s="3">
        <v>2260</v>
      </c>
      <c r="H109" s="3">
        <v>640</v>
      </c>
      <c r="I109" s="3">
        <v>0</v>
      </c>
      <c r="J109" s="3">
        <v>0</v>
      </c>
      <c r="K109" s="3">
        <v>56100</v>
      </c>
    </row>
    <row r="110" spans="1:11">
      <c r="A110" s="3">
        <v>311000</v>
      </c>
      <c r="B110" s="3">
        <v>314000</v>
      </c>
      <c r="C110" s="3">
        <v>9400</v>
      </c>
      <c r="D110" s="3">
        <v>7230</v>
      </c>
      <c r="E110" s="3">
        <v>5620</v>
      </c>
      <c r="F110" s="3">
        <v>4000</v>
      </c>
      <c r="G110" s="3">
        <v>2380</v>
      </c>
      <c r="H110" s="3">
        <v>770</v>
      </c>
      <c r="I110" s="3">
        <v>0</v>
      </c>
      <c r="J110" s="3">
        <v>0</v>
      </c>
      <c r="K110" s="3">
        <v>56900</v>
      </c>
    </row>
    <row r="111" spans="1:11">
      <c r="A111" s="3">
        <v>314000</v>
      </c>
      <c r="B111" s="3">
        <v>317000</v>
      </c>
      <c r="C111" s="3">
        <v>9650</v>
      </c>
      <c r="D111" s="3">
        <v>7350</v>
      </c>
      <c r="E111" s="3">
        <v>5740</v>
      </c>
      <c r="F111" s="3">
        <v>4120</v>
      </c>
      <c r="G111" s="3">
        <v>2500</v>
      </c>
      <c r="H111" s="3">
        <v>890</v>
      </c>
      <c r="I111" s="3">
        <v>0</v>
      </c>
      <c r="J111" s="3">
        <v>0</v>
      </c>
      <c r="K111" s="3">
        <v>57800</v>
      </c>
    </row>
    <row r="112" spans="1:11">
      <c r="A112" s="3">
        <v>317000</v>
      </c>
      <c r="B112" s="3">
        <v>320000</v>
      </c>
      <c r="C112" s="3">
        <v>9890</v>
      </c>
      <c r="D112" s="3">
        <v>7470</v>
      </c>
      <c r="E112" s="3">
        <v>5860</v>
      </c>
      <c r="F112" s="3">
        <v>4250</v>
      </c>
      <c r="G112" s="3">
        <v>2620</v>
      </c>
      <c r="H112" s="3">
        <v>1010</v>
      </c>
      <c r="I112" s="3">
        <v>0</v>
      </c>
      <c r="J112" s="3">
        <v>0</v>
      </c>
      <c r="K112" s="3">
        <v>58800</v>
      </c>
    </row>
    <row r="113" spans="1:11">
      <c r="A113" s="3">
        <v>320000</v>
      </c>
      <c r="B113" s="3">
        <v>323000</v>
      </c>
      <c r="C113" s="3">
        <v>10140</v>
      </c>
      <c r="D113" s="3">
        <v>7600</v>
      </c>
      <c r="E113" s="3">
        <v>5980</v>
      </c>
      <c r="F113" s="3">
        <v>4370</v>
      </c>
      <c r="G113" s="3">
        <v>2750</v>
      </c>
      <c r="H113" s="3">
        <v>1130</v>
      </c>
      <c r="I113" s="3">
        <v>0</v>
      </c>
      <c r="J113" s="3">
        <v>0</v>
      </c>
      <c r="K113" s="3">
        <v>59800</v>
      </c>
    </row>
    <row r="114" spans="1:11">
      <c r="A114" s="3">
        <v>323000</v>
      </c>
      <c r="B114" s="3">
        <v>326000</v>
      </c>
      <c r="C114" s="3">
        <v>10380</v>
      </c>
      <c r="D114" s="3">
        <v>7720</v>
      </c>
      <c r="E114" s="3">
        <v>6110</v>
      </c>
      <c r="F114" s="3">
        <v>4490</v>
      </c>
      <c r="G114" s="3">
        <v>2870</v>
      </c>
      <c r="H114" s="3">
        <v>1260</v>
      </c>
      <c r="I114" s="3">
        <v>0</v>
      </c>
      <c r="J114" s="3">
        <v>0</v>
      </c>
      <c r="K114" s="3">
        <v>60900</v>
      </c>
    </row>
    <row r="115" spans="1:11">
      <c r="A115" s="3">
        <v>326000</v>
      </c>
      <c r="B115" s="3">
        <v>329000</v>
      </c>
      <c r="C115" s="3">
        <v>10630</v>
      </c>
      <c r="D115" s="3">
        <v>7840</v>
      </c>
      <c r="E115" s="3">
        <v>6230</v>
      </c>
      <c r="F115" s="3">
        <v>4610</v>
      </c>
      <c r="G115" s="3">
        <v>2990</v>
      </c>
      <c r="H115" s="3">
        <v>1380</v>
      </c>
      <c r="I115" s="3">
        <v>0</v>
      </c>
      <c r="J115" s="3">
        <v>0</v>
      </c>
      <c r="K115" s="3">
        <v>61900</v>
      </c>
    </row>
    <row r="116" spans="1:11">
      <c r="A116" s="3">
        <v>329000</v>
      </c>
      <c r="B116" s="3">
        <v>332000</v>
      </c>
      <c r="C116" s="3">
        <v>10870</v>
      </c>
      <c r="D116" s="3">
        <v>7960</v>
      </c>
      <c r="E116" s="3">
        <v>6350</v>
      </c>
      <c r="F116" s="3">
        <v>4740</v>
      </c>
      <c r="G116" s="3">
        <v>3110</v>
      </c>
      <c r="H116" s="3">
        <v>1500</v>
      </c>
      <c r="I116" s="3">
        <v>0</v>
      </c>
      <c r="J116" s="3">
        <v>0</v>
      </c>
      <c r="K116" s="3">
        <v>62900</v>
      </c>
    </row>
    <row r="117" spans="1:11">
      <c r="A117" s="3">
        <v>332000</v>
      </c>
      <c r="B117" s="3">
        <v>335000</v>
      </c>
      <c r="C117" s="3">
        <v>11120</v>
      </c>
      <c r="D117" s="3">
        <v>8090</v>
      </c>
      <c r="E117" s="3">
        <v>6470</v>
      </c>
      <c r="F117" s="3">
        <v>4860</v>
      </c>
      <c r="G117" s="3">
        <v>3240</v>
      </c>
      <c r="H117" s="3">
        <v>1620</v>
      </c>
      <c r="I117" s="3">
        <v>0</v>
      </c>
      <c r="J117" s="3">
        <v>0</v>
      </c>
      <c r="K117" s="3">
        <v>63900</v>
      </c>
    </row>
    <row r="118" spans="1:11">
      <c r="A118" s="3">
        <v>335000</v>
      </c>
      <c r="B118" s="3">
        <v>338000</v>
      </c>
      <c r="C118" s="3">
        <v>11360</v>
      </c>
      <c r="D118" s="3">
        <v>8210</v>
      </c>
      <c r="E118" s="3">
        <v>6600</v>
      </c>
      <c r="F118" s="3">
        <v>4980</v>
      </c>
      <c r="G118" s="3">
        <v>3360</v>
      </c>
      <c r="H118" s="3">
        <v>1750</v>
      </c>
      <c r="I118" s="3">
        <v>130</v>
      </c>
      <c r="J118" s="3">
        <v>0</v>
      </c>
      <c r="K118" s="3">
        <v>64900</v>
      </c>
    </row>
    <row r="119" spans="1:11">
      <c r="A119" s="3">
        <v>338000</v>
      </c>
      <c r="B119" s="3">
        <v>341000</v>
      </c>
      <c r="C119" s="3">
        <v>11610</v>
      </c>
      <c r="D119" s="3">
        <v>8370</v>
      </c>
      <c r="E119" s="3">
        <v>6720</v>
      </c>
      <c r="F119" s="3">
        <v>5110</v>
      </c>
      <c r="G119" s="3">
        <v>3480</v>
      </c>
      <c r="H119" s="3">
        <v>1870</v>
      </c>
      <c r="I119" s="3">
        <v>260</v>
      </c>
      <c r="J119" s="3">
        <v>0</v>
      </c>
      <c r="K119" s="3">
        <v>66000</v>
      </c>
    </row>
    <row r="120" spans="1:11">
      <c r="A120" s="3">
        <v>341000</v>
      </c>
      <c r="B120" s="3">
        <v>344000</v>
      </c>
      <c r="C120" s="3">
        <v>11850</v>
      </c>
      <c r="D120" s="3">
        <v>8620</v>
      </c>
      <c r="E120" s="3">
        <v>6840</v>
      </c>
      <c r="F120" s="3">
        <v>5230</v>
      </c>
      <c r="G120" s="3">
        <v>3600</v>
      </c>
      <c r="H120" s="3">
        <v>1990</v>
      </c>
      <c r="I120" s="3">
        <v>380</v>
      </c>
      <c r="J120" s="3">
        <v>0</v>
      </c>
      <c r="K120" s="3">
        <v>67000</v>
      </c>
    </row>
    <row r="121" spans="1:11">
      <c r="A121" s="3">
        <v>344000</v>
      </c>
      <c r="B121" s="3">
        <v>347000</v>
      </c>
      <c r="C121" s="3">
        <v>12100</v>
      </c>
      <c r="D121" s="3">
        <v>8860</v>
      </c>
      <c r="E121" s="3">
        <v>6960</v>
      </c>
      <c r="F121" s="3">
        <v>5350</v>
      </c>
      <c r="G121" s="3">
        <v>3730</v>
      </c>
      <c r="H121" s="3">
        <v>2110</v>
      </c>
      <c r="I121" s="3">
        <v>500</v>
      </c>
      <c r="J121" s="3">
        <v>0</v>
      </c>
      <c r="K121" s="3">
        <v>68000</v>
      </c>
    </row>
    <row r="122" spans="1:11">
      <c r="A122" s="3">
        <v>347000</v>
      </c>
      <c r="B122" s="3">
        <v>350000</v>
      </c>
      <c r="C122" s="3">
        <v>12340</v>
      </c>
      <c r="D122" s="3">
        <v>9110</v>
      </c>
      <c r="E122" s="3">
        <v>7090</v>
      </c>
      <c r="F122" s="3">
        <v>5470</v>
      </c>
      <c r="G122" s="3">
        <v>3850</v>
      </c>
      <c r="H122" s="3">
        <v>2240</v>
      </c>
      <c r="I122" s="3">
        <v>620</v>
      </c>
      <c r="J122" s="3">
        <v>0</v>
      </c>
      <c r="K122" s="3">
        <v>69000</v>
      </c>
    </row>
    <row r="123" spans="1:11">
      <c r="A123" s="3">
        <v>350000</v>
      </c>
      <c r="B123" s="3">
        <v>353000</v>
      </c>
      <c r="C123" s="3">
        <v>12590</v>
      </c>
      <c r="D123" s="3">
        <v>9350</v>
      </c>
      <c r="E123" s="3">
        <v>7210</v>
      </c>
      <c r="F123" s="3">
        <v>5600</v>
      </c>
      <c r="G123" s="3">
        <v>3970</v>
      </c>
      <c r="H123" s="3">
        <v>2360</v>
      </c>
      <c r="I123" s="3">
        <v>750</v>
      </c>
      <c r="J123" s="3">
        <v>0</v>
      </c>
      <c r="K123" s="3">
        <v>70000</v>
      </c>
    </row>
    <row r="124" spans="1:11">
      <c r="A124" s="3">
        <v>353000</v>
      </c>
      <c r="B124" s="3">
        <v>356000</v>
      </c>
      <c r="C124" s="3">
        <v>12830</v>
      </c>
      <c r="D124" s="3">
        <v>9600</v>
      </c>
      <c r="E124" s="3">
        <v>7330</v>
      </c>
      <c r="F124" s="3">
        <v>5720</v>
      </c>
      <c r="G124" s="3">
        <v>4090</v>
      </c>
      <c r="H124" s="3">
        <v>2480</v>
      </c>
      <c r="I124" s="3">
        <v>870</v>
      </c>
      <c r="J124" s="3">
        <v>0</v>
      </c>
      <c r="K124" s="3">
        <v>71100</v>
      </c>
    </row>
    <row r="125" spans="1:11">
      <c r="A125" s="3">
        <v>356000</v>
      </c>
      <c r="B125" s="3">
        <v>359000</v>
      </c>
      <c r="C125" s="3">
        <v>13080</v>
      </c>
      <c r="D125" s="3">
        <v>9840</v>
      </c>
      <c r="E125" s="3">
        <v>7450</v>
      </c>
      <c r="F125" s="3">
        <v>5840</v>
      </c>
      <c r="G125" s="3">
        <v>4220</v>
      </c>
      <c r="H125" s="3">
        <v>2600</v>
      </c>
      <c r="I125" s="3">
        <v>990</v>
      </c>
      <c r="J125" s="3">
        <v>0</v>
      </c>
      <c r="K125" s="3">
        <v>72100</v>
      </c>
    </row>
    <row r="126" spans="1:11">
      <c r="A126" s="3">
        <v>359000</v>
      </c>
      <c r="B126" s="3">
        <v>362000</v>
      </c>
      <c r="C126" s="3">
        <v>13320</v>
      </c>
      <c r="D126" s="3">
        <v>10090</v>
      </c>
      <c r="E126" s="3">
        <v>7580</v>
      </c>
      <c r="F126" s="3">
        <v>5960</v>
      </c>
      <c r="G126" s="3">
        <v>4340</v>
      </c>
      <c r="H126" s="3">
        <v>2730</v>
      </c>
      <c r="I126" s="3">
        <v>1110</v>
      </c>
      <c r="J126" s="3">
        <v>0</v>
      </c>
      <c r="K126" s="3">
        <v>73100</v>
      </c>
    </row>
    <row r="127" spans="1:11">
      <c r="A127" s="3">
        <v>362000</v>
      </c>
      <c r="B127" s="3">
        <v>365000</v>
      </c>
      <c r="C127" s="3">
        <v>13570</v>
      </c>
      <c r="D127" s="3">
        <v>10330</v>
      </c>
      <c r="E127" s="3">
        <v>7700</v>
      </c>
      <c r="F127" s="3">
        <v>6090</v>
      </c>
      <c r="G127" s="3">
        <v>4460</v>
      </c>
      <c r="H127" s="3">
        <v>2850</v>
      </c>
      <c r="I127" s="3">
        <v>1240</v>
      </c>
      <c r="J127" s="3">
        <v>0</v>
      </c>
      <c r="K127" s="3">
        <v>74200</v>
      </c>
    </row>
    <row r="128" spans="1:11">
      <c r="A128" s="3">
        <v>365000</v>
      </c>
      <c r="B128" s="3">
        <v>368000</v>
      </c>
      <c r="C128" s="3">
        <v>13810</v>
      </c>
      <c r="D128" s="3">
        <v>10580</v>
      </c>
      <c r="E128" s="3">
        <v>7820</v>
      </c>
      <c r="F128" s="3">
        <v>6210</v>
      </c>
      <c r="G128" s="3">
        <v>4580</v>
      </c>
      <c r="H128" s="3">
        <v>2970</v>
      </c>
      <c r="I128" s="3">
        <v>1360</v>
      </c>
      <c r="J128" s="3">
        <v>0</v>
      </c>
      <c r="K128" s="3">
        <v>75200</v>
      </c>
    </row>
    <row r="129" spans="1:11">
      <c r="A129" s="3">
        <v>368000</v>
      </c>
      <c r="B129" s="3">
        <v>371000</v>
      </c>
      <c r="C129" s="3">
        <v>14060</v>
      </c>
      <c r="D129" s="3">
        <v>10820</v>
      </c>
      <c r="E129" s="3">
        <v>7940</v>
      </c>
      <c r="F129" s="3">
        <v>6330</v>
      </c>
      <c r="G129" s="3">
        <v>4710</v>
      </c>
      <c r="H129" s="3">
        <v>3090</v>
      </c>
      <c r="I129" s="3">
        <v>1480</v>
      </c>
      <c r="J129" s="3">
        <v>0</v>
      </c>
      <c r="K129" s="3">
        <v>76200</v>
      </c>
    </row>
    <row r="130" spans="1:11">
      <c r="A130" s="3">
        <v>371000</v>
      </c>
      <c r="B130" s="3">
        <v>374000</v>
      </c>
      <c r="C130" s="3">
        <v>14300</v>
      </c>
      <c r="D130" s="3">
        <v>11070</v>
      </c>
      <c r="E130" s="3">
        <v>8070</v>
      </c>
      <c r="F130" s="3">
        <v>6450</v>
      </c>
      <c r="G130" s="3">
        <v>4830</v>
      </c>
      <c r="H130" s="3">
        <v>3220</v>
      </c>
      <c r="I130" s="3">
        <v>1600</v>
      </c>
      <c r="J130" s="3">
        <v>0</v>
      </c>
      <c r="K130" s="3">
        <v>77100</v>
      </c>
    </row>
    <row r="131" spans="1:11">
      <c r="A131" s="3">
        <v>374000</v>
      </c>
      <c r="B131" s="3">
        <v>377000</v>
      </c>
      <c r="C131" s="3">
        <v>14550</v>
      </c>
      <c r="D131" s="3">
        <v>11310</v>
      </c>
      <c r="E131" s="3">
        <v>8190</v>
      </c>
      <c r="F131" s="3">
        <v>6580</v>
      </c>
      <c r="G131" s="3">
        <v>4950</v>
      </c>
      <c r="H131" s="3">
        <v>3340</v>
      </c>
      <c r="I131" s="3">
        <v>1730</v>
      </c>
      <c r="J131" s="3">
        <v>100</v>
      </c>
      <c r="K131" s="3">
        <v>78100</v>
      </c>
    </row>
    <row r="132" spans="1:11">
      <c r="A132" s="3">
        <v>377000</v>
      </c>
      <c r="B132" s="3">
        <v>380000</v>
      </c>
      <c r="C132" s="3">
        <v>14790</v>
      </c>
      <c r="D132" s="3">
        <v>11560</v>
      </c>
      <c r="E132" s="3">
        <v>8320</v>
      </c>
      <c r="F132" s="3">
        <v>6700</v>
      </c>
      <c r="G132" s="3">
        <v>5070</v>
      </c>
      <c r="H132" s="3">
        <v>3460</v>
      </c>
      <c r="I132" s="3">
        <v>1850</v>
      </c>
      <c r="J132" s="3">
        <v>220</v>
      </c>
      <c r="K132" s="3">
        <v>79000</v>
      </c>
    </row>
    <row r="133" spans="1:11">
      <c r="A133" s="3">
        <v>380000</v>
      </c>
      <c r="B133" s="3">
        <v>383000</v>
      </c>
      <c r="C133" s="3">
        <v>15040</v>
      </c>
      <c r="D133" s="3">
        <v>11800</v>
      </c>
      <c r="E133" s="3">
        <v>8570</v>
      </c>
      <c r="F133" s="3">
        <v>6820</v>
      </c>
      <c r="G133" s="3">
        <v>5200</v>
      </c>
      <c r="H133" s="3">
        <v>3580</v>
      </c>
      <c r="I133" s="3">
        <v>1970</v>
      </c>
      <c r="J133" s="3">
        <v>350</v>
      </c>
      <c r="K133" s="3">
        <v>79900</v>
      </c>
    </row>
    <row r="134" spans="1:11">
      <c r="A134" s="3">
        <v>383000</v>
      </c>
      <c r="B134" s="3">
        <v>386000</v>
      </c>
      <c r="C134" s="3">
        <v>15280</v>
      </c>
      <c r="D134" s="3">
        <v>12050</v>
      </c>
      <c r="E134" s="3">
        <v>8810</v>
      </c>
      <c r="F134" s="3">
        <v>6940</v>
      </c>
      <c r="G134" s="3">
        <v>5320</v>
      </c>
      <c r="H134" s="3">
        <v>3710</v>
      </c>
      <c r="I134" s="3">
        <v>2090</v>
      </c>
      <c r="J134" s="3">
        <v>470</v>
      </c>
      <c r="K134" s="3">
        <v>81400</v>
      </c>
    </row>
    <row r="135" spans="1:11">
      <c r="A135" s="3">
        <v>386000</v>
      </c>
      <c r="B135" s="3">
        <v>389000</v>
      </c>
      <c r="C135" s="3">
        <v>15530</v>
      </c>
      <c r="D135" s="3">
        <v>12290</v>
      </c>
      <c r="E135" s="3">
        <v>9060</v>
      </c>
      <c r="F135" s="3">
        <v>7070</v>
      </c>
      <c r="G135" s="3">
        <v>5440</v>
      </c>
      <c r="H135" s="3">
        <v>3830</v>
      </c>
      <c r="I135" s="3">
        <v>2220</v>
      </c>
      <c r="J135" s="3">
        <v>590</v>
      </c>
      <c r="K135" s="3">
        <v>83100</v>
      </c>
    </row>
    <row r="136" spans="1:11">
      <c r="A136" s="3">
        <v>389000</v>
      </c>
      <c r="B136" s="3">
        <v>392000</v>
      </c>
      <c r="C136" s="3">
        <v>15770</v>
      </c>
      <c r="D136" s="3">
        <v>12540</v>
      </c>
      <c r="E136" s="3">
        <v>9300</v>
      </c>
      <c r="F136" s="3">
        <v>7190</v>
      </c>
      <c r="G136" s="3">
        <v>5560</v>
      </c>
      <c r="H136" s="3">
        <v>3950</v>
      </c>
      <c r="I136" s="3">
        <v>2340</v>
      </c>
      <c r="J136" s="3">
        <v>710</v>
      </c>
      <c r="K136" s="3">
        <v>84700</v>
      </c>
    </row>
    <row r="137" spans="1:11">
      <c r="A137" s="3">
        <v>392000</v>
      </c>
      <c r="B137" s="3">
        <v>395000</v>
      </c>
      <c r="C137" s="3">
        <v>16020</v>
      </c>
      <c r="D137" s="3">
        <v>12780</v>
      </c>
      <c r="E137" s="3">
        <v>9550</v>
      </c>
      <c r="F137" s="3">
        <v>7310</v>
      </c>
      <c r="G137" s="3">
        <v>5690</v>
      </c>
      <c r="H137" s="3">
        <v>4070</v>
      </c>
      <c r="I137" s="3">
        <v>2460</v>
      </c>
      <c r="J137" s="3">
        <v>840</v>
      </c>
      <c r="K137" s="3">
        <v>86500</v>
      </c>
    </row>
    <row r="138" spans="1:11">
      <c r="A138" s="3">
        <v>395000</v>
      </c>
      <c r="B138" s="3">
        <v>398000</v>
      </c>
      <c r="C138" s="3">
        <v>16260</v>
      </c>
      <c r="D138" s="3">
        <v>13030</v>
      </c>
      <c r="E138" s="3">
        <v>9790</v>
      </c>
      <c r="F138" s="3">
        <v>7430</v>
      </c>
      <c r="G138" s="3">
        <v>5810</v>
      </c>
      <c r="H138" s="3">
        <v>4200</v>
      </c>
      <c r="I138" s="3">
        <v>2580</v>
      </c>
      <c r="J138" s="3">
        <v>960</v>
      </c>
      <c r="K138" s="3">
        <v>88200</v>
      </c>
    </row>
    <row r="139" spans="1:11">
      <c r="A139" s="3">
        <v>398000</v>
      </c>
      <c r="B139" s="3">
        <v>401000</v>
      </c>
      <c r="C139" s="3">
        <v>16510</v>
      </c>
      <c r="D139" s="3">
        <v>13270</v>
      </c>
      <c r="E139" s="3">
        <v>10040</v>
      </c>
      <c r="F139" s="3">
        <v>7560</v>
      </c>
      <c r="G139" s="3">
        <v>5930</v>
      </c>
      <c r="H139" s="3">
        <v>4320</v>
      </c>
      <c r="I139" s="3">
        <v>2710</v>
      </c>
      <c r="J139" s="3">
        <v>1080</v>
      </c>
      <c r="K139" s="3">
        <v>89800</v>
      </c>
    </row>
    <row r="140" spans="1:11">
      <c r="A140" s="3">
        <v>401000</v>
      </c>
      <c r="B140" s="3">
        <v>404000</v>
      </c>
      <c r="C140" s="3">
        <v>16750</v>
      </c>
      <c r="D140" s="3">
        <v>13520</v>
      </c>
      <c r="E140" s="3">
        <v>10280</v>
      </c>
      <c r="F140" s="3">
        <v>7680</v>
      </c>
      <c r="G140" s="3">
        <v>6050</v>
      </c>
      <c r="H140" s="3">
        <v>4440</v>
      </c>
      <c r="I140" s="3">
        <v>2830</v>
      </c>
      <c r="J140" s="3">
        <v>1200</v>
      </c>
      <c r="K140" s="3">
        <v>91600</v>
      </c>
    </row>
    <row r="141" spans="1:11">
      <c r="A141" s="3">
        <v>404000</v>
      </c>
      <c r="B141" s="3">
        <v>407000</v>
      </c>
      <c r="C141" s="3">
        <v>17000</v>
      </c>
      <c r="D141" s="3">
        <v>13760</v>
      </c>
      <c r="E141" s="3">
        <v>10530</v>
      </c>
      <c r="F141" s="3">
        <v>7800</v>
      </c>
      <c r="G141" s="3">
        <v>6180</v>
      </c>
      <c r="H141" s="3">
        <v>4560</v>
      </c>
      <c r="I141" s="3">
        <v>2950</v>
      </c>
      <c r="J141" s="3">
        <v>1330</v>
      </c>
      <c r="K141" s="3">
        <v>93300</v>
      </c>
    </row>
    <row r="142" spans="1:11">
      <c r="A142" s="3">
        <v>407000</v>
      </c>
      <c r="B142" s="3">
        <v>410000</v>
      </c>
      <c r="C142" s="3">
        <v>17240</v>
      </c>
      <c r="D142" s="3">
        <v>14010</v>
      </c>
      <c r="E142" s="3">
        <v>10770</v>
      </c>
      <c r="F142" s="3">
        <v>7920</v>
      </c>
      <c r="G142" s="3">
        <v>6300</v>
      </c>
      <c r="H142" s="3">
        <v>4690</v>
      </c>
      <c r="I142" s="3">
        <v>3070</v>
      </c>
      <c r="J142" s="3">
        <v>1450</v>
      </c>
      <c r="K142" s="3">
        <v>95000</v>
      </c>
    </row>
    <row r="143" spans="1:11">
      <c r="A143" s="3">
        <v>410000</v>
      </c>
      <c r="B143" s="3">
        <v>413000</v>
      </c>
      <c r="C143" s="3">
        <v>17490</v>
      </c>
      <c r="D143" s="3">
        <v>14250</v>
      </c>
      <c r="E143" s="3">
        <v>11020</v>
      </c>
      <c r="F143" s="3">
        <v>8050</v>
      </c>
      <c r="G143" s="3">
        <v>6420</v>
      </c>
      <c r="H143" s="3">
        <v>4810</v>
      </c>
      <c r="I143" s="3">
        <v>3200</v>
      </c>
      <c r="J143" s="3">
        <v>1570</v>
      </c>
      <c r="K143" s="3">
        <v>96700</v>
      </c>
    </row>
    <row r="144" spans="1:11">
      <c r="A144" s="3">
        <v>413000</v>
      </c>
      <c r="B144" s="3">
        <v>416000</v>
      </c>
      <c r="C144" s="3">
        <v>17730</v>
      </c>
      <c r="D144" s="3">
        <v>14500</v>
      </c>
      <c r="E144" s="3">
        <v>11260</v>
      </c>
      <c r="F144" s="3">
        <v>8170</v>
      </c>
      <c r="G144" s="3">
        <v>6540</v>
      </c>
      <c r="H144" s="3">
        <v>4930</v>
      </c>
      <c r="I144" s="3">
        <v>3320</v>
      </c>
      <c r="J144" s="3">
        <v>1690</v>
      </c>
      <c r="K144" s="3">
        <v>98300</v>
      </c>
    </row>
    <row r="145" spans="1:11">
      <c r="A145" s="3">
        <v>416000</v>
      </c>
      <c r="B145" s="3">
        <v>419000</v>
      </c>
      <c r="C145" s="3">
        <v>17980</v>
      </c>
      <c r="D145" s="3">
        <v>14740</v>
      </c>
      <c r="E145" s="3">
        <v>11510</v>
      </c>
      <c r="F145" s="3">
        <v>8290</v>
      </c>
      <c r="G145" s="3">
        <v>6670</v>
      </c>
      <c r="H145" s="3">
        <v>5050</v>
      </c>
      <c r="I145" s="3">
        <v>3440</v>
      </c>
      <c r="J145" s="3">
        <v>1820</v>
      </c>
      <c r="K145" s="3">
        <v>100100</v>
      </c>
    </row>
    <row r="146" spans="1:11">
      <c r="A146" s="3">
        <v>419000</v>
      </c>
      <c r="B146" s="3">
        <v>422000</v>
      </c>
      <c r="C146" s="3">
        <v>18220</v>
      </c>
      <c r="D146" s="3">
        <v>14990</v>
      </c>
      <c r="E146" s="3">
        <v>11750</v>
      </c>
      <c r="F146" s="3">
        <v>8530</v>
      </c>
      <c r="G146" s="3">
        <v>6790</v>
      </c>
      <c r="H146" s="3">
        <v>5180</v>
      </c>
      <c r="I146" s="3">
        <v>3560</v>
      </c>
      <c r="J146" s="3">
        <v>1940</v>
      </c>
      <c r="K146" s="3">
        <v>101800</v>
      </c>
    </row>
    <row r="147" spans="1:11">
      <c r="A147" s="3">
        <v>422000</v>
      </c>
      <c r="B147" s="3">
        <v>425000</v>
      </c>
      <c r="C147" s="3">
        <v>18470</v>
      </c>
      <c r="D147" s="3">
        <v>15230</v>
      </c>
      <c r="E147" s="3">
        <v>12000</v>
      </c>
      <c r="F147" s="3">
        <v>8770</v>
      </c>
      <c r="G147" s="3">
        <v>6910</v>
      </c>
      <c r="H147" s="3">
        <v>5300</v>
      </c>
      <c r="I147" s="3">
        <v>3690</v>
      </c>
      <c r="J147" s="3">
        <v>2060</v>
      </c>
      <c r="K147" s="3">
        <v>103400</v>
      </c>
    </row>
    <row r="148" spans="1:11">
      <c r="A148" s="3">
        <v>425000</v>
      </c>
      <c r="B148" s="3">
        <v>428000</v>
      </c>
      <c r="C148" s="3">
        <v>18710</v>
      </c>
      <c r="D148" s="3">
        <v>15480</v>
      </c>
      <c r="E148" s="3">
        <v>12240</v>
      </c>
      <c r="F148" s="3">
        <v>9020</v>
      </c>
      <c r="G148" s="3">
        <v>7030</v>
      </c>
      <c r="H148" s="3">
        <v>5420</v>
      </c>
      <c r="I148" s="3">
        <v>3810</v>
      </c>
      <c r="J148" s="3">
        <v>2180</v>
      </c>
      <c r="K148" s="3">
        <v>105200</v>
      </c>
    </row>
    <row r="149" spans="1:11">
      <c r="A149" s="3">
        <v>428000</v>
      </c>
      <c r="B149" s="3">
        <v>431000</v>
      </c>
      <c r="C149" s="3">
        <v>18960</v>
      </c>
      <c r="D149" s="3">
        <v>15720</v>
      </c>
      <c r="E149" s="3">
        <v>12490</v>
      </c>
      <c r="F149" s="3">
        <v>9260</v>
      </c>
      <c r="G149" s="3">
        <v>7160</v>
      </c>
      <c r="H149" s="3">
        <v>5540</v>
      </c>
      <c r="I149" s="3">
        <v>3930</v>
      </c>
      <c r="J149" s="3">
        <v>2310</v>
      </c>
      <c r="K149" s="3">
        <v>106900</v>
      </c>
    </row>
    <row r="150" spans="1:11">
      <c r="A150" s="3">
        <v>431000</v>
      </c>
      <c r="B150" s="3">
        <v>434000</v>
      </c>
      <c r="C150" s="3">
        <v>19210</v>
      </c>
      <c r="D150" s="3">
        <v>15970</v>
      </c>
      <c r="E150" s="3">
        <v>12730</v>
      </c>
      <c r="F150" s="3">
        <v>9510</v>
      </c>
      <c r="G150" s="3">
        <v>7280</v>
      </c>
      <c r="H150" s="3">
        <v>5670</v>
      </c>
      <c r="I150" s="3">
        <v>4050</v>
      </c>
      <c r="J150" s="3">
        <v>2430</v>
      </c>
      <c r="K150" s="3">
        <v>108500</v>
      </c>
    </row>
    <row r="151" spans="1:11">
      <c r="A151" s="3">
        <v>434000</v>
      </c>
      <c r="B151" s="3">
        <v>437000</v>
      </c>
      <c r="C151" s="3">
        <v>19450</v>
      </c>
      <c r="D151" s="3">
        <v>16210</v>
      </c>
      <c r="E151" s="3">
        <v>12980</v>
      </c>
      <c r="F151" s="3">
        <v>9750</v>
      </c>
      <c r="G151" s="3">
        <v>7400</v>
      </c>
      <c r="H151" s="3">
        <v>5790</v>
      </c>
      <c r="I151" s="3">
        <v>4180</v>
      </c>
      <c r="J151" s="3">
        <v>2550</v>
      </c>
      <c r="K151" s="3">
        <v>110300</v>
      </c>
    </row>
    <row r="152" spans="1:11">
      <c r="A152" s="3">
        <v>437000</v>
      </c>
      <c r="B152" s="3">
        <v>440000</v>
      </c>
      <c r="C152" s="3">
        <v>19700</v>
      </c>
      <c r="D152" s="3">
        <v>16460</v>
      </c>
      <c r="E152" s="3">
        <v>13220</v>
      </c>
      <c r="F152" s="3">
        <v>10000</v>
      </c>
      <c r="G152" s="3">
        <v>7520</v>
      </c>
      <c r="H152" s="3">
        <v>5910</v>
      </c>
      <c r="I152" s="3">
        <v>4300</v>
      </c>
      <c r="J152" s="3">
        <v>2680</v>
      </c>
      <c r="K152" s="3">
        <v>112000</v>
      </c>
    </row>
    <row r="153" spans="1:11">
      <c r="A153" s="3">
        <v>440000</v>
      </c>
      <c r="B153" s="3">
        <v>443000</v>
      </c>
      <c r="C153" s="3">
        <v>20090</v>
      </c>
      <c r="D153" s="3">
        <v>16700</v>
      </c>
      <c r="E153" s="3">
        <v>13470</v>
      </c>
      <c r="F153" s="3">
        <v>10240</v>
      </c>
      <c r="G153" s="3">
        <v>7650</v>
      </c>
      <c r="H153" s="3">
        <v>6030</v>
      </c>
      <c r="I153" s="3">
        <v>4420</v>
      </c>
      <c r="J153" s="3">
        <v>2800</v>
      </c>
      <c r="K153" s="3">
        <v>113600</v>
      </c>
    </row>
    <row r="154" spans="1:11">
      <c r="A154" s="3">
        <v>443000</v>
      </c>
      <c r="B154" s="3">
        <v>446000</v>
      </c>
      <c r="C154" s="3">
        <v>20580</v>
      </c>
      <c r="D154" s="3">
        <v>16950</v>
      </c>
      <c r="E154" s="3">
        <v>13710</v>
      </c>
      <c r="F154" s="3">
        <v>10490</v>
      </c>
      <c r="G154" s="3">
        <v>7770</v>
      </c>
      <c r="H154" s="3">
        <v>6160</v>
      </c>
      <c r="I154" s="3">
        <v>4540</v>
      </c>
      <c r="J154" s="3">
        <v>2920</v>
      </c>
      <c r="K154" s="3">
        <v>115400</v>
      </c>
    </row>
    <row r="155" spans="1:11">
      <c r="A155" s="3">
        <v>446000</v>
      </c>
      <c r="B155" s="3">
        <v>449000</v>
      </c>
      <c r="C155" s="3">
        <v>21070</v>
      </c>
      <c r="D155" s="3">
        <v>17190</v>
      </c>
      <c r="E155" s="3">
        <v>13960</v>
      </c>
      <c r="F155" s="3">
        <v>10730</v>
      </c>
      <c r="G155" s="3">
        <v>7890</v>
      </c>
      <c r="H155" s="3">
        <v>6280</v>
      </c>
      <c r="I155" s="3">
        <v>4670</v>
      </c>
      <c r="J155" s="3">
        <v>3040</v>
      </c>
      <c r="K155" s="3">
        <v>117100</v>
      </c>
    </row>
    <row r="156" spans="1:11">
      <c r="A156" s="3">
        <v>449000</v>
      </c>
      <c r="B156" s="3">
        <v>452000</v>
      </c>
      <c r="C156" s="3">
        <v>21560</v>
      </c>
      <c r="D156" s="3">
        <v>17440</v>
      </c>
      <c r="E156" s="3">
        <v>14200</v>
      </c>
      <c r="F156" s="3">
        <v>10980</v>
      </c>
      <c r="G156" s="3">
        <v>8010</v>
      </c>
      <c r="H156" s="3">
        <v>6400</v>
      </c>
      <c r="I156" s="3">
        <v>4790</v>
      </c>
      <c r="J156" s="3">
        <v>3170</v>
      </c>
      <c r="K156" s="3">
        <v>118700</v>
      </c>
    </row>
    <row r="157" spans="1:11">
      <c r="A157" s="3">
        <v>452000</v>
      </c>
      <c r="B157" s="3">
        <v>455000</v>
      </c>
      <c r="C157" s="3">
        <v>22050</v>
      </c>
      <c r="D157" s="3">
        <v>17680</v>
      </c>
      <c r="E157" s="3">
        <v>14450</v>
      </c>
      <c r="F157" s="3">
        <v>11220</v>
      </c>
      <c r="G157" s="3">
        <v>8140</v>
      </c>
      <c r="H157" s="3">
        <v>6520</v>
      </c>
      <c r="I157" s="3">
        <v>4910</v>
      </c>
      <c r="J157" s="3">
        <v>3290</v>
      </c>
      <c r="K157" s="3">
        <v>120500</v>
      </c>
    </row>
    <row r="158" spans="1:11">
      <c r="A158" s="3">
        <v>455000</v>
      </c>
      <c r="B158" s="3">
        <v>458000</v>
      </c>
      <c r="C158" s="3">
        <v>22540</v>
      </c>
      <c r="D158" s="3">
        <v>17930</v>
      </c>
      <c r="E158" s="3">
        <v>14690</v>
      </c>
      <c r="F158" s="3">
        <v>11470</v>
      </c>
      <c r="G158" s="3">
        <v>8260</v>
      </c>
      <c r="H158" s="3">
        <v>6650</v>
      </c>
      <c r="I158" s="3">
        <v>5030</v>
      </c>
      <c r="J158" s="3">
        <v>3410</v>
      </c>
      <c r="K158" s="3">
        <v>122200</v>
      </c>
    </row>
    <row r="159" spans="1:11">
      <c r="A159" s="3">
        <v>458000</v>
      </c>
      <c r="B159" s="3">
        <v>461000</v>
      </c>
      <c r="C159" s="3">
        <v>23030</v>
      </c>
      <c r="D159" s="3">
        <v>18170</v>
      </c>
      <c r="E159" s="3">
        <v>14940</v>
      </c>
      <c r="F159" s="3">
        <v>11710</v>
      </c>
      <c r="G159" s="3">
        <v>8470</v>
      </c>
      <c r="H159" s="3">
        <v>6770</v>
      </c>
      <c r="I159" s="3">
        <v>5160</v>
      </c>
      <c r="J159" s="3">
        <v>3530</v>
      </c>
      <c r="K159" s="3">
        <v>123800</v>
      </c>
    </row>
    <row r="160" spans="1:11">
      <c r="A160" s="3">
        <v>461000</v>
      </c>
      <c r="B160" s="3">
        <v>464000</v>
      </c>
      <c r="C160" s="3">
        <v>23520</v>
      </c>
      <c r="D160" s="3">
        <v>18420</v>
      </c>
      <c r="E160" s="3">
        <v>15180</v>
      </c>
      <c r="F160" s="3">
        <v>11960</v>
      </c>
      <c r="G160" s="3">
        <v>8720</v>
      </c>
      <c r="H160" s="3">
        <v>6890</v>
      </c>
      <c r="I160" s="3">
        <v>5280</v>
      </c>
      <c r="J160" s="3">
        <v>3660</v>
      </c>
      <c r="K160" s="3">
        <v>125600</v>
      </c>
    </row>
    <row r="161" spans="1:11">
      <c r="A161" s="3">
        <v>464000</v>
      </c>
      <c r="B161" s="3">
        <v>467000</v>
      </c>
      <c r="C161" s="3">
        <v>24010</v>
      </c>
      <c r="D161" s="3">
        <v>18660</v>
      </c>
      <c r="E161" s="3">
        <v>15430</v>
      </c>
      <c r="F161" s="3">
        <v>12200</v>
      </c>
      <c r="G161" s="3">
        <v>8960</v>
      </c>
      <c r="H161" s="3">
        <v>7010</v>
      </c>
      <c r="I161" s="3">
        <v>5400</v>
      </c>
      <c r="J161" s="3">
        <v>3780</v>
      </c>
      <c r="K161" s="3">
        <v>127300</v>
      </c>
    </row>
    <row r="162" spans="1:11">
      <c r="A162" s="3">
        <v>467000</v>
      </c>
      <c r="B162" s="3">
        <v>470000</v>
      </c>
      <c r="C162" s="3">
        <v>24500</v>
      </c>
      <c r="D162" s="3">
        <v>18910</v>
      </c>
      <c r="E162" s="3">
        <v>15670</v>
      </c>
      <c r="F162" s="3">
        <v>12450</v>
      </c>
      <c r="G162" s="3">
        <v>9210</v>
      </c>
      <c r="H162" s="3">
        <v>7140</v>
      </c>
      <c r="I162" s="3">
        <v>5520</v>
      </c>
      <c r="J162" s="3">
        <v>3900</v>
      </c>
      <c r="K162" s="3">
        <v>129000</v>
      </c>
    </row>
    <row r="163" spans="1:11">
      <c r="A163" s="3">
        <v>470000</v>
      </c>
      <c r="B163" s="3">
        <v>473000</v>
      </c>
      <c r="C163" s="3">
        <v>24990</v>
      </c>
      <c r="D163" s="3">
        <v>19150</v>
      </c>
      <c r="E163" s="3">
        <v>15920</v>
      </c>
      <c r="F163" s="3">
        <v>12690</v>
      </c>
      <c r="G163" s="3">
        <v>9450</v>
      </c>
      <c r="H163" s="3">
        <v>7260</v>
      </c>
      <c r="I163" s="3">
        <v>5650</v>
      </c>
      <c r="J163" s="3">
        <v>4020</v>
      </c>
      <c r="K163" s="3">
        <v>130700</v>
      </c>
    </row>
    <row r="164" spans="1:11">
      <c r="A164" s="3">
        <v>473000</v>
      </c>
      <c r="B164" s="3">
        <v>476000</v>
      </c>
      <c r="C164" s="3">
        <v>25480</v>
      </c>
      <c r="D164" s="3">
        <v>19400</v>
      </c>
      <c r="E164" s="3">
        <v>16160</v>
      </c>
      <c r="F164" s="3">
        <v>12940</v>
      </c>
      <c r="G164" s="3">
        <v>9700</v>
      </c>
      <c r="H164" s="3">
        <v>7380</v>
      </c>
      <c r="I164" s="3">
        <v>5770</v>
      </c>
      <c r="J164" s="3">
        <v>4150</v>
      </c>
      <c r="K164" s="3">
        <v>132300</v>
      </c>
    </row>
    <row r="165" spans="1:11">
      <c r="A165" s="3">
        <v>476000</v>
      </c>
      <c r="B165" s="3">
        <v>479000</v>
      </c>
      <c r="C165" s="3">
        <v>25970</v>
      </c>
      <c r="D165" s="3">
        <v>19640</v>
      </c>
      <c r="E165" s="3">
        <v>16410</v>
      </c>
      <c r="F165" s="3">
        <v>13180</v>
      </c>
      <c r="G165" s="3">
        <v>9940</v>
      </c>
      <c r="H165" s="3">
        <v>7500</v>
      </c>
      <c r="I165" s="3">
        <v>5890</v>
      </c>
      <c r="J165" s="3">
        <v>4270</v>
      </c>
      <c r="K165" s="3">
        <v>134000</v>
      </c>
    </row>
    <row r="166" spans="1:11">
      <c r="A166" s="3">
        <v>479000</v>
      </c>
      <c r="B166" s="3">
        <v>482000</v>
      </c>
      <c r="C166" s="3">
        <v>26460</v>
      </c>
      <c r="D166" s="3">
        <v>20000</v>
      </c>
      <c r="E166" s="3">
        <v>16650</v>
      </c>
      <c r="F166" s="3">
        <v>13430</v>
      </c>
      <c r="G166" s="3">
        <v>10190</v>
      </c>
      <c r="H166" s="3">
        <v>7630</v>
      </c>
      <c r="I166" s="3">
        <v>6010</v>
      </c>
      <c r="J166" s="3">
        <v>4390</v>
      </c>
      <c r="K166" s="3">
        <v>135600</v>
      </c>
    </row>
    <row r="167" spans="1:11">
      <c r="A167" s="3">
        <v>482000</v>
      </c>
      <c r="B167" s="3">
        <v>485000</v>
      </c>
      <c r="C167" s="3">
        <v>26950</v>
      </c>
      <c r="D167" s="3">
        <v>20490</v>
      </c>
      <c r="E167" s="3">
        <v>16900</v>
      </c>
      <c r="F167" s="3">
        <v>13670</v>
      </c>
      <c r="G167" s="3">
        <v>10430</v>
      </c>
      <c r="H167" s="3">
        <v>7750</v>
      </c>
      <c r="I167" s="3">
        <v>6140</v>
      </c>
      <c r="J167" s="3">
        <v>4510</v>
      </c>
      <c r="K167" s="3">
        <v>137200</v>
      </c>
    </row>
    <row r="168" spans="1:11">
      <c r="A168" s="3">
        <v>485000</v>
      </c>
      <c r="B168" s="3">
        <v>488000</v>
      </c>
      <c r="C168" s="3">
        <v>27440</v>
      </c>
      <c r="D168" s="3">
        <v>20980</v>
      </c>
      <c r="E168" s="3">
        <v>17140</v>
      </c>
      <c r="F168" s="3">
        <v>13920</v>
      </c>
      <c r="G168" s="3">
        <v>10680</v>
      </c>
      <c r="H168" s="3">
        <v>7870</v>
      </c>
      <c r="I168" s="3">
        <v>6260</v>
      </c>
      <c r="J168" s="3">
        <v>4640</v>
      </c>
      <c r="K168" s="3">
        <v>138800</v>
      </c>
    </row>
    <row r="169" spans="1:11">
      <c r="A169" s="3">
        <v>488000</v>
      </c>
      <c r="B169" s="3">
        <v>491000</v>
      </c>
      <c r="C169" s="3">
        <v>27930</v>
      </c>
      <c r="D169" s="3">
        <v>21470</v>
      </c>
      <c r="E169" s="3">
        <v>17390</v>
      </c>
      <c r="F169" s="3">
        <v>14160</v>
      </c>
      <c r="G169" s="3">
        <v>10920</v>
      </c>
      <c r="H169" s="3">
        <v>7990</v>
      </c>
      <c r="I169" s="3">
        <v>6380</v>
      </c>
      <c r="J169" s="3">
        <v>4760</v>
      </c>
      <c r="K169" s="3">
        <v>140400</v>
      </c>
    </row>
    <row r="170" spans="1:11">
      <c r="A170" s="3">
        <v>491000</v>
      </c>
      <c r="B170" s="3">
        <v>494000</v>
      </c>
      <c r="C170" s="3">
        <v>28420</v>
      </c>
      <c r="D170" s="3">
        <v>21960</v>
      </c>
      <c r="E170" s="3">
        <v>17630</v>
      </c>
      <c r="F170" s="3">
        <v>14410</v>
      </c>
      <c r="G170" s="3">
        <v>11170</v>
      </c>
      <c r="H170" s="3">
        <v>8120</v>
      </c>
      <c r="I170" s="3">
        <v>6500</v>
      </c>
      <c r="J170" s="3">
        <v>4880</v>
      </c>
      <c r="K170" s="3">
        <v>142000</v>
      </c>
    </row>
    <row r="171" spans="1:11">
      <c r="A171" s="3">
        <v>494000</v>
      </c>
      <c r="B171" s="3">
        <v>497000</v>
      </c>
      <c r="C171" s="3">
        <v>28910</v>
      </c>
      <c r="D171" s="3">
        <v>22450</v>
      </c>
      <c r="E171" s="3">
        <v>17880</v>
      </c>
      <c r="F171" s="3">
        <v>14650</v>
      </c>
      <c r="G171" s="3">
        <v>11410</v>
      </c>
      <c r="H171" s="3">
        <v>8240</v>
      </c>
      <c r="I171" s="3">
        <v>6630</v>
      </c>
      <c r="J171" s="3">
        <v>5000</v>
      </c>
      <c r="K171" s="3">
        <v>143700</v>
      </c>
    </row>
    <row r="172" spans="1:11">
      <c r="A172" s="3">
        <v>497000</v>
      </c>
      <c r="B172" s="3">
        <v>500000</v>
      </c>
      <c r="C172" s="3">
        <v>29400</v>
      </c>
      <c r="D172" s="3">
        <v>22940</v>
      </c>
      <c r="E172" s="3">
        <v>18120</v>
      </c>
      <c r="F172" s="3">
        <v>14900</v>
      </c>
      <c r="G172" s="3">
        <v>11660</v>
      </c>
      <c r="H172" s="3">
        <v>8420</v>
      </c>
      <c r="I172" s="3">
        <v>6750</v>
      </c>
      <c r="J172" s="3">
        <v>5130</v>
      </c>
      <c r="K172" s="3">
        <v>145200</v>
      </c>
    </row>
    <row r="173" spans="1:11">
      <c r="A173" s="3">
        <v>500000</v>
      </c>
      <c r="B173" s="3">
        <v>503000</v>
      </c>
      <c r="C173" s="3">
        <v>29890</v>
      </c>
      <c r="D173" s="3">
        <v>23430</v>
      </c>
      <c r="E173" s="3">
        <v>18370</v>
      </c>
      <c r="F173" s="3">
        <v>15140</v>
      </c>
      <c r="G173" s="3">
        <v>11900</v>
      </c>
      <c r="H173" s="3">
        <v>8670</v>
      </c>
      <c r="I173" s="3">
        <v>6870</v>
      </c>
      <c r="J173" s="3">
        <v>5250</v>
      </c>
      <c r="K173" s="3">
        <v>146800</v>
      </c>
    </row>
    <row r="174" spans="1:11">
      <c r="A174" s="3">
        <v>503000</v>
      </c>
      <c r="B174" s="3">
        <v>506000</v>
      </c>
      <c r="C174" s="3">
        <v>30380</v>
      </c>
      <c r="D174" s="3">
        <v>23920</v>
      </c>
      <c r="E174" s="3">
        <v>18610</v>
      </c>
      <c r="F174" s="3">
        <v>15390</v>
      </c>
      <c r="G174" s="3">
        <v>12150</v>
      </c>
      <c r="H174" s="3">
        <v>8910</v>
      </c>
      <c r="I174" s="3">
        <v>6990</v>
      </c>
      <c r="J174" s="3">
        <v>5370</v>
      </c>
      <c r="K174" s="3">
        <v>148500</v>
      </c>
    </row>
    <row r="175" spans="1:11">
      <c r="A175" s="3">
        <v>506000</v>
      </c>
      <c r="B175" s="3">
        <v>509000</v>
      </c>
      <c r="C175" s="3">
        <v>30880</v>
      </c>
      <c r="D175" s="3">
        <v>24410</v>
      </c>
      <c r="E175" s="3">
        <v>18860</v>
      </c>
      <c r="F175" s="3">
        <v>15630</v>
      </c>
      <c r="G175" s="3">
        <v>12390</v>
      </c>
      <c r="H175" s="3">
        <v>9160</v>
      </c>
      <c r="I175" s="3">
        <v>7120</v>
      </c>
      <c r="J175" s="3">
        <v>5490</v>
      </c>
      <c r="K175" s="3">
        <v>150100</v>
      </c>
    </row>
    <row r="176" spans="1:11">
      <c r="A176" s="3">
        <v>509000</v>
      </c>
      <c r="B176" s="3">
        <v>512000</v>
      </c>
      <c r="C176" s="3">
        <v>31370</v>
      </c>
      <c r="D176" s="3">
        <v>24900</v>
      </c>
      <c r="E176" s="3">
        <v>19100</v>
      </c>
      <c r="F176" s="3">
        <v>15880</v>
      </c>
      <c r="G176" s="3">
        <v>12640</v>
      </c>
      <c r="H176" s="3">
        <v>9400</v>
      </c>
      <c r="I176" s="3">
        <v>7240</v>
      </c>
      <c r="J176" s="3">
        <v>5620</v>
      </c>
      <c r="K176" s="3">
        <v>151600</v>
      </c>
    </row>
    <row r="177" spans="1:11">
      <c r="A177" s="3">
        <v>512000</v>
      </c>
      <c r="B177" s="3">
        <v>515000</v>
      </c>
      <c r="C177" s="3">
        <v>31860</v>
      </c>
      <c r="D177" s="3">
        <v>25390</v>
      </c>
      <c r="E177" s="3">
        <v>19350</v>
      </c>
      <c r="F177" s="3">
        <v>16120</v>
      </c>
      <c r="G177" s="3">
        <v>12890</v>
      </c>
      <c r="H177" s="3">
        <v>9650</v>
      </c>
      <c r="I177" s="3">
        <v>7360</v>
      </c>
      <c r="J177" s="3">
        <v>5740</v>
      </c>
      <c r="K177" s="3">
        <v>153300</v>
      </c>
    </row>
    <row r="178" spans="1:11">
      <c r="A178" s="3">
        <v>515000</v>
      </c>
      <c r="B178" s="3">
        <v>518000</v>
      </c>
      <c r="C178" s="3">
        <v>32350</v>
      </c>
      <c r="D178" s="3">
        <v>25880</v>
      </c>
      <c r="E178" s="3">
        <v>19590</v>
      </c>
      <c r="F178" s="3">
        <v>16370</v>
      </c>
      <c r="G178" s="3">
        <v>13130</v>
      </c>
      <c r="H178" s="3">
        <v>9890</v>
      </c>
      <c r="I178" s="3">
        <v>7480</v>
      </c>
      <c r="J178" s="3">
        <v>5860</v>
      </c>
      <c r="K178" s="3">
        <v>154900</v>
      </c>
    </row>
    <row r="179" spans="1:11">
      <c r="A179" s="3">
        <v>518000</v>
      </c>
      <c r="B179" s="3">
        <v>521000</v>
      </c>
      <c r="C179" s="3">
        <v>32840</v>
      </c>
      <c r="D179" s="3">
        <v>26370</v>
      </c>
      <c r="E179" s="3">
        <v>19900</v>
      </c>
      <c r="F179" s="3">
        <v>16610</v>
      </c>
      <c r="G179" s="3">
        <v>13380</v>
      </c>
      <c r="H179" s="3">
        <v>10140</v>
      </c>
      <c r="I179" s="3">
        <v>7610</v>
      </c>
      <c r="J179" s="3">
        <v>5980</v>
      </c>
      <c r="K179" s="3">
        <v>156500</v>
      </c>
    </row>
    <row r="180" spans="1:11">
      <c r="A180" s="3">
        <v>521000</v>
      </c>
      <c r="B180" s="3">
        <v>524000</v>
      </c>
      <c r="C180" s="3">
        <v>33330</v>
      </c>
      <c r="D180" s="3">
        <v>26860</v>
      </c>
      <c r="E180" s="3">
        <v>20390</v>
      </c>
      <c r="F180" s="3">
        <v>16860</v>
      </c>
      <c r="G180" s="3">
        <v>13620</v>
      </c>
      <c r="H180" s="3">
        <v>10380</v>
      </c>
      <c r="I180" s="3">
        <v>7730</v>
      </c>
      <c r="J180" s="3">
        <v>6110</v>
      </c>
      <c r="K180" s="3">
        <v>158100</v>
      </c>
    </row>
    <row r="181" spans="1:11">
      <c r="A181" s="3">
        <v>524000</v>
      </c>
      <c r="B181" s="3">
        <v>527000</v>
      </c>
      <c r="C181" s="3">
        <v>33820</v>
      </c>
      <c r="D181" s="3">
        <v>27350</v>
      </c>
      <c r="E181" s="3">
        <v>20880</v>
      </c>
      <c r="F181" s="3">
        <v>17100</v>
      </c>
      <c r="G181" s="3">
        <v>13870</v>
      </c>
      <c r="H181" s="3">
        <v>10630</v>
      </c>
      <c r="I181" s="3">
        <v>7850</v>
      </c>
      <c r="J181" s="3">
        <v>6230</v>
      </c>
      <c r="K181" s="3">
        <v>159600</v>
      </c>
    </row>
    <row r="182" spans="1:11">
      <c r="A182" s="3">
        <v>527000</v>
      </c>
      <c r="B182" s="3">
        <v>530000</v>
      </c>
      <c r="C182" s="3">
        <v>34310</v>
      </c>
      <c r="D182" s="3">
        <v>27840</v>
      </c>
      <c r="E182" s="3">
        <v>21370</v>
      </c>
      <c r="F182" s="3">
        <v>17350</v>
      </c>
      <c r="G182" s="3">
        <v>14110</v>
      </c>
      <c r="H182" s="3">
        <v>10870</v>
      </c>
      <c r="I182" s="3">
        <v>7970</v>
      </c>
      <c r="J182" s="3">
        <v>6350</v>
      </c>
      <c r="K182" s="3">
        <v>161000</v>
      </c>
    </row>
    <row r="183" spans="1:11">
      <c r="A183" s="3">
        <v>530000</v>
      </c>
      <c r="B183" s="3">
        <v>533000</v>
      </c>
      <c r="C183" s="3">
        <v>34800</v>
      </c>
      <c r="D183" s="3">
        <v>28330</v>
      </c>
      <c r="E183" s="3">
        <v>21860</v>
      </c>
      <c r="F183" s="3">
        <v>17590</v>
      </c>
      <c r="G183" s="3">
        <v>14360</v>
      </c>
      <c r="H183" s="3">
        <v>11120</v>
      </c>
      <c r="I183" s="3">
        <v>8100</v>
      </c>
      <c r="J183" s="3">
        <v>6470</v>
      </c>
      <c r="K183" s="3">
        <v>162500</v>
      </c>
    </row>
    <row r="184" spans="1:11">
      <c r="A184" s="3">
        <v>533000</v>
      </c>
      <c r="B184" s="3">
        <v>536000</v>
      </c>
      <c r="C184" s="3">
        <v>35290</v>
      </c>
      <c r="D184" s="3">
        <v>28820</v>
      </c>
      <c r="E184" s="3">
        <v>22350</v>
      </c>
      <c r="F184" s="3">
        <v>17840</v>
      </c>
      <c r="G184" s="3">
        <v>14600</v>
      </c>
      <c r="H184" s="3">
        <v>11360</v>
      </c>
      <c r="I184" s="3">
        <v>8220</v>
      </c>
      <c r="J184" s="3">
        <v>6600</v>
      </c>
      <c r="K184" s="3">
        <v>164000</v>
      </c>
    </row>
    <row r="185" spans="1:11">
      <c r="A185" s="3">
        <v>536000</v>
      </c>
      <c r="B185" s="3">
        <v>539000</v>
      </c>
      <c r="C185" s="3">
        <v>35780</v>
      </c>
      <c r="D185" s="3">
        <v>29310</v>
      </c>
      <c r="E185" s="3">
        <v>22840</v>
      </c>
      <c r="F185" s="3">
        <v>18080</v>
      </c>
      <c r="G185" s="3">
        <v>14850</v>
      </c>
      <c r="H185" s="3">
        <v>11610</v>
      </c>
      <c r="I185" s="3">
        <v>8380</v>
      </c>
      <c r="J185" s="3">
        <v>6720</v>
      </c>
      <c r="K185" s="3">
        <v>165400</v>
      </c>
    </row>
    <row r="186" spans="1:11">
      <c r="A186" s="3">
        <v>539000</v>
      </c>
      <c r="B186" s="3">
        <v>542000</v>
      </c>
      <c r="C186" s="3">
        <v>36270</v>
      </c>
      <c r="D186" s="3">
        <v>29800</v>
      </c>
      <c r="E186" s="3">
        <v>23330</v>
      </c>
      <c r="F186" s="3">
        <v>18330</v>
      </c>
      <c r="G186" s="3">
        <v>15090</v>
      </c>
      <c r="H186" s="3">
        <v>11850</v>
      </c>
      <c r="I186" s="3">
        <v>8630</v>
      </c>
      <c r="J186" s="3">
        <v>6840</v>
      </c>
      <c r="K186" s="3">
        <v>166900</v>
      </c>
    </row>
    <row r="187" spans="1:11">
      <c r="A187" s="3">
        <v>542000</v>
      </c>
      <c r="B187" s="3">
        <v>545000</v>
      </c>
      <c r="C187" s="3">
        <v>36760</v>
      </c>
      <c r="D187" s="3">
        <v>30290</v>
      </c>
      <c r="E187" s="3">
        <v>23820</v>
      </c>
      <c r="F187" s="3">
        <v>18570</v>
      </c>
      <c r="G187" s="3">
        <v>15340</v>
      </c>
      <c r="H187" s="3">
        <v>12100</v>
      </c>
      <c r="I187" s="3">
        <v>8870</v>
      </c>
      <c r="J187" s="3">
        <v>6960</v>
      </c>
      <c r="K187" s="3">
        <v>168400</v>
      </c>
    </row>
    <row r="188" spans="1:11">
      <c r="A188" s="3">
        <v>545000</v>
      </c>
      <c r="B188" s="3">
        <v>548000</v>
      </c>
      <c r="C188" s="3">
        <v>37250</v>
      </c>
      <c r="D188" s="3">
        <v>30780</v>
      </c>
      <c r="E188" s="3">
        <v>24310</v>
      </c>
      <c r="F188" s="3">
        <v>18820</v>
      </c>
      <c r="G188" s="3">
        <v>15580</v>
      </c>
      <c r="H188" s="3">
        <v>12340</v>
      </c>
      <c r="I188" s="3">
        <v>9120</v>
      </c>
      <c r="J188" s="3">
        <v>7090</v>
      </c>
      <c r="K188" s="3">
        <v>169900</v>
      </c>
    </row>
    <row r="189" spans="1:11">
      <c r="A189" s="3">
        <v>548000</v>
      </c>
      <c r="B189" s="3">
        <v>551000</v>
      </c>
      <c r="C189" s="3">
        <v>37740</v>
      </c>
      <c r="D189" s="3">
        <v>31270</v>
      </c>
      <c r="E189" s="3">
        <v>24800</v>
      </c>
      <c r="F189" s="3">
        <v>19060</v>
      </c>
      <c r="G189" s="3">
        <v>15830</v>
      </c>
      <c r="H189" s="3">
        <v>12590</v>
      </c>
      <c r="I189" s="3">
        <v>9360</v>
      </c>
      <c r="J189" s="3">
        <v>7210</v>
      </c>
      <c r="K189" s="3">
        <v>171300</v>
      </c>
    </row>
    <row r="190" spans="1:11">
      <c r="A190" s="3">
        <v>551000</v>
      </c>
      <c r="B190" s="3">
        <v>554000</v>
      </c>
      <c r="C190" s="3">
        <v>38280</v>
      </c>
      <c r="D190" s="3">
        <v>31810</v>
      </c>
      <c r="E190" s="3">
        <v>25340</v>
      </c>
      <c r="F190" s="3">
        <v>19330</v>
      </c>
      <c r="G190" s="3">
        <v>16100</v>
      </c>
      <c r="H190" s="3">
        <v>12860</v>
      </c>
      <c r="I190" s="3">
        <v>9630</v>
      </c>
      <c r="J190" s="3">
        <v>7350</v>
      </c>
      <c r="K190" s="3">
        <v>172800</v>
      </c>
    </row>
    <row r="191" spans="1:11">
      <c r="A191" s="3">
        <v>554000</v>
      </c>
      <c r="B191" s="3">
        <v>557000</v>
      </c>
      <c r="C191" s="3">
        <v>38830</v>
      </c>
      <c r="D191" s="3">
        <v>32370</v>
      </c>
      <c r="E191" s="3">
        <v>25890</v>
      </c>
      <c r="F191" s="3">
        <v>19600</v>
      </c>
      <c r="G191" s="3">
        <v>16380</v>
      </c>
      <c r="H191" s="3">
        <v>13140</v>
      </c>
      <c r="I191" s="3">
        <v>9900</v>
      </c>
      <c r="J191" s="3">
        <v>7480</v>
      </c>
      <c r="K191" s="3">
        <v>174300</v>
      </c>
    </row>
    <row r="192" spans="1:11">
      <c r="A192" s="3">
        <v>557000</v>
      </c>
      <c r="B192" s="3">
        <v>560000</v>
      </c>
      <c r="C192" s="3">
        <v>39380</v>
      </c>
      <c r="D192" s="3">
        <v>32920</v>
      </c>
      <c r="E192" s="3">
        <v>26440</v>
      </c>
      <c r="F192" s="3">
        <v>19980</v>
      </c>
      <c r="G192" s="3">
        <v>16650</v>
      </c>
      <c r="H192" s="3">
        <v>13420</v>
      </c>
      <c r="I192" s="3">
        <v>10180</v>
      </c>
      <c r="J192" s="3">
        <v>7630</v>
      </c>
      <c r="K192" s="3">
        <v>175700</v>
      </c>
    </row>
    <row r="193" spans="1:11">
      <c r="A193" s="3">
        <v>560000</v>
      </c>
      <c r="B193" s="3">
        <v>563000</v>
      </c>
      <c r="C193" s="3">
        <v>39930</v>
      </c>
      <c r="D193" s="3">
        <v>33470</v>
      </c>
      <c r="E193" s="3">
        <v>27000</v>
      </c>
      <c r="F193" s="3">
        <v>20530</v>
      </c>
      <c r="G193" s="3">
        <v>16930</v>
      </c>
      <c r="H193" s="3">
        <v>13690</v>
      </c>
      <c r="I193" s="3">
        <v>10460</v>
      </c>
      <c r="J193" s="3">
        <v>7760</v>
      </c>
      <c r="K193" s="3">
        <v>177200</v>
      </c>
    </row>
    <row r="194" spans="1:11">
      <c r="A194" s="3">
        <v>563000</v>
      </c>
      <c r="B194" s="3">
        <v>566000</v>
      </c>
      <c r="C194" s="3">
        <v>40480</v>
      </c>
      <c r="D194" s="3">
        <v>34020</v>
      </c>
      <c r="E194" s="3">
        <v>27550</v>
      </c>
      <c r="F194" s="3">
        <v>21080</v>
      </c>
      <c r="G194" s="3">
        <v>17200</v>
      </c>
      <c r="H194" s="3">
        <v>13970</v>
      </c>
      <c r="I194" s="3">
        <v>10730</v>
      </c>
      <c r="J194" s="3">
        <v>7900</v>
      </c>
      <c r="K194" s="3">
        <v>178700</v>
      </c>
    </row>
    <row r="195" spans="1:11">
      <c r="A195" s="3">
        <v>566000</v>
      </c>
      <c r="B195" s="3">
        <v>569000</v>
      </c>
      <c r="C195" s="3">
        <v>41030</v>
      </c>
      <c r="D195" s="3">
        <v>34570</v>
      </c>
      <c r="E195" s="3">
        <v>28100</v>
      </c>
      <c r="F195" s="3">
        <v>21630</v>
      </c>
      <c r="G195" s="3">
        <v>17480</v>
      </c>
      <c r="H195" s="3">
        <v>14240</v>
      </c>
      <c r="I195" s="3">
        <v>11010</v>
      </c>
      <c r="J195" s="3">
        <v>8040</v>
      </c>
      <c r="K195" s="3">
        <v>180100</v>
      </c>
    </row>
    <row r="196" spans="1:11">
      <c r="A196" s="3">
        <v>569000</v>
      </c>
      <c r="B196" s="3">
        <v>572000</v>
      </c>
      <c r="C196" s="3">
        <v>41590</v>
      </c>
      <c r="D196" s="3">
        <v>35120</v>
      </c>
      <c r="E196" s="3">
        <v>28650</v>
      </c>
      <c r="F196" s="3">
        <v>22190</v>
      </c>
      <c r="G196" s="3">
        <v>17760</v>
      </c>
      <c r="H196" s="3">
        <v>14520</v>
      </c>
      <c r="I196" s="3">
        <v>11280</v>
      </c>
      <c r="J196" s="3">
        <v>8180</v>
      </c>
      <c r="K196" s="3">
        <v>181600</v>
      </c>
    </row>
    <row r="197" spans="1:11">
      <c r="A197" s="3">
        <v>572000</v>
      </c>
      <c r="B197" s="3">
        <v>575000</v>
      </c>
      <c r="C197" s="3">
        <v>42140</v>
      </c>
      <c r="D197" s="3">
        <v>35670</v>
      </c>
      <c r="E197" s="3">
        <v>29200</v>
      </c>
      <c r="F197" s="3">
        <v>22740</v>
      </c>
      <c r="G197" s="3">
        <v>18030</v>
      </c>
      <c r="H197" s="3">
        <v>14790</v>
      </c>
      <c r="I197" s="3">
        <v>11560</v>
      </c>
      <c r="J197" s="3">
        <v>8330</v>
      </c>
      <c r="K197" s="3">
        <v>183100</v>
      </c>
    </row>
    <row r="198" spans="1:11">
      <c r="A198" s="3">
        <v>575000</v>
      </c>
      <c r="B198" s="3">
        <v>578000</v>
      </c>
      <c r="C198" s="3">
        <v>42690</v>
      </c>
      <c r="D198" s="3">
        <v>36230</v>
      </c>
      <c r="E198" s="3">
        <v>29750</v>
      </c>
      <c r="F198" s="3">
        <v>23290</v>
      </c>
      <c r="G198" s="3">
        <v>18310</v>
      </c>
      <c r="H198" s="3">
        <v>15070</v>
      </c>
      <c r="I198" s="3">
        <v>11830</v>
      </c>
      <c r="J198" s="3">
        <v>8610</v>
      </c>
      <c r="K198" s="3">
        <v>184600</v>
      </c>
    </row>
    <row r="199" spans="1:11">
      <c r="A199" s="3">
        <v>578000</v>
      </c>
      <c r="B199" s="3">
        <v>581000</v>
      </c>
      <c r="C199" s="3">
        <v>43240</v>
      </c>
      <c r="D199" s="3">
        <v>36780</v>
      </c>
      <c r="E199" s="3">
        <v>30300</v>
      </c>
      <c r="F199" s="3">
        <v>23840</v>
      </c>
      <c r="G199" s="3">
        <v>18580</v>
      </c>
      <c r="H199" s="3">
        <v>15350</v>
      </c>
      <c r="I199" s="3">
        <v>12110</v>
      </c>
      <c r="J199" s="3">
        <v>8880</v>
      </c>
      <c r="K199" s="3">
        <v>186000</v>
      </c>
    </row>
    <row r="200" spans="1:11">
      <c r="A200" s="3">
        <v>581000</v>
      </c>
      <c r="B200" s="3">
        <v>584000</v>
      </c>
      <c r="C200" s="3">
        <v>43790</v>
      </c>
      <c r="D200" s="3">
        <v>37330</v>
      </c>
      <c r="E200" s="3">
        <v>30850</v>
      </c>
      <c r="F200" s="3">
        <v>24390</v>
      </c>
      <c r="G200" s="3">
        <v>18860</v>
      </c>
      <c r="H200" s="3">
        <v>15620</v>
      </c>
      <c r="I200" s="3">
        <v>12380</v>
      </c>
      <c r="J200" s="3">
        <v>9160</v>
      </c>
      <c r="K200" s="3">
        <v>187500</v>
      </c>
    </row>
    <row r="201" spans="1:11">
      <c r="A201" s="3">
        <v>584000</v>
      </c>
      <c r="B201" s="3">
        <v>587000</v>
      </c>
      <c r="C201" s="3">
        <v>44340</v>
      </c>
      <c r="D201" s="3">
        <v>37880</v>
      </c>
      <c r="E201" s="3">
        <v>31410</v>
      </c>
      <c r="F201" s="3">
        <v>24940</v>
      </c>
      <c r="G201" s="3">
        <v>19130</v>
      </c>
      <c r="H201" s="3">
        <v>15900</v>
      </c>
      <c r="I201" s="3">
        <v>12660</v>
      </c>
      <c r="J201" s="3">
        <v>9430</v>
      </c>
      <c r="K201" s="3">
        <v>189000</v>
      </c>
    </row>
    <row r="202" spans="1:11">
      <c r="A202" s="3">
        <v>587000</v>
      </c>
      <c r="B202" s="3">
        <v>590000</v>
      </c>
      <c r="C202" s="3">
        <v>44890</v>
      </c>
      <c r="D202" s="3">
        <v>38430</v>
      </c>
      <c r="E202" s="3">
        <v>31960</v>
      </c>
      <c r="F202" s="3">
        <v>25490</v>
      </c>
      <c r="G202" s="3">
        <v>19410</v>
      </c>
      <c r="H202" s="3">
        <v>16170</v>
      </c>
      <c r="I202" s="3">
        <v>12940</v>
      </c>
      <c r="J202" s="3">
        <v>9710</v>
      </c>
      <c r="K202" s="3">
        <v>190400</v>
      </c>
    </row>
    <row r="203" spans="1:11">
      <c r="A203" s="3">
        <v>590000</v>
      </c>
      <c r="B203" s="3">
        <v>593000</v>
      </c>
      <c r="C203" s="3">
        <v>45440</v>
      </c>
      <c r="D203" s="3">
        <v>38980</v>
      </c>
      <c r="E203" s="3">
        <v>32510</v>
      </c>
      <c r="F203" s="3">
        <v>26050</v>
      </c>
      <c r="G203" s="3">
        <v>19680</v>
      </c>
      <c r="H203" s="3">
        <v>16450</v>
      </c>
      <c r="I203" s="3">
        <v>13210</v>
      </c>
      <c r="J203" s="3">
        <v>9990</v>
      </c>
      <c r="K203" s="3">
        <v>191900</v>
      </c>
    </row>
    <row r="204" spans="1:11">
      <c r="A204" s="3">
        <v>593000</v>
      </c>
      <c r="B204" s="3">
        <v>596000</v>
      </c>
      <c r="C204" s="3">
        <v>46000</v>
      </c>
      <c r="D204" s="3">
        <v>39530</v>
      </c>
      <c r="E204" s="3">
        <v>33060</v>
      </c>
      <c r="F204" s="3">
        <v>26600</v>
      </c>
      <c r="G204" s="3">
        <v>20130</v>
      </c>
      <c r="H204" s="3">
        <v>16720</v>
      </c>
      <c r="I204" s="3">
        <v>13490</v>
      </c>
      <c r="J204" s="3">
        <v>10260</v>
      </c>
      <c r="K204" s="3">
        <v>193400</v>
      </c>
    </row>
    <row r="205" spans="1:11">
      <c r="A205" s="3">
        <v>596000</v>
      </c>
      <c r="B205" s="3">
        <v>599000</v>
      </c>
      <c r="C205" s="3">
        <v>46550</v>
      </c>
      <c r="D205" s="3">
        <v>40080</v>
      </c>
      <c r="E205" s="3">
        <v>33610</v>
      </c>
      <c r="F205" s="3">
        <v>27150</v>
      </c>
      <c r="G205" s="3">
        <v>20690</v>
      </c>
      <c r="H205" s="3">
        <v>17000</v>
      </c>
      <c r="I205" s="3">
        <v>13760</v>
      </c>
      <c r="J205" s="3">
        <v>10540</v>
      </c>
      <c r="K205" s="3">
        <v>194800</v>
      </c>
    </row>
    <row r="206" spans="1:11">
      <c r="A206" s="3">
        <v>599000</v>
      </c>
      <c r="B206" s="3">
        <v>602000</v>
      </c>
      <c r="C206" s="3">
        <v>47100</v>
      </c>
      <c r="D206" s="3">
        <v>40640</v>
      </c>
      <c r="E206" s="3">
        <v>34160</v>
      </c>
      <c r="F206" s="3">
        <v>27700</v>
      </c>
      <c r="G206" s="3">
        <v>21240</v>
      </c>
      <c r="H206" s="3">
        <v>17280</v>
      </c>
      <c r="I206" s="3">
        <v>14040</v>
      </c>
      <c r="J206" s="3">
        <v>10810</v>
      </c>
      <c r="K206" s="3">
        <v>196300</v>
      </c>
    </row>
    <row r="207" spans="1:11">
      <c r="A207" s="3">
        <v>602000</v>
      </c>
      <c r="B207" s="3">
        <v>605000</v>
      </c>
      <c r="C207" s="3">
        <v>47650</v>
      </c>
      <c r="D207" s="3">
        <v>41190</v>
      </c>
      <c r="E207" s="3">
        <v>34710</v>
      </c>
      <c r="F207" s="3">
        <v>28250</v>
      </c>
      <c r="G207" s="3">
        <v>21790</v>
      </c>
      <c r="H207" s="3">
        <v>17550</v>
      </c>
      <c r="I207" s="3">
        <v>14310</v>
      </c>
      <c r="J207" s="3">
        <v>11090</v>
      </c>
      <c r="K207" s="3">
        <v>197800</v>
      </c>
    </row>
    <row r="208" spans="1:11">
      <c r="A208" s="3">
        <v>605000</v>
      </c>
      <c r="B208" s="3">
        <v>608000</v>
      </c>
      <c r="C208" s="3">
        <v>48200</v>
      </c>
      <c r="D208" s="3">
        <v>41740</v>
      </c>
      <c r="E208" s="3">
        <v>35270</v>
      </c>
      <c r="F208" s="3">
        <v>28800</v>
      </c>
      <c r="G208" s="3">
        <v>22340</v>
      </c>
      <c r="H208" s="3">
        <v>17830</v>
      </c>
      <c r="I208" s="3">
        <v>14590</v>
      </c>
      <c r="J208" s="3">
        <v>11360</v>
      </c>
      <c r="K208" s="3">
        <v>199300</v>
      </c>
    </row>
    <row r="209" spans="1:11">
      <c r="A209" s="3">
        <v>608000</v>
      </c>
      <c r="B209" s="3">
        <v>611000</v>
      </c>
      <c r="C209" s="3">
        <v>48750</v>
      </c>
      <c r="D209" s="3">
        <v>42290</v>
      </c>
      <c r="E209" s="3">
        <v>35820</v>
      </c>
      <c r="F209" s="3">
        <v>29350</v>
      </c>
      <c r="G209" s="3">
        <v>22890</v>
      </c>
      <c r="H209" s="3">
        <v>18100</v>
      </c>
      <c r="I209" s="3">
        <v>14870</v>
      </c>
      <c r="J209" s="3">
        <v>11640</v>
      </c>
      <c r="K209" s="3">
        <v>200700</v>
      </c>
    </row>
    <row r="210" spans="1:11">
      <c r="A210" s="3">
        <v>611000</v>
      </c>
      <c r="B210" s="3">
        <v>614000</v>
      </c>
      <c r="C210" s="3">
        <v>49300</v>
      </c>
      <c r="D210" s="3">
        <v>42840</v>
      </c>
      <c r="E210" s="3">
        <v>36370</v>
      </c>
      <c r="F210" s="3">
        <v>29910</v>
      </c>
      <c r="G210" s="3">
        <v>23440</v>
      </c>
      <c r="H210" s="3">
        <v>18380</v>
      </c>
      <c r="I210" s="3">
        <v>15140</v>
      </c>
      <c r="J210" s="3">
        <v>11920</v>
      </c>
      <c r="K210" s="3">
        <v>202200</v>
      </c>
    </row>
    <row r="211" spans="1:11">
      <c r="A211" s="3">
        <v>614000</v>
      </c>
      <c r="B211" s="3">
        <v>617000</v>
      </c>
      <c r="C211" s="3">
        <v>49860</v>
      </c>
      <c r="D211" s="3">
        <v>43390</v>
      </c>
      <c r="E211" s="3">
        <v>36920</v>
      </c>
      <c r="F211" s="3">
        <v>30460</v>
      </c>
      <c r="G211" s="3">
        <v>23990</v>
      </c>
      <c r="H211" s="3">
        <v>18650</v>
      </c>
      <c r="I211" s="3">
        <v>15420</v>
      </c>
      <c r="J211" s="3">
        <v>12190</v>
      </c>
      <c r="K211" s="3">
        <v>203700</v>
      </c>
    </row>
    <row r="212" spans="1:11">
      <c r="A212" s="3">
        <v>617000</v>
      </c>
      <c r="B212" s="3">
        <v>620000</v>
      </c>
      <c r="C212" s="3">
        <v>50410</v>
      </c>
      <c r="D212" s="3">
        <v>43940</v>
      </c>
      <c r="E212" s="3">
        <v>37470</v>
      </c>
      <c r="F212" s="3">
        <v>31010</v>
      </c>
      <c r="G212" s="3">
        <v>24540</v>
      </c>
      <c r="H212" s="3">
        <v>18930</v>
      </c>
      <c r="I212" s="3">
        <v>15690</v>
      </c>
      <c r="J212" s="3">
        <v>12470</v>
      </c>
      <c r="K212" s="3">
        <v>205100</v>
      </c>
    </row>
    <row r="213" spans="1:11">
      <c r="A213" s="3">
        <v>620000</v>
      </c>
      <c r="B213" s="3">
        <v>623000</v>
      </c>
      <c r="C213" s="3">
        <v>50960</v>
      </c>
      <c r="D213" s="3">
        <v>44500</v>
      </c>
      <c r="E213" s="3">
        <v>38020</v>
      </c>
      <c r="F213" s="3">
        <v>31560</v>
      </c>
      <c r="G213" s="3">
        <v>25100</v>
      </c>
      <c r="H213" s="3">
        <v>19210</v>
      </c>
      <c r="I213" s="3">
        <v>15970</v>
      </c>
      <c r="J213" s="3">
        <v>12740</v>
      </c>
      <c r="K213" s="3">
        <v>206700</v>
      </c>
    </row>
    <row r="214" spans="1:11">
      <c r="A214" s="3">
        <v>623000</v>
      </c>
      <c r="B214" s="3">
        <v>626000</v>
      </c>
      <c r="C214" s="3">
        <v>51510</v>
      </c>
      <c r="D214" s="3">
        <v>45050</v>
      </c>
      <c r="E214" s="3">
        <v>38570</v>
      </c>
      <c r="F214" s="3">
        <v>32110</v>
      </c>
      <c r="G214" s="3">
        <v>25650</v>
      </c>
      <c r="H214" s="3">
        <v>19480</v>
      </c>
      <c r="I214" s="3">
        <v>16240</v>
      </c>
      <c r="J214" s="3">
        <v>13020</v>
      </c>
      <c r="K214" s="3">
        <v>208100</v>
      </c>
    </row>
    <row r="215" spans="1:11">
      <c r="A215" s="3">
        <v>626000</v>
      </c>
      <c r="B215" s="3">
        <v>629000</v>
      </c>
      <c r="C215" s="3">
        <v>52060</v>
      </c>
      <c r="D215" s="3">
        <v>45600</v>
      </c>
      <c r="E215" s="3">
        <v>39120</v>
      </c>
      <c r="F215" s="3">
        <v>32660</v>
      </c>
      <c r="G215" s="3">
        <v>26200</v>
      </c>
      <c r="H215" s="3">
        <v>19760</v>
      </c>
      <c r="I215" s="3">
        <v>16520</v>
      </c>
      <c r="J215" s="3">
        <v>13290</v>
      </c>
      <c r="K215" s="3">
        <v>209500</v>
      </c>
    </row>
    <row r="216" spans="1:11">
      <c r="A216" s="3">
        <v>629000</v>
      </c>
      <c r="B216" s="3">
        <v>632000</v>
      </c>
      <c r="C216" s="3">
        <v>52610</v>
      </c>
      <c r="D216" s="3">
        <v>46150</v>
      </c>
      <c r="E216" s="3">
        <v>39680</v>
      </c>
      <c r="F216" s="3">
        <v>33210</v>
      </c>
      <c r="G216" s="3">
        <v>26750</v>
      </c>
      <c r="H216" s="3">
        <v>20280</v>
      </c>
      <c r="I216" s="3">
        <v>16800</v>
      </c>
      <c r="J216" s="3">
        <v>13570</v>
      </c>
      <c r="K216" s="3">
        <v>211000</v>
      </c>
    </row>
    <row r="217" spans="1:11">
      <c r="A217" s="3">
        <v>632000</v>
      </c>
      <c r="B217" s="3">
        <v>635000</v>
      </c>
      <c r="C217" s="3">
        <v>53160</v>
      </c>
      <c r="D217" s="3">
        <v>46700</v>
      </c>
      <c r="E217" s="3">
        <v>40230</v>
      </c>
      <c r="F217" s="3">
        <v>33760</v>
      </c>
      <c r="G217" s="3">
        <v>27300</v>
      </c>
      <c r="H217" s="3">
        <v>20830</v>
      </c>
      <c r="I217" s="3">
        <v>17070</v>
      </c>
      <c r="J217" s="3">
        <v>13840</v>
      </c>
      <c r="K217" s="3">
        <v>212500</v>
      </c>
    </row>
    <row r="218" spans="1:11">
      <c r="A218" s="3">
        <v>635000</v>
      </c>
      <c r="B218" s="3">
        <v>638000</v>
      </c>
      <c r="C218" s="3">
        <v>53710</v>
      </c>
      <c r="D218" s="3">
        <v>47250</v>
      </c>
      <c r="E218" s="3">
        <v>40780</v>
      </c>
      <c r="F218" s="3">
        <v>34320</v>
      </c>
      <c r="G218" s="3">
        <v>27850</v>
      </c>
      <c r="H218" s="3">
        <v>21380</v>
      </c>
      <c r="I218" s="3">
        <v>17350</v>
      </c>
      <c r="J218" s="3">
        <v>14120</v>
      </c>
      <c r="K218" s="3">
        <v>214000</v>
      </c>
    </row>
    <row r="219" spans="1:11">
      <c r="A219" s="3">
        <v>638000</v>
      </c>
      <c r="B219" s="3">
        <v>641000</v>
      </c>
      <c r="C219" s="3">
        <v>54270</v>
      </c>
      <c r="D219" s="3">
        <v>47800</v>
      </c>
      <c r="E219" s="3">
        <v>41330</v>
      </c>
      <c r="F219" s="3">
        <v>34870</v>
      </c>
      <c r="G219" s="3">
        <v>28400</v>
      </c>
      <c r="H219" s="3">
        <v>21930</v>
      </c>
      <c r="I219" s="3">
        <v>17620</v>
      </c>
      <c r="J219" s="3">
        <v>14400</v>
      </c>
      <c r="K219" s="3">
        <v>214900</v>
      </c>
    </row>
    <row r="220" spans="1:11">
      <c r="A220" s="3">
        <v>641000</v>
      </c>
      <c r="B220" s="3">
        <v>644000</v>
      </c>
      <c r="C220" s="3">
        <v>54820</v>
      </c>
      <c r="D220" s="3">
        <v>48350</v>
      </c>
      <c r="E220" s="3">
        <v>41880</v>
      </c>
      <c r="F220" s="3">
        <v>35420</v>
      </c>
      <c r="G220" s="3">
        <v>28960</v>
      </c>
      <c r="H220" s="3">
        <v>22480</v>
      </c>
      <c r="I220" s="3">
        <v>17900</v>
      </c>
      <c r="J220" s="3">
        <v>14670</v>
      </c>
      <c r="K220" s="3">
        <v>215900</v>
      </c>
    </row>
    <row r="221" spans="1:11">
      <c r="A221" s="3">
        <v>644000</v>
      </c>
      <c r="B221" s="3">
        <v>647000</v>
      </c>
      <c r="C221" s="3">
        <v>55370</v>
      </c>
      <c r="D221" s="3">
        <v>48910</v>
      </c>
      <c r="E221" s="3">
        <v>42430</v>
      </c>
      <c r="F221" s="3">
        <v>35970</v>
      </c>
      <c r="G221" s="3">
        <v>29510</v>
      </c>
      <c r="H221" s="3">
        <v>23030</v>
      </c>
      <c r="I221" s="3">
        <v>18170</v>
      </c>
      <c r="J221" s="3">
        <v>14950</v>
      </c>
      <c r="K221" s="3">
        <v>217000</v>
      </c>
    </row>
    <row r="222" spans="1:11">
      <c r="A222" s="3">
        <v>647000</v>
      </c>
      <c r="B222" s="3">
        <v>650000</v>
      </c>
      <c r="C222" s="3">
        <v>55920</v>
      </c>
      <c r="D222" s="3">
        <v>49460</v>
      </c>
      <c r="E222" s="3">
        <v>42980</v>
      </c>
      <c r="F222" s="3">
        <v>36520</v>
      </c>
      <c r="G222" s="3">
        <v>30060</v>
      </c>
      <c r="H222" s="3">
        <v>23590</v>
      </c>
      <c r="I222" s="3">
        <v>18450</v>
      </c>
      <c r="J222" s="3">
        <v>15220</v>
      </c>
      <c r="K222" s="3">
        <v>218000</v>
      </c>
    </row>
    <row r="223" spans="1:11">
      <c r="A223" s="3">
        <v>650000</v>
      </c>
      <c r="B223" s="3">
        <v>653000</v>
      </c>
      <c r="C223" s="3">
        <v>56470</v>
      </c>
      <c r="D223" s="3">
        <v>50010</v>
      </c>
      <c r="E223" s="3">
        <v>43540</v>
      </c>
      <c r="F223" s="3">
        <v>37070</v>
      </c>
      <c r="G223" s="3">
        <v>30610</v>
      </c>
      <c r="H223" s="3">
        <v>24140</v>
      </c>
      <c r="I223" s="3">
        <v>18730</v>
      </c>
      <c r="J223" s="3">
        <v>15500</v>
      </c>
      <c r="K223" s="3">
        <v>219000</v>
      </c>
    </row>
    <row r="224" spans="1:11">
      <c r="A224" s="3">
        <v>653000</v>
      </c>
      <c r="B224" s="3">
        <v>656000</v>
      </c>
      <c r="C224" s="3">
        <v>57020</v>
      </c>
      <c r="D224" s="3">
        <v>50560</v>
      </c>
      <c r="E224" s="3">
        <v>44090</v>
      </c>
      <c r="F224" s="3">
        <v>37620</v>
      </c>
      <c r="G224" s="3">
        <v>31160</v>
      </c>
      <c r="H224" s="3">
        <v>24690</v>
      </c>
      <c r="I224" s="3">
        <v>19000</v>
      </c>
      <c r="J224" s="3">
        <v>15770</v>
      </c>
      <c r="K224" s="3">
        <v>220000</v>
      </c>
    </row>
    <row r="225" spans="1:11">
      <c r="A225" s="3">
        <v>656000</v>
      </c>
      <c r="B225" s="3">
        <v>659000</v>
      </c>
      <c r="C225" s="3">
        <v>57570</v>
      </c>
      <c r="D225" s="3">
        <v>51110</v>
      </c>
      <c r="E225" s="3">
        <v>44640</v>
      </c>
      <c r="F225" s="3">
        <v>38180</v>
      </c>
      <c r="G225" s="3">
        <v>31710</v>
      </c>
      <c r="H225" s="3">
        <v>25240</v>
      </c>
      <c r="I225" s="3">
        <v>19280</v>
      </c>
      <c r="J225" s="3">
        <v>16050</v>
      </c>
      <c r="K225" s="3">
        <v>221000</v>
      </c>
    </row>
    <row r="226" spans="1:11">
      <c r="A226" s="3">
        <v>659000</v>
      </c>
      <c r="B226" s="3">
        <v>662000</v>
      </c>
      <c r="C226" s="3">
        <v>58130</v>
      </c>
      <c r="D226" s="3">
        <v>51660</v>
      </c>
      <c r="E226" s="3">
        <v>45190</v>
      </c>
      <c r="F226" s="3">
        <v>38730</v>
      </c>
      <c r="G226" s="3">
        <v>32260</v>
      </c>
      <c r="H226" s="3">
        <v>25790</v>
      </c>
      <c r="I226" s="3">
        <v>19550</v>
      </c>
      <c r="J226" s="3">
        <v>16330</v>
      </c>
      <c r="K226" s="3">
        <v>222100</v>
      </c>
    </row>
    <row r="227" spans="1:11">
      <c r="A227" s="3">
        <v>662000</v>
      </c>
      <c r="B227" s="3">
        <v>665000</v>
      </c>
      <c r="C227" s="3">
        <v>58680</v>
      </c>
      <c r="D227" s="3">
        <v>52210</v>
      </c>
      <c r="E227" s="3">
        <v>45740</v>
      </c>
      <c r="F227" s="3">
        <v>39280</v>
      </c>
      <c r="G227" s="3">
        <v>32810</v>
      </c>
      <c r="H227" s="3">
        <v>26340</v>
      </c>
      <c r="I227" s="3">
        <v>19880</v>
      </c>
      <c r="J227" s="3">
        <v>16600</v>
      </c>
      <c r="K227" s="3">
        <v>223100</v>
      </c>
    </row>
    <row r="228" spans="1:11">
      <c r="A228" s="3">
        <v>665000</v>
      </c>
      <c r="B228" s="3">
        <v>668000</v>
      </c>
      <c r="C228" s="3">
        <v>59230</v>
      </c>
      <c r="D228" s="3">
        <v>52770</v>
      </c>
      <c r="E228" s="3">
        <v>46290</v>
      </c>
      <c r="F228" s="3">
        <v>39830</v>
      </c>
      <c r="G228" s="3">
        <v>33370</v>
      </c>
      <c r="H228" s="3">
        <v>26890</v>
      </c>
      <c r="I228" s="3">
        <v>20430</v>
      </c>
      <c r="J228" s="3">
        <v>16880</v>
      </c>
      <c r="K228" s="3">
        <v>224100</v>
      </c>
    </row>
    <row r="229" spans="1:11">
      <c r="A229" s="3">
        <v>668000</v>
      </c>
      <c r="B229" s="3">
        <v>671000</v>
      </c>
      <c r="C229" s="3">
        <v>59780</v>
      </c>
      <c r="D229" s="3">
        <v>53320</v>
      </c>
      <c r="E229" s="3">
        <v>46840</v>
      </c>
      <c r="F229" s="3">
        <v>40380</v>
      </c>
      <c r="G229" s="3">
        <v>33920</v>
      </c>
      <c r="H229" s="3">
        <v>27440</v>
      </c>
      <c r="I229" s="3">
        <v>20980</v>
      </c>
      <c r="J229" s="3">
        <v>17150</v>
      </c>
      <c r="K229" s="3">
        <v>225000</v>
      </c>
    </row>
    <row r="230" spans="1:11">
      <c r="A230" s="3">
        <v>671000</v>
      </c>
      <c r="B230" s="3">
        <v>674000</v>
      </c>
      <c r="C230" s="3">
        <v>60330</v>
      </c>
      <c r="D230" s="3">
        <v>53870</v>
      </c>
      <c r="E230" s="3">
        <v>47390</v>
      </c>
      <c r="F230" s="3">
        <v>40930</v>
      </c>
      <c r="G230" s="3">
        <v>34470</v>
      </c>
      <c r="H230" s="3">
        <v>28000</v>
      </c>
      <c r="I230" s="3">
        <v>21530</v>
      </c>
      <c r="J230" s="3">
        <v>17430</v>
      </c>
      <c r="K230" s="3">
        <v>226000</v>
      </c>
    </row>
    <row r="231" spans="1:11">
      <c r="A231" s="3">
        <v>674000</v>
      </c>
      <c r="B231" s="3">
        <v>677000</v>
      </c>
      <c r="C231" s="3">
        <v>60880</v>
      </c>
      <c r="D231" s="3">
        <v>54420</v>
      </c>
      <c r="E231" s="3">
        <v>47950</v>
      </c>
      <c r="F231" s="3">
        <v>41480</v>
      </c>
      <c r="G231" s="3">
        <v>35020</v>
      </c>
      <c r="H231" s="3">
        <v>28550</v>
      </c>
      <c r="I231" s="3">
        <v>22080</v>
      </c>
      <c r="J231" s="3">
        <v>17700</v>
      </c>
      <c r="K231" s="3">
        <v>227100</v>
      </c>
    </row>
    <row r="232" spans="1:11">
      <c r="A232" s="3">
        <v>677000</v>
      </c>
      <c r="B232" s="3">
        <v>680000</v>
      </c>
      <c r="C232" s="3">
        <v>61430</v>
      </c>
      <c r="D232" s="3">
        <v>54970</v>
      </c>
      <c r="E232" s="3">
        <v>48500</v>
      </c>
      <c r="F232" s="3">
        <v>42030</v>
      </c>
      <c r="G232" s="3">
        <v>35570</v>
      </c>
      <c r="H232" s="3">
        <v>29100</v>
      </c>
      <c r="I232" s="3">
        <v>22640</v>
      </c>
      <c r="J232" s="3">
        <v>17980</v>
      </c>
      <c r="K232" s="3">
        <v>228100</v>
      </c>
    </row>
    <row r="233" spans="1:11">
      <c r="A233" s="3">
        <v>680000</v>
      </c>
      <c r="B233" s="3">
        <v>683000</v>
      </c>
      <c r="C233" s="3">
        <v>61980</v>
      </c>
      <c r="D233" s="3">
        <v>55520</v>
      </c>
      <c r="E233" s="3">
        <v>49050</v>
      </c>
      <c r="F233" s="3">
        <v>42590</v>
      </c>
      <c r="G233" s="3">
        <v>36120</v>
      </c>
      <c r="H233" s="3">
        <v>29650</v>
      </c>
      <c r="I233" s="3">
        <v>23190</v>
      </c>
      <c r="J233" s="3">
        <v>18260</v>
      </c>
      <c r="K233" s="3">
        <v>229100</v>
      </c>
    </row>
    <row r="234" spans="1:11">
      <c r="A234" s="3">
        <v>683000</v>
      </c>
      <c r="B234" s="3">
        <v>686000</v>
      </c>
      <c r="C234" s="3">
        <v>62540</v>
      </c>
      <c r="D234" s="3">
        <v>56070</v>
      </c>
      <c r="E234" s="3">
        <v>49600</v>
      </c>
      <c r="F234" s="3">
        <v>43140</v>
      </c>
      <c r="G234" s="3">
        <v>36670</v>
      </c>
      <c r="H234" s="3">
        <v>30200</v>
      </c>
      <c r="I234" s="3">
        <v>23740</v>
      </c>
      <c r="J234" s="3">
        <v>18530</v>
      </c>
      <c r="K234" s="3">
        <v>230400</v>
      </c>
    </row>
    <row r="235" spans="1:11">
      <c r="A235" s="3">
        <v>686000</v>
      </c>
      <c r="B235" s="3">
        <v>689000</v>
      </c>
      <c r="C235" s="3">
        <v>63090</v>
      </c>
      <c r="D235" s="3">
        <v>56620</v>
      </c>
      <c r="E235" s="3">
        <v>50150</v>
      </c>
      <c r="F235" s="3">
        <v>43690</v>
      </c>
      <c r="G235" s="3">
        <v>37230</v>
      </c>
      <c r="H235" s="3">
        <v>30750</v>
      </c>
      <c r="I235" s="3">
        <v>24290</v>
      </c>
      <c r="J235" s="3">
        <v>18810</v>
      </c>
      <c r="K235" s="3">
        <v>232100</v>
      </c>
    </row>
    <row r="236" spans="1:11">
      <c r="A236" s="3">
        <v>689000</v>
      </c>
      <c r="B236" s="3">
        <v>692000</v>
      </c>
      <c r="C236" s="3">
        <v>63640</v>
      </c>
      <c r="D236" s="3">
        <v>57180</v>
      </c>
      <c r="E236" s="3">
        <v>50700</v>
      </c>
      <c r="F236" s="3">
        <v>44240</v>
      </c>
      <c r="G236" s="3">
        <v>37780</v>
      </c>
      <c r="H236" s="3">
        <v>31300</v>
      </c>
      <c r="I236" s="3">
        <v>24840</v>
      </c>
      <c r="J236" s="3">
        <v>19080</v>
      </c>
      <c r="K236" s="3">
        <v>233600</v>
      </c>
    </row>
    <row r="237" spans="1:11">
      <c r="A237" s="3">
        <v>692000</v>
      </c>
      <c r="B237" s="3">
        <v>695000</v>
      </c>
      <c r="C237" s="3">
        <v>64190</v>
      </c>
      <c r="D237" s="3">
        <v>57730</v>
      </c>
      <c r="E237" s="3">
        <v>51250</v>
      </c>
      <c r="F237" s="3">
        <v>44790</v>
      </c>
      <c r="G237" s="3">
        <v>38330</v>
      </c>
      <c r="H237" s="3">
        <v>31860</v>
      </c>
      <c r="I237" s="3">
        <v>25390</v>
      </c>
      <c r="J237" s="3">
        <v>19360</v>
      </c>
      <c r="K237" s="3">
        <v>235100</v>
      </c>
    </row>
    <row r="238" spans="1:11">
      <c r="A238" s="3">
        <v>695000</v>
      </c>
      <c r="B238" s="3">
        <v>698000</v>
      </c>
      <c r="C238" s="3">
        <v>64740</v>
      </c>
      <c r="D238" s="3">
        <v>58280</v>
      </c>
      <c r="E238" s="3">
        <v>51810</v>
      </c>
      <c r="F238" s="3">
        <v>45340</v>
      </c>
      <c r="G238" s="3">
        <v>38880</v>
      </c>
      <c r="H238" s="3">
        <v>32410</v>
      </c>
      <c r="I238" s="3">
        <v>25940</v>
      </c>
      <c r="J238" s="3">
        <v>19630</v>
      </c>
      <c r="K238" s="3">
        <v>236700</v>
      </c>
    </row>
    <row r="239" spans="1:11">
      <c r="A239" s="3">
        <v>698000</v>
      </c>
      <c r="B239" s="3">
        <v>701000</v>
      </c>
      <c r="C239" s="3">
        <v>65290</v>
      </c>
      <c r="D239" s="3">
        <v>58830</v>
      </c>
      <c r="E239" s="3">
        <v>52360</v>
      </c>
      <c r="F239" s="3">
        <v>45890</v>
      </c>
      <c r="G239" s="3">
        <v>39430</v>
      </c>
      <c r="H239" s="3">
        <v>32960</v>
      </c>
      <c r="I239" s="3">
        <v>26490</v>
      </c>
      <c r="J239" s="3">
        <v>20030</v>
      </c>
      <c r="K239" s="3">
        <v>238200</v>
      </c>
    </row>
    <row r="240" spans="1:11">
      <c r="A240" s="3">
        <v>701000</v>
      </c>
      <c r="B240" s="3">
        <v>704000</v>
      </c>
      <c r="C240" s="3">
        <v>65840</v>
      </c>
      <c r="D240" s="3">
        <v>59380</v>
      </c>
      <c r="E240" s="3">
        <v>52910</v>
      </c>
      <c r="F240" s="3">
        <v>46450</v>
      </c>
      <c r="G240" s="3">
        <v>39980</v>
      </c>
      <c r="H240" s="3">
        <v>33510</v>
      </c>
      <c r="I240" s="3">
        <v>27050</v>
      </c>
      <c r="J240" s="3">
        <v>20580</v>
      </c>
      <c r="K240" s="3">
        <v>239700</v>
      </c>
    </row>
    <row r="241" spans="1:11">
      <c r="A241" s="3">
        <v>704000</v>
      </c>
      <c r="B241" s="3">
        <v>707000</v>
      </c>
      <c r="C241" s="3">
        <v>66400</v>
      </c>
      <c r="D241" s="3">
        <v>59930</v>
      </c>
      <c r="E241" s="3">
        <v>53460</v>
      </c>
      <c r="F241" s="3">
        <v>47000</v>
      </c>
      <c r="G241" s="3">
        <v>40530</v>
      </c>
      <c r="H241" s="3">
        <v>34060</v>
      </c>
      <c r="I241" s="3">
        <v>27600</v>
      </c>
      <c r="J241" s="3">
        <v>21130</v>
      </c>
      <c r="K241" s="3">
        <v>241300</v>
      </c>
    </row>
    <row r="242" spans="1:11">
      <c r="A242" s="3">
        <v>707000</v>
      </c>
      <c r="B242" s="3">
        <v>710000</v>
      </c>
      <c r="C242" s="3">
        <v>66960</v>
      </c>
      <c r="D242" s="3">
        <v>60480</v>
      </c>
      <c r="E242" s="3">
        <v>54020</v>
      </c>
      <c r="F242" s="3">
        <v>47550</v>
      </c>
      <c r="G242" s="3">
        <v>41090</v>
      </c>
      <c r="H242" s="3">
        <v>34620</v>
      </c>
      <c r="I242" s="3">
        <v>28150</v>
      </c>
      <c r="J242" s="3">
        <v>21690</v>
      </c>
      <c r="K242" s="3">
        <v>242900</v>
      </c>
    </row>
    <row r="243" spans="1:11">
      <c r="A243" s="3">
        <v>710000</v>
      </c>
      <c r="B243" s="3">
        <v>713000</v>
      </c>
      <c r="C243" s="3">
        <v>67570</v>
      </c>
      <c r="D243" s="3">
        <v>61100</v>
      </c>
      <c r="E243" s="3">
        <v>54630</v>
      </c>
      <c r="F243" s="3">
        <v>48160</v>
      </c>
      <c r="G243" s="3">
        <v>41700</v>
      </c>
      <c r="H243" s="3">
        <v>35230</v>
      </c>
      <c r="I243" s="3">
        <v>28760</v>
      </c>
      <c r="J243" s="3">
        <v>22300</v>
      </c>
      <c r="K243" s="3">
        <v>244400</v>
      </c>
    </row>
    <row r="244" spans="1:11">
      <c r="A244" s="3">
        <v>713000</v>
      </c>
      <c r="B244" s="3">
        <v>716000</v>
      </c>
      <c r="C244" s="3">
        <v>68180</v>
      </c>
      <c r="D244" s="3">
        <v>61710</v>
      </c>
      <c r="E244" s="3">
        <v>55250</v>
      </c>
      <c r="F244" s="3">
        <v>48770</v>
      </c>
      <c r="G244" s="3">
        <v>42310</v>
      </c>
      <c r="H244" s="3">
        <v>35850</v>
      </c>
      <c r="I244" s="3">
        <v>29370</v>
      </c>
      <c r="J244" s="3">
        <v>22910</v>
      </c>
      <c r="K244" s="3">
        <v>246000</v>
      </c>
    </row>
    <row r="245" spans="1:11">
      <c r="A245" s="3">
        <v>716000</v>
      </c>
      <c r="B245" s="3">
        <v>719000</v>
      </c>
      <c r="C245" s="3">
        <v>68790</v>
      </c>
      <c r="D245" s="3">
        <v>62320</v>
      </c>
      <c r="E245" s="3">
        <v>55860</v>
      </c>
      <c r="F245" s="3">
        <v>49390</v>
      </c>
      <c r="G245" s="3">
        <v>42920</v>
      </c>
      <c r="H245" s="3">
        <v>36460</v>
      </c>
      <c r="I245" s="3">
        <v>29990</v>
      </c>
      <c r="J245" s="3">
        <v>23520</v>
      </c>
      <c r="K245" s="3">
        <v>247500</v>
      </c>
    </row>
    <row r="246" spans="1:11">
      <c r="A246" s="3">
        <v>719000</v>
      </c>
      <c r="B246" s="3">
        <v>722000</v>
      </c>
      <c r="C246" s="3">
        <v>69410</v>
      </c>
      <c r="D246" s="3">
        <v>62930</v>
      </c>
      <c r="E246" s="3">
        <v>56470</v>
      </c>
      <c r="F246" s="3">
        <v>50000</v>
      </c>
      <c r="G246" s="3">
        <v>43540</v>
      </c>
      <c r="H246" s="3">
        <v>37070</v>
      </c>
      <c r="I246" s="3">
        <v>30600</v>
      </c>
      <c r="J246" s="3">
        <v>24140</v>
      </c>
      <c r="K246" s="3">
        <v>249000</v>
      </c>
    </row>
    <row r="247" spans="1:11">
      <c r="A247" s="3">
        <v>722000</v>
      </c>
      <c r="B247" s="3">
        <v>725000</v>
      </c>
      <c r="C247" s="3">
        <v>70020</v>
      </c>
      <c r="D247" s="3">
        <v>63550</v>
      </c>
      <c r="E247" s="3">
        <v>57080</v>
      </c>
      <c r="F247" s="3">
        <v>50610</v>
      </c>
      <c r="G247" s="3">
        <v>44150</v>
      </c>
      <c r="H247" s="3">
        <v>37690</v>
      </c>
      <c r="I247" s="3">
        <v>31210</v>
      </c>
      <c r="J247" s="3">
        <v>24750</v>
      </c>
      <c r="K247" s="3">
        <v>250600</v>
      </c>
    </row>
    <row r="248" spans="1:11">
      <c r="A248" s="3">
        <v>725000</v>
      </c>
      <c r="B248" s="3">
        <v>728000</v>
      </c>
      <c r="C248" s="3">
        <v>70630</v>
      </c>
      <c r="D248" s="3">
        <v>64160</v>
      </c>
      <c r="E248" s="3">
        <v>57700</v>
      </c>
      <c r="F248" s="3">
        <v>51220</v>
      </c>
      <c r="G248" s="3">
        <v>44760</v>
      </c>
      <c r="H248" s="3">
        <v>38300</v>
      </c>
      <c r="I248" s="3">
        <v>31820</v>
      </c>
      <c r="J248" s="3">
        <v>25360</v>
      </c>
      <c r="K248" s="3">
        <v>252200</v>
      </c>
    </row>
    <row r="249" spans="1:11">
      <c r="A249" s="3">
        <v>728000</v>
      </c>
      <c r="B249" s="3">
        <v>731000</v>
      </c>
      <c r="C249" s="3">
        <v>71250</v>
      </c>
      <c r="D249" s="3">
        <v>64770</v>
      </c>
      <c r="E249" s="3">
        <v>58310</v>
      </c>
      <c r="F249" s="3">
        <v>51840</v>
      </c>
      <c r="G249" s="3">
        <v>45370</v>
      </c>
      <c r="H249" s="3">
        <v>38910</v>
      </c>
      <c r="I249" s="3">
        <v>32440</v>
      </c>
      <c r="J249" s="3">
        <v>25970</v>
      </c>
      <c r="K249" s="3">
        <v>253700</v>
      </c>
    </row>
    <row r="250" spans="1:11">
      <c r="A250" s="3">
        <v>731000</v>
      </c>
      <c r="B250" s="3">
        <v>734000</v>
      </c>
      <c r="C250" s="3">
        <v>71860</v>
      </c>
      <c r="D250" s="3">
        <v>65380</v>
      </c>
      <c r="E250" s="3">
        <v>58920</v>
      </c>
      <c r="F250" s="3">
        <v>52450</v>
      </c>
      <c r="G250" s="3">
        <v>45990</v>
      </c>
      <c r="H250" s="3">
        <v>39520</v>
      </c>
      <c r="I250" s="3">
        <v>33050</v>
      </c>
      <c r="J250" s="3">
        <v>26590</v>
      </c>
      <c r="K250" s="3">
        <v>255300</v>
      </c>
    </row>
    <row r="251" spans="1:11">
      <c r="A251" s="3">
        <v>734000</v>
      </c>
      <c r="B251" s="3">
        <v>737000</v>
      </c>
      <c r="C251" s="3">
        <v>72470</v>
      </c>
      <c r="D251" s="3">
        <v>66000</v>
      </c>
      <c r="E251" s="3">
        <v>59530</v>
      </c>
      <c r="F251" s="3">
        <v>53060</v>
      </c>
      <c r="G251" s="3">
        <v>46600</v>
      </c>
      <c r="H251" s="3">
        <v>40140</v>
      </c>
      <c r="I251" s="3">
        <v>33660</v>
      </c>
      <c r="J251" s="3">
        <v>27200</v>
      </c>
      <c r="K251" s="3">
        <v>256800</v>
      </c>
    </row>
    <row r="252" spans="1:11">
      <c r="A252" s="3">
        <v>737000</v>
      </c>
      <c r="B252" s="3">
        <v>740000</v>
      </c>
      <c r="C252" s="3">
        <v>73080</v>
      </c>
      <c r="D252" s="3">
        <v>66610</v>
      </c>
      <c r="E252" s="3">
        <v>60150</v>
      </c>
      <c r="F252" s="3">
        <v>53670</v>
      </c>
      <c r="G252" s="3">
        <v>47210</v>
      </c>
      <c r="H252" s="3">
        <v>40750</v>
      </c>
      <c r="I252" s="3">
        <v>34270</v>
      </c>
      <c r="J252" s="3">
        <v>27810</v>
      </c>
      <c r="K252" s="3">
        <v>258300</v>
      </c>
    </row>
    <row r="253" spans="1:11">
      <c r="A253" s="3">
        <v>740001</v>
      </c>
      <c r="B253" s="3">
        <v>780000</v>
      </c>
      <c r="C253" s="3">
        <v>73390</v>
      </c>
      <c r="D253" s="3">
        <v>66920</v>
      </c>
      <c r="E253" s="3">
        <v>60450</v>
      </c>
      <c r="F253" s="3">
        <v>53980</v>
      </c>
      <c r="G253" s="3">
        <v>47520</v>
      </c>
      <c r="H253" s="3">
        <v>41050</v>
      </c>
      <c r="I253" s="3">
        <v>34580</v>
      </c>
      <c r="J253" s="3">
        <v>28120</v>
      </c>
      <c r="K253" s="3">
        <v>259800</v>
      </c>
    </row>
    <row r="254" spans="1:11">
      <c r="A254" s="3">
        <v>780001</v>
      </c>
      <c r="B254" s="3">
        <v>950000</v>
      </c>
      <c r="C254" s="3">
        <v>81560</v>
      </c>
      <c r="D254" s="3">
        <v>75090</v>
      </c>
      <c r="E254" s="3">
        <v>68620</v>
      </c>
      <c r="F254" s="3">
        <v>62150</v>
      </c>
      <c r="G254" s="3">
        <v>55690</v>
      </c>
      <c r="H254" s="3">
        <v>49220</v>
      </c>
      <c r="I254" s="3">
        <v>42750</v>
      </c>
      <c r="J254" s="3">
        <v>36290</v>
      </c>
      <c r="K254" s="3">
        <v>259800</v>
      </c>
    </row>
    <row r="255" spans="1:11">
      <c r="A255" s="3">
        <v>950001</v>
      </c>
      <c r="B255" s="3">
        <v>1700000</v>
      </c>
      <c r="C255" s="3">
        <v>121480</v>
      </c>
      <c r="D255" s="3">
        <v>115010</v>
      </c>
      <c r="E255" s="3">
        <v>108540</v>
      </c>
      <c r="F255" s="3">
        <v>102070</v>
      </c>
      <c r="G255" s="3">
        <v>95610</v>
      </c>
      <c r="H255" s="3">
        <v>89140</v>
      </c>
      <c r="I255" s="3">
        <v>82670</v>
      </c>
      <c r="J255" s="3">
        <v>76210</v>
      </c>
      <c r="K255" s="3">
        <v>259800</v>
      </c>
    </row>
    <row r="256" spans="1:11">
      <c r="A256" s="3">
        <v>1700001</v>
      </c>
      <c r="B256" s="3">
        <v>2170000</v>
      </c>
      <c r="C256" s="3">
        <v>374180</v>
      </c>
      <c r="D256" s="3">
        <v>367710</v>
      </c>
      <c r="E256" s="3">
        <v>361240</v>
      </c>
      <c r="F256" s="3">
        <v>354770</v>
      </c>
      <c r="G256" s="3">
        <v>348310</v>
      </c>
      <c r="H256" s="3">
        <v>341840</v>
      </c>
      <c r="I256" s="3">
        <v>335370</v>
      </c>
      <c r="J256" s="3">
        <v>328910</v>
      </c>
      <c r="K256" s="3">
        <v>651900</v>
      </c>
    </row>
    <row r="257" spans="1:11">
      <c r="A257" s="3">
        <v>2170001</v>
      </c>
      <c r="B257" s="3">
        <v>2210000</v>
      </c>
      <c r="C257" s="3">
        <v>571570</v>
      </c>
      <c r="D257" s="3">
        <v>565090</v>
      </c>
      <c r="E257" s="3">
        <v>558630</v>
      </c>
      <c r="F257" s="3">
        <v>552160</v>
      </c>
      <c r="G257" s="3">
        <v>545690</v>
      </c>
      <c r="H257" s="3">
        <v>539230</v>
      </c>
      <c r="I257" s="3">
        <v>532760</v>
      </c>
      <c r="J257" s="3">
        <v>526290</v>
      </c>
      <c r="K257" s="3">
        <v>651900</v>
      </c>
    </row>
    <row r="258" spans="1:11">
      <c r="A258" s="3">
        <v>2210001</v>
      </c>
      <c r="B258" s="3">
        <v>2250000</v>
      </c>
      <c r="C258" s="3">
        <v>593340</v>
      </c>
      <c r="D258" s="3">
        <v>586870</v>
      </c>
      <c r="E258" s="3">
        <v>580410</v>
      </c>
      <c r="F258" s="3">
        <v>573930</v>
      </c>
      <c r="G258" s="3">
        <v>567470</v>
      </c>
      <c r="H258" s="3">
        <v>561010</v>
      </c>
      <c r="I258" s="3">
        <v>554540</v>
      </c>
      <c r="J258" s="3">
        <v>548070</v>
      </c>
      <c r="K258" s="3">
        <v>651900</v>
      </c>
    </row>
    <row r="259" spans="1:11">
      <c r="A259" s="3">
        <v>2250001</v>
      </c>
      <c r="B259" s="3">
        <v>3500000</v>
      </c>
      <c r="C259" s="3">
        <v>615120</v>
      </c>
      <c r="D259" s="3">
        <v>608650</v>
      </c>
      <c r="E259" s="3">
        <v>602190</v>
      </c>
      <c r="F259" s="3">
        <v>595710</v>
      </c>
      <c r="G259" s="3">
        <v>589250</v>
      </c>
      <c r="H259" s="3">
        <v>582790</v>
      </c>
      <c r="I259" s="3">
        <v>576310</v>
      </c>
      <c r="J259" s="3">
        <v>569850</v>
      </c>
      <c r="K259" s="3">
        <v>651900</v>
      </c>
    </row>
    <row r="260" spans="1:11">
      <c r="A260" s="3">
        <v>3500001</v>
      </c>
      <c r="B260" s="3">
        <v>9999999</v>
      </c>
      <c r="C260" s="3">
        <v>1125620</v>
      </c>
      <c r="D260" s="3">
        <v>1119150</v>
      </c>
      <c r="E260" s="3">
        <v>1112690</v>
      </c>
      <c r="F260" s="3">
        <v>1106210</v>
      </c>
      <c r="G260" s="3">
        <v>1099750</v>
      </c>
      <c r="H260" s="3">
        <v>1093290</v>
      </c>
      <c r="I260" s="3">
        <v>1086810</v>
      </c>
      <c r="J260" s="3">
        <v>1080350</v>
      </c>
      <c r="K260" s="3">
        <v>651900</v>
      </c>
    </row>
  </sheetData>
  <mergeCells count="5">
    <mergeCell ref="A2:B4"/>
    <mergeCell ref="C2:J2"/>
    <mergeCell ref="K2:K4"/>
    <mergeCell ref="C3:J3"/>
    <mergeCell ref="C5:J5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03E17-10A9-4931-B513-FB9AF1CB8A7B}">
  <sheetPr codeName="Sheet4"/>
  <dimension ref="A1:J54"/>
  <sheetViews>
    <sheetView showGridLines="0" workbookViewId="0">
      <selection sqref="A1:B2"/>
    </sheetView>
  </sheetViews>
  <sheetFormatPr defaultColWidth="8.875" defaultRowHeight="14.25"/>
  <cols>
    <col min="2" max="4" width="9.125" bestFit="1" customWidth="1"/>
    <col min="5" max="5" width="9.625" customWidth="1"/>
    <col min="6" max="6" width="9.5" customWidth="1"/>
    <col min="7" max="7" width="10.125" customWidth="1"/>
    <col min="8" max="8" width="11.125" customWidth="1"/>
    <col min="9" max="9" width="18.625" customWidth="1"/>
    <col min="10" max="10" width="18.125" customWidth="1"/>
  </cols>
  <sheetData>
    <row r="1" spans="1:10">
      <c r="A1" s="66" t="s">
        <v>171</v>
      </c>
      <c r="B1" s="67"/>
      <c r="C1" s="65" t="s">
        <v>173</v>
      </c>
      <c r="D1" s="65"/>
      <c r="E1" s="63" t="s">
        <v>176</v>
      </c>
      <c r="F1" s="63"/>
      <c r="G1" s="63"/>
      <c r="H1" s="63"/>
      <c r="I1" s="63" t="s">
        <v>180</v>
      </c>
      <c r="J1" s="63"/>
    </row>
    <row r="2" spans="1:10">
      <c r="A2" s="68"/>
      <c r="B2" s="69"/>
      <c r="C2" s="65"/>
      <c r="D2" s="65"/>
      <c r="E2" s="63" t="s">
        <v>177</v>
      </c>
      <c r="F2" s="63"/>
      <c r="G2" s="63"/>
      <c r="H2" s="63"/>
      <c r="I2" s="63" t="s">
        <v>213</v>
      </c>
      <c r="J2" s="63"/>
    </row>
    <row r="3" spans="1:10">
      <c r="A3" s="65" t="s">
        <v>172</v>
      </c>
      <c r="B3" s="70" t="s">
        <v>212</v>
      </c>
      <c r="C3" s="65" t="s">
        <v>174</v>
      </c>
      <c r="D3" s="65" t="s">
        <v>175</v>
      </c>
      <c r="E3" s="64">
        <v>9.9000000000000005E-2</v>
      </c>
      <c r="F3" s="64"/>
      <c r="G3" s="64"/>
      <c r="H3" s="64"/>
      <c r="I3" s="64">
        <v>0.183</v>
      </c>
      <c r="J3" s="64"/>
    </row>
    <row r="4" spans="1:10">
      <c r="A4" s="65"/>
      <c r="B4" s="71"/>
      <c r="C4" s="65"/>
      <c r="D4" s="65"/>
      <c r="E4" s="30" t="s">
        <v>178</v>
      </c>
      <c r="F4" s="30" t="s">
        <v>179</v>
      </c>
      <c r="G4" s="30" t="s">
        <v>178</v>
      </c>
      <c r="H4" s="30" t="s">
        <v>179</v>
      </c>
      <c r="I4" s="30" t="s">
        <v>178</v>
      </c>
      <c r="J4" s="30" t="s">
        <v>179</v>
      </c>
    </row>
    <row r="5" spans="1:10">
      <c r="A5" s="32">
        <v>1</v>
      </c>
      <c r="B5" s="34">
        <v>58000</v>
      </c>
      <c r="C5" s="34">
        <v>0</v>
      </c>
      <c r="D5" s="34">
        <v>63000</v>
      </c>
      <c r="E5" s="35">
        <v>5742</v>
      </c>
      <c r="F5" s="35">
        <f>E5/2</f>
        <v>2871</v>
      </c>
      <c r="G5" s="35">
        <v>6745.4</v>
      </c>
      <c r="H5" s="35">
        <f>G5/2</f>
        <v>3372.7</v>
      </c>
      <c r="I5" s="36">
        <v>16104</v>
      </c>
      <c r="J5" s="35">
        <f>I5/2</f>
        <v>8052</v>
      </c>
    </row>
    <row r="6" spans="1:10">
      <c r="A6" s="32">
        <v>2</v>
      </c>
      <c r="B6" s="34">
        <v>68000</v>
      </c>
      <c r="C6" s="37">
        <f t="shared" ref="C6:C53" si="0">D5</f>
        <v>63000</v>
      </c>
      <c r="D6" s="34">
        <v>73000</v>
      </c>
      <c r="E6" s="35">
        <v>6732</v>
      </c>
      <c r="F6" s="35">
        <f t="shared" ref="F6:F54" si="1">E6/2</f>
        <v>3366</v>
      </c>
      <c r="G6" s="35">
        <v>7908.4</v>
      </c>
      <c r="H6" s="35">
        <f t="shared" ref="H6:H54" si="2">G6/2</f>
        <v>3954.2</v>
      </c>
      <c r="I6" s="36">
        <v>16104</v>
      </c>
      <c r="J6" s="35">
        <f t="shared" ref="J6:J38" si="3">I6/2</f>
        <v>8052</v>
      </c>
    </row>
    <row r="7" spans="1:10">
      <c r="A7" s="32">
        <v>3</v>
      </c>
      <c r="B7" s="34">
        <v>78000</v>
      </c>
      <c r="C7" s="37">
        <f t="shared" si="0"/>
        <v>73000</v>
      </c>
      <c r="D7" s="34">
        <v>83000</v>
      </c>
      <c r="E7" s="35">
        <v>7722</v>
      </c>
      <c r="F7" s="35">
        <f t="shared" si="1"/>
        <v>3861</v>
      </c>
      <c r="G7" s="35">
        <v>9071.4</v>
      </c>
      <c r="H7" s="35">
        <f t="shared" si="2"/>
        <v>4535.7</v>
      </c>
      <c r="I7" s="36">
        <v>16104</v>
      </c>
      <c r="J7" s="35">
        <f t="shared" si="3"/>
        <v>8052</v>
      </c>
    </row>
    <row r="8" spans="1:10">
      <c r="A8" s="32" t="s">
        <v>181</v>
      </c>
      <c r="B8" s="34">
        <v>88000</v>
      </c>
      <c r="C8" s="37">
        <f t="shared" si="0"/>
        <v>83000</v>
      </c>
      <c r="D8" s="34">
        <v>93000</v>
      </c>
      <c r="E8" s="35">
        <v>8712</v>
      </c>
      <c r="F8" s="35">
        <f t="shared" si="1"/>
        <v>4356</v>
      </c>
      <c r="G8" s="35">
        <v>10234.4</v>
      </c>
      <c r="H8" s="35">
        <f t="shared" si="2"/>
        <v>5117.2</v>
      </c>
      <c r="I8" s="36">
        <v>16104</v>
      </c>
      <c r="J8" s="35">
        <f t="shared" si="3"/>
        <v>8052</v>
      </c>
    </row>
    <row r="9" spans="1:10">
      <c r="A9" s="32" t="s">
        <v>182</v>
      </c>
      <c r="B9" s="34">
        <v>98000</v>
      </c>
      <c r="C9" s="37">
        <f t="shared" si="0"/>
        <v>93000</v>
      </c>
      <c r="D9" s="34">
        <v>101000</v>
      </c>
      <c r="E9" s="35">
        <v>9702</v>
      </c>
      <c r="F9" s="35">
        <f t="shared" si="1"/>
        <v>4851</v>
      </c>
      <c r="G9" s="35">
        <v>11397.4</v>
      </c>
      <c r="H9" s="35">
        <f t="shared" si="2"/>
        <v>5698.7</v>
      </c>
      <c r="I9" s="36">
        <v>17934</v>
      </c>
      <c r="J9" s="35">
        <f t="shared" si="3"/>
        <v>8967</v>
      </c>
    </row>
    <row r="10" spans="1:10">
      <c r="A10" s="32" t="s">
        <v>183</v>
      </c>
      <c r="B10" s="34">
        <v>104000</v>
      </c>
      <c r="C10" s="37">
        <f t="shared" si="0"/>
        <v>101000</v>
      </c>
      <c r="D10" s="34">
        <v>107000</v>
      </c>
      <c r="E10" s="35">
        <v>10296</v>
      </c>
      <c r="F10" s="35">
        <f t="shared" si="1"/>
        <v>5148</v>
      </c>
      <c r="G10" s="35">
        <v>12095.2</v>
      </c>
      <c r="H10" s="35">
        <f t="shared" si="2"/>
        <v>6047.6</v>
      </c>
      <c r="I10" s="36">
        <v>9032</v>
      </c>
      <c r="J10" s="35">
        <f t="shared" si="3"/>
        <v>4516</v>
      </c>
    </row>
    <row r="11" spans="1:10">
      <c r="A11" s="32" t="s">
        <v>184</v>
      </c>
      <c r="B11" s="34">
        <v>110000</v>
      </c>
      <c r="C11" s="42">
        <f t="shared" si="0"/>
        <v>107000</v>
      </c>
      <c r="D11" s="43">
        <v>114000</v>
      </c>
      <c r="E11" s="44">
        <v>10890</v>
      </c>
      <c r="F11" s="35">
        <f t="shared" si="1"/>
        <v>5445</v>
      </c>
      <c r="G11" s="35">
        <v>12793</v>
      </c>
      <c r="H11" s="35">
        <f t="shared" si="2"/>
        <v>6396.5</v>
      </c>
      <c r="I11" s="36">
        <v>20130</v>
      </c>
      <c r="J11" s="35">
        <f t="shared" si="3"/>
        <v>10065</v>
      </c>
    </row>
    <row r="12" spans="1:10">
      <c r="A12" s="32" t="s">
        <v>185</v>
      </c>
      <c r="B12" s="34">
        <v>118000</v>
      </c>
      <c r="C12" s="37">
        <f t="shared" si="0"/>
        <v>114000</v>
      </c>
      <c r="D12" s="34">
        <v>122000</v>
      </c>
      <c r="E12" s="35">
        <v>11682</v>
      </c>
      <c r="F12" s="35">
        <f t="shared" si="1"/>
        <v>5841</v>
      </c>
      <c r="G12" s="35">
        <v>13723.4</v>
      </c>
      <c r="H12" s="35">
        <f t="shared" si="2"/>
        <v>6861.7</v>
      </c>
      <c r="I12" s="36">
        <v>21594</v>
      </c>
      <c r="J12" s="35">
        <f t="shared" si="3"/>
        <v>10797</v>
      </c>
    </row>
    <row r="13" spans="1:10">
      <c r="A13" s="32" t="s">
        <v>186</v>
      </c>
      <c r="B13" s="34">
        <v>126000</v>
      </c>
      <c r="C13" s="37">
        <f t="shared" si="0"/>
        <v>122000</v>
      </c>
      <c r="D13" s="34">
        <v>130000</v>
      </c>
      <c r="E13" s="35">
        <v>12474</v>
      </c>
      <c r="F13" s="35">
        <f t="shared" si="1"/>
        <v>6237</v>
      </c>
      <c r="G13" s="35">
        <v>14653.8</v>
      </c>
      <c r="H13" s="35">
        <f t="shared" si="2"/>
        <v>7326.9</v>
      </c>
      <c r="I13" s="36">
        <v>23058</v>
      </c>
      <c r="J13" s="35">
        <f t="shared" si="3"/>
        <v>11529</v>
      </c>
    </row>
    <row r="14" spans="1:10">
      <c r="A14" s="32" t="s">
        <v>187</v>
      </c>
      <c r="B14" s="34">
        <v>134000</v>
      </c>
      <c r="C14" s="37">
        <f t="shared" si="0"/>
        <v>130000</v>
      </c>
      <c r="D14" s="34">
        <v>138000</v>
      </c>
      <c r="E14" s="35">
        <v>13266</v>
      </c>
      <c r="F14" s="35">
        <f t="shared" si="1"/>
        <v>6633</v>
      </c>
      <c r="G14" s="35">
        <v>15584.2</v>
      </c>
      <c r="H14" s="35">
        <f t="shared" si="2"/>
        <v>7792.1</v>
      </c>
      <c r="I14" s="36">
        <v>24522</v>
      </c>
      <c r="J14" s="35">
        <f t="shared" si="3"/>
        <v>12261</v>
      </c>
    </row>
    <row r="15" spans="1:10">
      <c r="A15" s="32" t="s">
        <v>188</v>
      </c>
      <c r="B15" s="34">
        <v>142000</v>
      </c>
      <c r="C15" s="37">
        <f t="shared" si="0"/>
        <v>138000</v>
      </c>
      <c r="D15" s="34">
        <v>146000</v>
      </c>
      <c r="E15" s="35">
        <v>14058</v>
      </c>
      <c r="F15" s="35">
        <f t="shared" si="1"/>
        <v>7029</v>
      </c>
      <c r="G15" s="35">
        <v>16514.599999999999</v>
      </c>
      <c r="H15" s="35">
        <f t="shared" si="2"/>
        <v>8257.2999999999993</v>
      </c>
      <c r="I15" s="36">
        <v>25986</v>
      </c>
      <c r="J15" s="35">
        <f t="shared" si="3"/>
        <v>12993</v>
      </c>
    </row>
    <row r="16" spans="1:10">
      <c r="A16" s="32" t="s">
        <v>189</v>
      </c>
      <c r="B16" s="34">
        <v>150000</v>
      </c>
      <c r="C16" s="37">
        <f t="shared" si="0"/>
        <v>146000</v>
      </c>
      <c r="D16" s="34">
        <v>155000</v>
      </c>
      <c r="E16" s="35">
        <v>14850</v>
      </c>
      <c r="F16" s="35">
        <f t="shared" si="1"/>
        <v>7425</v>
      </c>
      <c r="G16" s="35">
        <v>17445</v>
      </c>
      <c r="H16" s="35">
        <f t="shared" si="2"/>
        <v>8722.5</v>
      </c>
      <c r="I16" s="36">
        <v>27450</v>
      </c>
      <c r="J16" s="35">
        <f t="shared" si="3"/>
        <v>13725</v>
      </c>
    </row>
    <row r="17" spans="1:10">
      <c r="A17" s="32" t="s">
        <v>190</v>
      </c>
      <c r="B17" s="34">
        <v>160000</v>
      </c>
      <c r="C17" s="37">
        <f t="shared" si="0"/>
        <v>155000</v>
      </c>
      <c r="D17" s="34">
        <v>165000</v>
      </c>
      <c r="E17" s="35">
        <v>15840</v>
      </c>
      <c r="F17" s="35">
        <f t="shared" si="1"/>
        <v>7920</v>
      </c>
      <c r="G17" s="35">
        <v>18608</v>
      </c>
      <c r="H17" s="35">
        <f t="shared" si="2"/>
        <v>9304</v>
      </c>
      <c r="I17" s="36">
        <v>29280</v>
      </c>
      <c r="J17" s="35">
        <f t="shared" si="3"/>
        <v>14640</v>
      </c>
    </row>
    <row r="18" spans="1:10">
      <c r="A18" s="32" t="s">
        <v>191</v>
      </c>
      <c r="B18" s="34">
        <v>170000</v>
      </c>
      <c r="C18" s="37">
        <f t="shared" si="0"/>
        <v>165000</v>
      </c>
      <c r="D18" s="34">
        <v>175000</v>
      </c>
      <c r="E18" s="35">
        <v>16830</v>
      </c>
      <c r="F18" s="35">
        <f t="shared" si="1"/>
        <v>8415</v>
      </c>
      <c r="G18" s="35">
        <v>19771</v>
      </c>
      <c r="H18" s="35">
        <f t="shared" si="2"/>
        <v>9885.5</v>
      </c>
      <c r="I18" s="36">
        <v>31110</v>
      </c>
      <c r="J18" s="35">
        <f t="shared" si="3"/>
        <v>15555</v>
      </c>
    </row>
    <row r="19" spans="1:10">
      <c r="A19" s="32" t="s">
        <v>192</v>
      </c>
      <c r="B19" s="34">
        <v>180000</v>
      </c>
      <c r="C19" s="37">
        <f t="shared" si="0"/>
        <v>175000</v>
      </c>
      <c r="D19" s="34">
        <v>185000</v>
      </c>
      <c r="E19" s="35">
        <v>17820</v>
      </c>
      <c r="F19" s="35">
        <f t="shared" si="1"/>
        <v>8910</v>
      </c>
      <c r="G19" s="35">
        <v>20934</v>
      </c>
      <c r="H19" s="35">
        <f t="shared" si="2"/>
        <v>10467</v>
      </c>
      <c r="I19" s="36">
        <v>32940</v>
      </c>
      <c r="J19" s="35">
        <f t="shared" si="3"/>
        <v>16470</v>
      </c>
    </row>
    <row r="20" spans="1:10">
      <c r="A20" s="32" t="s">
        <v>193</v>
      </c>
      <c r="B20" s="34">
        <v>190000</v>
      </c>
      <c r="C20" s="37">
        <f t="shared" si="0"/>
        <v>185000</v>
      </c>
      <c r="D20" s="34">
        <v>195000</v>
      </c>
      <c r="E20" s="35">
        <v>18810</v>
      </c>
      <c r="F20" s="35">
        <f t="shared" si="1"/>
        <v>9405</v>
      </c>
      <c r="G20" s="35">
        <v>22097</v>
      </c>
      <c r="H20" s="35">
        <f t="shared" si="2"/>
        <v>11048.5</v>
      </c>
      <c r="I20" s="36">
        <v>34770</v>
      </c>
      <c r="J20" s="35">
        <f t="shared" si="3"/>
        <v>17385</v>
      </c>
    </row>
    <row r="21" spans="1:10">
      <c r="A21" s="32" t="s">
        <v>194</v>
      </c>
      <c r="B21" s="34">
        <v>200000</v>
      </c>
      <c r="C21" s="37">
        <f t="shared" si="0"/>
        <v>195000</v>
      </c>
      <c r="D21" s="34">
        <v>210000</v>
      </c>
      <c r="E21" s="35">
        <v>19800</v>
      </c>
      <c r="F21" s="35">
        <f t="shared" si="1"/>
        <v>9900</v>
      </c>
      <c r="G21" s="35">
        <v>23260</v>
      </c>
      <c r="H21" s="35">
        <f t="shared" si="2"/>
        <v>11630</v>
      </c>
      <c r="I21" s="36">
        <v>36600</v>
      </c>
      <c r="J21" s="35">
        <f t="shared" si="3"/>
        <v>18300</v>
      </c>
    </row>
    <row r="22" spans="1:10" s="50" customFormat="1">
      <c r="A22" s="45" t="s">
        <v>195</v>
      </c>
      <c r="B22" s="46">
        <v>220000</v>
      </c>
      <c r="C22" s="47">
        <f t="shared" si="0"/>
        <v>210000</v>
      </c>
      <c r="D22" s="46">
        <v>230000</v>
      </c>
      <c r="E22" s="48">
        <v>21780</v>
      </c>
      <c r="F22" s="48">
        <f t="shared" si="1"/>
        <v>10890</v>
      </c>
      <c r="G22" s="48">
        <v>25586</v>
      </c>
      <c r="H22" s="48">
        <f t="shared" si="2"/>
        <v>12793</v>
      </c>
      <c r="I22" s="49">
        <v>40260</v>
      </c>
      <c r="J22" s="48">
        <f t="shared" si="3"/>
        <v>20130</v>
      </c>
    </row>
    <row r="23" spans="1:10" s="50" customFormat="1">
      <c r="A23" s="45" t="s">
        <v>196</v>
      </c>
      <c r="B23" s="46">
        <v>240000</v>
      </c>
      <c r="C23" s="47">
        <f t="shared" si="0"/>
        <v>230000</v>
      </c>
      <c r="D23" s="46">
        <v>250000</v>
      </c>
      <c r="E23" s="48">
        <v>23760</v>
      </c>
      <c r="F23" s="48">
        <f t="shared" si="1"/>
        <v>11880</v>
      </c>
      <c r="G23" s="48">
        <v>27912</v>
      </c>
      <c r="H23" s="48">
        <f t="shared" si="2"/>
        <v>13956</v>
      </c>
      <c r="I23" s="49">
        <v>43920</v>
      </c>
      <c r="J23" s="48">
        <f t="shared" si="3"/>
        <v>21960</v>
      </c>
    </row>
    <row r="24" spans="1:10" s="50" customFormat="1">
      <c r="A24" s="45" t="s">
        <v>197</v>
      </c>
      <c r="B24" s="46">
        <v>260000</v>
      </c>
      <c r="C24" s="47">
        <f t="shared" si="0"/>
        <v>250000</v>
      </c>
      <c r="D24" s="46">
        <v>270000</v>
      </c>
      <c r="E24" s="48">
        <v>25740</v>
      </c>
      <c r="F24" s="48">
        <f t="shared" si="1"/>
        <v>12870</v>
      </c>
      <c r="G24" s="48">
        <v>30238</v>
      </c>
      <c r="H24" s="48">
        <f t="shared" si="2"/>
        <v>15119</v>
      </c>
      <c r="I24" s="49">
        <v>47580</v>
      </c>
      <c r="J24" s="48">
        <f t="shared" si="3"/>
        <v>23790</v>
      </c>
    </row>
    <row r="25" spans="1:10">
      <c r="A25" s="32" t="s">
        <v>198</v>
      </c>
      <c r="B25" s="34">
        <v>280000</v>
      </c>
      <c r="C25" s="37">
        <f t="shared" si="0"/>
        <v>270000</v>
      </c>
      <c r="D25" s="34">
        <v>290000</v>
      </c>
      <c r="E25" s="35">
        <v>27720</v>
      </c>
      <c r="F25" s="35">
        <f t="shared" si="1"/>
        <v>13860</v>
      </c>
      <c r="G25" s="35">
        <v>32564</v>
      </c>
      <c r="H25" s="35">
        <f t="shared" si="2"/>
        <v>16282</v>
      </c>
      <c r="I25" s="36">
        <v>51240</v>
      </c>
      <c r="J25" s="35">
        <f t="shared" si="3"/>
        <v>25620</v>
      </c>
    </row>
    <row r="26" spans="1:10">
      <c r="A26" s="32" t="s">
        <v>199</v>
      </c>
      <c r="B26" s="34">
        <v>300000</v>
      </c>
      <c r="C26" s="37">
        <f t="shared" si="0"/>
        <v>290000</v>
      </c>
      <c r="D26" s="34">
        <v>310000</v>
      </c>
      <c r="E26" s="35">
        <v>29700</v>
      </c>
      <c r="F26" s="35">
        <f t="shared" si="1"/>
        <v>14850</v>
      </c>
      <c r="G26" s="35">
        <v>34890</v>
      </c>
      <c r="H26" s="35">
        <f t="shared" si="2"/>
        <v>17445</v>
      </c>
      <c r="I26" s="36">
        <v>54900</v>
      </c>
      <c r="J26" s="35">
        <f t="shared" si="3"/>
        <v>27450</v>
      </c>
    </row>
    <row r="27" spans="1:10">
      <c r="A27" s="32" t="s">
        <v>200</v>
      </c>
      <c r="B27" s="34">
        <v>320000</v>
      </c>
      <c r="C27" s="37">
        <f t="shared" si="0"/>
        <v>310000</v>
      </c>
      <c r="D27" s="34">
        <v>330000</v>
      </c>
      <c r="E27" s="35">
        <v>31680</v>
      </c>
      <c r="F27" s="35">
        <f t="shared" si="1"/>
        <v>15840</v>
      </c>
      <c r="G27" s="35">
        <v>37216</v>
      </c>
      <c r="H27" s="35">
        <f t="shared" si="2"/>
        <v>18608</v>
      </c>
      <c r="I27" s="36">
        <v>58560</v>
      </c>
      <c r="J27" s="35">
        <f t="shared" si="3"/>
        <v>29280</v>
      </c>
    </row>
    <row r="28" spans="1:10">
      <c r="A28" s="32" t="s">
        <v>201</v>
      </c>
      <c r="B28" s="34">
        <v>340000</v>
      </c>
      <c r="C28" s="37">
        <f t="shared" si="0"/>
        <v>330000</v>
      </c>
      <c r="D28" s="34">
        <v>350000</v>
      </c>
      <c r="E28" s="35">
        <v>33660</v>
      </c>
      <c r="F28" s="35">
        <f t="shared" si="1"/>
        <v>16830</v>
      </c>
      <c r="G28" s="35">
        <v>39542</v>
      </c>
      <c r="H28" s="35">
        <f t="shared" si="2"/>
        <v>19771</v>
      </c>
      <c r="I28" s="36">
        <v>62220</v>
      </c>
      <c r="J28" s="35">
        <f t="shared" si="3"/>
        <v>31110</v>
      </c>
    </row>
    <row r="29" spans="1:10">
      <c r="A29" s="32" t="s">
        <v>202</v>
      </c>
      <c r="B29" s="34">
        <v>360000</v>
      </c>
      <c r="C29" s="37">
        <f t="shared" si="0"/>
        <v>350000</v>
      </c>
      <c r="D29" s="34">
        <v>370000</v>
      </c>
      <c r="E29" s="35">
        <v>35640</v>
      </c>
      <c r="F29" s="35">
        <f t="shared" si="1"/>
        <v>17820</v>
      </c>
      <c r="G29" s="35">
        <v>41868</v>
      </c>
      <c r="H29" s="35">
        <f t="shared" si="2"/>
        <v>20934</v>
      </c>
      <c r="I29" s="36">
        <v>65880</v>
      </c>
      <c r="J29" s="35">
        <f t="shared" si="3"/>
        <v>32940</v>
      </c>
    </row>
    <row r="30" spans="1:10">
      <c r="A30" s="32" t="s">
        <v>203</v>
      </c>
      <c r="B30" s="34">
        <v>380000</v>
      </c>
      <c r="C30" s="37">
        <f t="shared" si="0"/>
        <v>370000</v>
      </c>
      <c r="D30" s="34">
        <v>395000</v>
      </c>
      <c r="E30" s="35">
        <v>37620</v>
      </c>
      <c r="F30" s="35">
        <f t="shared" si="1"/>
        <v>18810</v>
      </c>
      <c r="G30" s="35">
        <v>44194</v>
      </c>
      <c r="H30" s="35">
        <f t="shared" si="2"/>
        <v>22097</v>
      </c>
      <c r="I30" s="36">
        <v>69540</v>
      </c>
      <c r="J30" s="35">
        <f t="shared" si="3"/>
        <v>34770</v>
      </c>
    </row>
    <row r="31" spans="1:10">
      <c r="A31" s="32" t="s">
        <v>204</v>
      </c>
      <c r="B31" s="34">
        <v>410000</v>
      </c>
      <c r="C31" s="37">
        <f t="shared" si="0"/>
        <v>395000</v>
      </c>
      <c r="D31" s="34">
        <v>425000</v>
      </c>
      <c r="E31" s="35">
        <v>40590</v>
      </c>
      <c r="F31" s="35">
        <f t="shared" si="1"/>
        <v>20295</v>
      </c>
      <c r="G31" s="35">
        <v>47683</v>
      </c>
      <c r="H31" s="35">
        <f t="shared" si="2"/>
        <v>23841.5</v>
      </c>
      <c r="I31" s="36">
        <v>75030</v>
      </c>
      <c r="J31" s="35">
        <f t="shared" si="3"/>
        <v>37515</v>
      </c>
    </row>
    <row r="32" spans="1:10">
      <c r="A32" s="32" t="s">
        <v>205</v>
      </c>
      <c r="B32" s="34">
        <v>440000</v>
      </c>
      <c r="C32" s="37">
        <f t="shared" si="0"/>
        <v>425000</v>
      </c>
      <c r="D32" s="34">
        <v>455000</v>
      </c>
      <c r="E32" s="35">
        <v>43560</v>
      </c>
      <c r="F32" s="35">
        <f t="shared" si="1"/>
        <v>21780</v>
      </c>
      <c r="G32" s="35">
        <v>51172</v>
      </c>
      <c r="H32" s="35">
        <f t="shared" si="2"/>
        <v>25586</v>
      </c>
      <c r="I32" s="36">
        <v>80520</v>
      </c>
      <c r="J32" s="35">
        <f t="shared" si="3"/>
        <v>40260</v>
      </c>
    </row>
    <row r="33" spans="1:10">
      <c r="A33" s="32" t="s">
        <v>206</v>
      </c>
      <c r="B33" s="34">
        <v>470000</v>
      </c>
      <c r="C33" s="37">
        <f t="shared" si="0"/>
        <v>455000</v>
      </c>
      <c r="D33" s="34">
        <v>485000</v>
      </c>
      <c r="E33" s="35">
        <v>46530</v>
      </c>
      <c r="F33" s="35">
        <f t="shared" si="1"/>
        <v>23265</v>
      </c>
      <c r="G33" s="35">
        <v>54661</v>
      </c>
      <c r="H33" s="35">
        <f t="shared" si="2"/>
        <v>27330.5</v>
      </c>
      <c r="I33" s="36">
        <v>86010</v>
      </c>
      <c r="J33" s="35">
        <f t="shared" si="3"/>
        <v>43005</v>
      </c>
    </row>
    <row r="34" spans="1:10">
      <c r="A34" s="32" t="s">
        <v>207</v>
      </c>
      <c r="B34" s="34">
        <v>500000</v>
      </c>
      <c r="C34" s="37">
        <f t="shared" si="0"/>
        <v>485000</v>
      </c>
      <c r="D34" s="34">
        <v>515000</v>
      </c>
      <c r="E34" s="35">
        <v>49500</v>
      </c>
      <c r="F34" s="35">
        <f t="shared" si="1"/>
        <v>24750</v>
      </c>
      <c r="G34" s="35">
        <v>58150</v>
      </c>
      <c r="H34" s="35">
        <f t="shared" si="2"/>
        <v>29075</v>
      </c>
      <c r="I34" s="36">
        <v>91500</v>
      </c>
      <c r="J34" s="35">
        <f t="shared" si="3"/>
        <v>45750</v>
      </c>
    </row>
    <row r="35" spans="1:10">
      <c r="A35" s="32" t="s">
        <v>208</v>
      </c>
      <c r="B35" s="34">
        <v>530000</v>
      </c>
      <c r="C35" s="37">
        <f t="shared" si="0"/>
        <v>515000</v>
      </c>
      <c r="D35" s="34">
        <v>545000</v>
      </c>
      <c r="E35" s="35">
        <v>52470</v>
      </c>
      <c r="F35" s="35">
        <f t="shared" si="1"/>
        <v>26235</v>
      </c>
      <c r="G35" s="35">
        <v>61639</v>
      </c>
      <c r="H35" s="35">
        <f t="shared" si="2"/>
        <v>30819.5</v>
      </c>
      <c r="I35" s="36">
        <v>96990</v>
      </c>
      <c r="J35" s="35">
        <f t="shared" si="3"/>
        <v>48495</v>
      </c>
    </row>
    <row r="36" spans="1:10">
      <c r="A36" s="32" t="s">
        <v>209</v>
      </c>
      <c r="B36" s="34">
        <v>560000</v>
      </c>
      <c r="C36" s="37">
        <f t="shared" si="0"/>
        <v>545000</v>
      </c>
      <c r="D36" s="34">
        <v>575000</v>
      </c>
      <c r="E36" s="35">
        <v>55440</v>
      </c>
      <c r="F36" s="35">
        <f t="shared" si="1"/>
        <v>27720</v>
      </c>
      <c r="G36" s="35">
        <v>65128</v>
      </c>
      <c r="H36" s="35">
        <f t="shared" si="2"/>
        <v>32564</v>
      </c>
      <c r="I36" s="36">
        <v>102480</v>
      </c>
      <c r="J36" s="35">
        <f t="shared" si="3"/>
        <v>51240</v>
      </c>
    </row>
    <row r="37" spans="1:10">
      <c r="A37" s="32" t="s">
        <v>210</v>
      </c>
      <c r="B37" s="34">
        <v>590000</v>
      </c>
      <c r="C37" s="37">
        <f t="shared" si="0"/>
        <v>575000</v>
      </c>
      <c r="D37" s="34">
        <v>605000</v>
      </c>
      <c r="E37" s="35">
        <v>58410</v>
      </c>
      <c r="F37" s="35">
        <f t="shared" si="1"/>
        <v>29205</v>
      </c>
      <c r="G37" s="35">
        <v>68617</v>
      </c>
      <c r="H37" s="35">
        <f t="shared" si="2"/>
        <v>34308.5</v>
      </c>
      <c r="I37" s="36">
        <v>107970</v>
      </c>
      <c r="J37" s="35">
        <f t="shared" si="3"/>
        <v>53985</v>
      </c>
    </row>
    <row r="38" spans="1:10">
      <c r="A38" s="32" t="s">
        <v>211</v>
      </c>
      <c r="B38" s="34">
        <v>620000</v>
      </c>
      <c r="C38" s="37">
        <f t="shared" si="0"/>
        <v>605000</v>
      </c>
      <c r="D38" s="34">
        <v>635000</v>
      </c>
      <c r="E38" s="35">
        <v>61380</v>
      </c>
      <c r="F38" s="35">
        <f t="shared" si="1"/>
        <v>30690</v>
      </c>
      <c r="G38" s="35">
        <v>72106</v>
      </c>
      <c r="H38" s="35">
        <f t="shared" si="2"/>
        <v>36053</v>
      </c>
      <c r="I38" s="36">
        <v>113460</v>
      </c>
      <c r="J38" s="35">
        <f t="shared" si="3"/>
        <v>56730</v>
      </c>
    </row>
    <row r="39" spans="1:10">
      <c r="A39" s="32">
        <v>35</v>
      </c>
      <c r="B39" s="34">
        <v>650000</v>
      </c>
      <c r="C39" s="37">
        <f t="shared" si="0"/>
        <v>635000</v>
      </c>
      <c r="D39" s="34">
        <v>665000</v>
      </c>
      <c r="E39" s="35">
        <v>64350</v>
      </c>
      <c r="F39" s="35">
        <f t="shared" si="1"/>
        <v>32175</v>
      </c>
      <c r="G39" s="35">
        <v>75595</v>
      </c>
      <c r="H39" s="35">
        <f t="shared" si="2"/>
        <v>37797.5</v>
      </c>
      <c r="I39" s="38"/>
      <c r="J39" s="38"/>
    </row>
    <row r="40" spans="1:10">
      <c r="A40" s="32">
        <v>36</v>
      </c>
      <c r="B40" s="34">
        <v>680000</v>
      </c>
      <c r="C40" s="37">
        <f t="shared" si="0"/>
        <v>665000</v>
      </c>
      <c r="D40" s="34">
        <v>695000</v>
      </c>
      <c r="E40" s="35">
        <v>67320</v>
      </c>
      <c r="F40" s="35">
        <f t="shared" si="1"/>
        <v>33660</v>
      </c>
      <c r="G40" s="35">
        <v>79084</v>
      </c>
      <c r="H40" s="35">
        <f t="shared" si="2"/>
        <v>39542</v>
      </c>
      <c r="I40" s="38"/>
      <c r="J40" s="38"/>
    </row>
    <row r="41" spans="1:10">
      <c r="A41" s="32">
        <v>37</v>
      </c>
      <c r="B41" s="34">
        <v>710000</v>
      </c>
      <c r="C41" s="37">
        <f t="shared" si="0"/>
        <v>695000</v>
      </c>
      <c r="D41" s="34">
        <v>730000</v>
      </c>
      <c r="E41" s="35">
        <v>70290</v>
      </c>
      <c r="F41" s="35">
        <f t="shared" si="1"/>
        <v>35145</v>
      </c>
      <c r="G41" s="35">
        <v>82573</v>
      </c>
      <c r="H41" s="35">
        <f t="shared" si="2"/>
        <v>41286.5</v>
      </c>
      <c r="I41" s="38"/>
      <c r="J41" s="38"/>
    </row>
    <row r="42" spans="1:10">
      <c r="A42" s="32">
        <v>38</v>
      </c>
      <c r="B42" s="34">
        <v>750000</v>
      </c>
      <c r="C42" s="37">
        <f t="shared" si="0"/>
        <v>730000</v>
      </c>
      <c r="D42" s="34">
        <v>770000</v>
      </c>
      <c r="E42" s="35">
        <v>74250</v>
      </c>
      <c r="F42" s="35">
        <f t="shared" si="1"/>
        <v>37125</v>
      </c>
      <c r="G42" s="35">
        <v>87225</v>
      </c>
      <c r="H42" s="35">
        <f t="shared" si="2"/>
        <v>43612.5</v>
      </c>
      <c r="I42" s="38"/>
      <c r="J42" s="38"/>
    </row>
    <row r="43" spans="1:10">
      <c r="A43" s="32">
        <v>39</v>
      </c>
      <c r="B43" s="34">
        <v>790000</v>
      </c>
      <c r="C43" s="37">
        <f t="shared" si="0"/>
        <v>770000</v>
      </c>
      <c r="D43" s="34">
        <v>810000</v>
      </c>
      <c r="E43" s="35">
        <v>78210</v>
      </c>
      <c r="F43" s="35">
        <f t="shared" si="1"/>
        <v>39105</v>
      </c>
      <c r="G43" s="35">
        <v>91877</v>
      </c>
      <c r="H43" s="35">
        <f t="shared" si="2"/>
        <v>45938.5</v>
      </c>
      <c r="I43" s="38"/>
      <c r="J43" s="38"/>
    </row>
    <row r="44" spans="1:10">
      <c r="A44" s="32">
        <v>40</v>
      </c>
      <c r="B44" s="34">
        <v>830000</v>
      </c>
      <c r="C44" s="37">
        <f t="shared" si="0"/>
        <v>810000</v>
      </c>
      <c r="D44" s="34">
        <v>855000</v>
      </c>
      <c r="E44" s="35">
        <v>82170</v>
      </c>
      <c r="F44" s="35">
        <f t="shared" si="1"/>
        <v>41085</v>
      </c>
      <c r="G44" s="35">
        <v>96529</v>
      </c>
      <c r="H44" s="35">
        <f t="shared" si="2"/>
        <v>48264.5</v>
      </c>
      <c r="I44" s="38"/>
      <c r="J44" s="38"/>
    </row>
    <row r="45" spans="1:10">
      <c r="A45" s="32">
        <v>41</v>
      </c>
      <c r="B45" s="34">
        <v>880000</v>
      </c>
      <c r="C45" s="37">
        <f t="shared" si="0"/>
        <v>855000</v>
      </c>
      <c r="D45" s="34">
        <v>905000</v>
      </c>
      <c r="E45" s="35">
        <v>87120</v>
      </c>
      <c r="F45" s="35">
        <f t="shared" si="1"/>
        <v>43560</v>
      </c>
      <c r="G45" s="35">
        <v>102344</v>
      </c>
      <c r="H45" s="35">
        <f t="shared" si="2"/>
        <v>51172</v>
      </c>
      <c r="I45" s="38"/>
      <c r="J45" s="38"/>
    </row>
    <row r="46" spans="1:10">
      <c r="A46" s="32">
        <v>42</v>
      </c>
      <c r="B46" s="34">
        <v>930000</v>
      </c>
      <c r="C46" s="37">
        <f t="shared" si="0"/>
        <v>905000</v>
      </c>
      <c r="D46" s="34">
        <v>955000</v>
      </c>
      <c r="E46" s="35">
        <v>92070</v>
      </c>
      <c r="F46" s="35">
        <f t="shared" si="1"/>
        <v>46035</v>
      </c>
      <c r="G46" s="35">
        <v>108159</v>
      </c>
      <c r="H46" s="35">
        <f t="shared" si="2"/>
        <v>54079.5</v>
      </c>
      <c r="I46" s="38"/>
      <c r="J46" s="38"/>
    </row>
    <row r="47" spans="1:10">
      <c r="A47" s="32">
        <v>43</v>
      </c>
      <c r="B47" s="34">
        <v>980000</v>
      </c>
      <c r="C47" s="37">
        <f t="shared" si="0"/>
        <v>955000</v>
      </c>
      <c r="D47" s="34">
        <v>1005000</v>
      </c>
      <c r="E47" s="35">
        <v>97020</v>
      </c>
      <c r="F47" s="35">
        <f t="shared" si="1"/>
        <v>48510</v>
      </c>
      <c r="G47" s="35">
        <v>113974</v>
      </c>
      <c r="H47" s="35">
        <f t="shared" si="2"/>
        <v>56987</v>
      </c>
      <c r="I47" s="38"/>
      <c r="J47" s="38"/>
    </row>
    <row r="48" spans="1:10">
      <c r="A48" s="32">
        <v>44</v>
      </c>
      <c r="B48" s="34">
        <v>1030000</v>
      </c>
      <c r="C48" s="37">
        <f t="shared" si="0"/>
        <v>1005000</v>
      </c>
      <c r="D48" s="34">
        <v>1055000</v>
      </c>
      <c r="E48" s="35">
        <v>101970</v>
      </c>
      <c r="F48" s="35">
        <f t="shared" si="1"/>
        <v>50985</v>
      </c>
      <c r="G48" s="35">
        <v>119789</v>
      </c>
      <c r="H48" s="35">
        <f t="shared" si="2"/>
        <v>59894.5</v>
      </c>
      <c r="I48" s="38"/>
      <c r="J48" s="38"/>
    </row>
    <row r="49" spans="1:10">
      <c r="A49" s="32">
        <v>45</v>
      </c>
      <c r="B49" s="34">
        <v>1090000</v>
      </c>
      <c r="C49" s="37">
        <f t="shared" si="0"/>
        <v>1055000</v>
      </c>
      <c r="D49" s="34">
        <v>1115000</v>
      </c>
      <c r="E49" s="35">
        <v>107910</v>
      </c>
      <c r="F49" s="35">
        <f t="shared" si="1"/>
        <v>53955</v>
      </c>
      <c r="G49" s="35">
        <v>126767</v>
      </c>
      <c r="H49" s="35">
        <f t="shared" si="2"/>
        <v>63383.5</v>
      </c>
      <c r="I49" s="38"/>
      <c r="J49" s="38"/>
    </row>
    <row r="50" spans="1:10">
      <c r="A50" s="32">
        <v>46</v>
      </c>
      <c r="B50" s="34">
        <v>1150000</v>
      </c>
      <c r="C50" s="37">
        <f t="shared" si="0"/>
        <v>1115000</v>
      </c>
      <c r="D50" s="34">
        <v>1750000</v>
      </c>
      <c r="E50" s="35">
        <v>113850</v>
      </c>
      <c r="F50" s="35">
        <f t="shared" si="1"/>
        <v>56925</v>
      </c>
      <c r="G50" s="35">
        <v>133745</v>
      </c>
      <c r="H50" s="35">
        <f t="shared" si="2"/>
        <v>66872.5</v>
      </c>
      <c r="I50" s="38"/>
      <c r="J50" s="38"/>
    </row>
    <row r="51" spans="1:10">
      <c r="A51" s="32">
        <v>47</v>
      </c>
      <c r="B51" s="34">
        <v>1210000</v>
      </c>
      <c r="C51" s="37">
        <f t="shared" si="0"/>
        <v>1750000</v>
      </c>
      <c r="D51" s="34">
        <v>1235000</v>
      </c>
      <c r="E51" s="35">
        <v>119790</v>
      </c>
      <c r="F51" s="35">
        <f t="shared" si="1"/>
        <v>59895</v>
      </c>
      <c r="G51" s="35">
        <v>140723</v>
      </c>
      <c r="H51" s="35">
        <f t="shared" si="2"/>
        <v>70361.5</v>
      </c>
      <c r="I51" s="38"/>
      <c r="J51" s="38"/>
    </row>
    <row r="52" spans="1:10">
      <c r="A52" s="32">
        <v>48</v>
      </c>
      <c r="B52" s="34">
        <v>1270000</v>
      </c>
      <c r="C52" s="37">
        <f t="shared" si="0"/>
        <v>1235000</v>
      </c>
      <c r="D52" s="34">
        <v>1295000</v>
      </c>
      <c r="E52" s="35">
        <v>125730</v>
      </c>
      <c r="F52" s="35">
        <f t="shared" si="1"/>
        <v>62865</v>
      </c>
      <c r="G52" s="35">
        <v>147701</v>
      </c>
      <c r="H52" s="35">
        <f t="shared" si="2"/>
        <v>73850.5</v>
      </c>
      <c r="I52" s="38"/>
      <c r="J52" s="38"/>
    </row>
    <row r="53" spans="1:10">
      <c r="A53" s="32">
        <v>49</v>
      </c>
      <c r="B53" s="34">
        <v>1330000</v>
      </c>
      <c r="C53" s="37">
        <f t="shared" si="0"/>
        <v>1295000</v>
      </c>
      <c r="D53" s="34">
        <v>1355000</v>
      </c>
      <c r="E53" s="35">
        <v>131670</v>
      </c>
      <c r="F53" s="35">
        <f t="shared" si="1"/>
        <v>65835</v>
      </c>
      <c r="G53" s="35">
        <v>154679</v>
      </c>
      <c r="H53" s="35">
        <f t="shared" si="2"/>
        <v>77339.5</v>
      </c>
      <c r="I53" s="38"/>
      <c r="J53" s="38"/>
    </row>
    <row r="54" spans="1:10">
      <c r="A54" s="32">
        <v>50</v>
      </c>
      <c r="B54" s="34">
        <v>1390000</v>
      </c>
      <c r="C54" s="37">
        <f>D53</f>
        <v>1355000</v>
      </c>
      <c r="D54" s="34">
        <v>9999999</v>
      </c>
      <c r="E54" s="35">
        <v>137610</v>
      </c>
      <c r="F54" s="35">
        <f t="shared" si="1"/>
        <v>68805</v>
      </c>
      <c r="G54" s="35">
        <v>161657</v>
      </c>
      <c r="H54" s="35">
        <f t="shared" si="2"/>
        <v>80828.5</v>
      </c>
      <c r="I54" s="39"/>
      <c r="J54" s="39"/>
    </row>
  </sheetData>
  <mergeCells count="12">
    <mergeCell ref="C1:D2"/>
    <mergeCell ref="A3:A4"/>
    <mergeCell ref="C3:C4"/>
    <mergeCell ref="D3:D4"/>
    <mergeCell ref="A1:B2"/>
    <mergeCell ref="B3:B4"/>
    <mergeCell ref="E1:H1"/>
    <mergeCell ref="E2:H2"/>
    <mergeCell ref="E3:H3"/>
    <mergeCell ref="I1:J1"/>
    <mergeCell ref="I2:J2"/>
    <mergeCell ref="I3:J3"/>
  </mergeCells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BD90-9F36-44D4-BCEB-96B20C8A6525}">
  <sheetPr codeName="Sheet5">
    <pageSetUpPr fitToPage="1"/>
  </sheetPr>
  <dimension ref="A1:Y30"/>
  <sheetViews>
    <sheetView showGridLines="0" zoomScale="90" zoomScaleNormal="90" workbookViewId="0">
      <selection activeCell="R19" sqref="R19:U19"/>
    </sheetView>
  </sheetViews>
  <sheetFormatPr defaultColWidth="8.875" defaultRowHeight="15.75"/>
  <cols>
    <col min="1" max="25" width="3.625" style="8" customWidth="1"/>
    <col min="26" max="256" width="8.875" style="9"/>
    <col min="257" max="281" width="3.625" style="9" customWidth="1"/>
    <col min="282" max="512" width="8.875" style="9"/>
    <col min="513" max="537" width="3.625" style="9" customWidth="1"/>
    <col min="538" max="768" width="8.875" style="9"/>
    <col min="769" max="793" width="3.625" style="9" customWidth="1"/>
    <col min="794" max="1024" width="8.875" style="9"/>
    <col min="1025" max="1049" width="3.625" style="9" customWidth="1"/>
    <col min="1050" max="1280" width="8.875" style="9"/>
    <col min="1281" max="1305" width="3.625" style="9" customWidth="1"/>
    <col min="1306" max="1536" width="8.875" style="9"/>
    <col min="1537" max="1561" width="3.625" style="9" customWidth="1"/>
    <col min="1562" max="1792" width="8.875" style="9"/>
    <col min="1793" max="1817" width="3.625" style="9" customWidth="1"/>
    <col min="1818" max="2048" width="8.875" style="9"/>
    <col min="2049" max="2073" width="3.625" style="9" customWidth="1"/>
    <col min="2074" max="2304" width="8.875" style="9"/>
    <col min="2305" max="2329" width="3.625" style="9" customWidth="1"/>
    <col min="2330" max="2560" width="8.875" style="9"/>
    <col min="2561" max="2585" width="3.625" style="9" customWidth="1"/>
    <col min="2586" max="2816" width="8.875" style="9"/>
    <col min="2817" max="2841" width="3.625" style="9" customWidth="1"/>
    <col min="2842" max="3072" width="8.875" style="9"/>
    <col min="3073" max="3097" width="3.625" style="9" customWidth="1"/>
    <col min="3098" max="3328" width="8.875" style="9"/>
    <col min="3329" max="3353" width="3.625" style="9" customWidth="1"/>
    <col min="3354" max="3584" width="8.875" style="9"/>
    <col min="3585" max="3609" width="3.625" style="9" customWidth="1"/>
    <col min="3610" max="3840" width="8.875" style="9"/>
    <col min="3841" max="3865" width="3.625" style="9" customWidth="1"/>
    <col min="3866" max="4096" width="8.875" style="9"/>
    <col min="4097" max="4121" width="3.625" style="9" customWidth="1"/>
    <col min="4122" max="4352" width="8.875" style="9"/>
    <col min="4353" max="4377" width="3.625" style="9" customWidth="1"/>
    <col min="4378" max="4608" width="8.875" style="9"/>
    <col min="4609" max="4633" width="3.625" style="9" customWidth="1"/>
    <col min="4634" max="4864" width="8.875" style="9"/>
    <col min="4865" max="4889" width="3.625" style="9" customWidth="1"/>
    <col min="4890" max="5120" width="8.875" style="9"/>
    <col min="5121" max="5145" width="3.625" style="9" customWidth="1"/>
    <col min="5146" max="5376" width="8.875" style="9"/>
    <col min="5377" max="5401" width="3.625" style="9" customWidth="1"/>
    <col min="5402" max="5632" width="8.875" style="9"/>
    <col min="5633" max="5657" width="3.625" style="9" customWidth="1"/>
    <col min="5658" max="5888" width="8.875" style="9"/>
    <col min="5889" max="5913" width="3.625" style="9" customWidth="1"/>
    <col min="5914" max="6144" width="8.875" style="9"/>
    <col min="6145" max="6169" width="3.625" style="9" customWidth="1"/>
    <col min="6170" max="6400" width="8.875" style="9"/>
    <col min="6401" max="6425" width="3.625" style="9" customWidth="1"/>
    <col min="6426" max="6656" width="8.875" style="9"/>
    <col min="6657" max="6681" width="3.625" style="9" customWidth="1"/>
    <col min="6682" max="6912" width="8.875" style="9"/>
    <col min="6913" max="6937" width="3.625" style="9" customWidth="1"/>
    <col min="6938" max="7168" width="8.875" style="9"/>
    <col min="7169" max="7193" width="3.625" style="9" customWidth="1"/>
    <col min="7194" max="7424" width="8.875" style="9"/>
    <col min="7425" max="7449" width="3.625" style="9" customWidth="1"/>
    <col min="7450" max="7680" width="8.875" style="9"/>
    <col min="7681" max="7705" width="3.625" style="9" customWidth="1"/>
    <col min="7706" max="7936" width="8.875" style="9"/>
    <col min="7937" max="7961" width="3.625" style="9" customWidth="1"/>
    <col min="7962" max="8192" width="8.875" style="9"/>
    <col min="8193" max="8217" width="3.625" style="9" customWidth="1"/>
    <col min="8218" max="8448" width="8.875" style="9"/>
    <col min="8449" max="8473" width="3.625" style="9" customWidth="1"/>
    <col min="8474" max="8704" width="8.875" style="9"/>
    <col min="8705" max="8729" width="3.625" style="9" customWidth="1"/>
    <col min="8730" max="8960" width="8.875" style="9"/>
    <col min="8961" max="8985" width="3.625" style="9" customWidth="1"/>
    <col min="8986" max="9216" width="8.875" style="9"/>
    <col min="9217" max="9241" width="3.625" style="9" customWidth="1"/>
    <col min="9242" max="9472" width="8.875" style="9"/>
    <col min="9473" max="9497" width="3.625" style="9" customWidth="1"/>
    <col min="9498" max="9728" width="8.875" style="9"/>
    <col min="9729" max="9753" width="3.625" style="9" customWidth="1"/>
    <col min="9754" max="9984" width="8.875" style="9"/>
    <col min="9985" max="10009" width="3.625" style="9" customWidth="1"/>
    <col min="10010" max="10240" width="8.875" style="9"/>
    <col min="10241" max="10265" width="3.625" style="9" customWidth="1"/>
    <col min="10266" max="10496" width="8.875" style="9"/>
    <col min="10497" max="10521" width="3.625" style="9" customWidth="1"/>
    <col min="10522" max="10752" width="8.875" style="9"/>
    <col min="10753" max="10777" width="3.625" style="9" customWidth="1"/>
    <col min="10778" max="11008" width="8.875" style="9"/>
    <col min="11009" max="11033" width="3.625" style="9" customWidth="1"/>
    <col min="11034" max="11264" width="8.875" style="9"/>
    <col min="11265" max="11289" width="3.625" style="9" customWidth="1"/>
    <col min="11290" max="11520" width="8.875" style="9"/>
    <col min="11521" max="11545" width="3.625" style="9" customWidth="1"/>
    <col min="11546" max="11776" width="8.875" style="9"/>
    <col min="11777" max="11801" width="3.625" style="9" customWidth="1"/>
    <col min="11802" max="12032" width="8.875" style="9"/>
    <col min="12033" max="12057" width="3.625" style="9" customWidth="1"/>
    <col min="12058" max="12288" width="8.875" style="9"/>
    <col min="12289" max="12313" width="3.625" style="9" customWidth="1"/>
    <col min="12314" max="12544" width="8.875" style="9"/>
    <col min="12545" max="12569" width="3.625" style="9" customWidth="1"/>
    <col min="12570" max="12800" width="8.875" style="9"/>
    <col min="12801" max="12825" width="3.625" style="9" customWidth="1"/>
    <col min="12826" max="13056" width="8.875" style="9"/>
    <col min="13057" max="13081" width="3.625" style="9" customWidth="1"/>
    <col min="13082" max="13312" width="8.875" style="9"/>
    <col min="13313" max="13337" width="3.625" style="9" customWidth="1"/>
    <col min="13338" max="13568" width="8.875" style="9"/>
    <col min="13569" max="13593" width="3.625" style="9" customWidth="1"/>
    <col min="13594" max="13824" width="8.875" style="9"/>
    <col min="13825" max="13849" width="3.625" style="9" customWidth="1"/>
    <col min="13850" max="14080" width="8.875" style="9"/>
    <col min="14081" max="14105" width="3.625" style="9" customWidth="1"/>
    <col min="14106" max="14336" width="8.875" style="9"/>
    <col min="14337" max="14361" width="3.625" style="9" customWidth="1"/>
    <col min="14362" max="14592" width="8.875" style="9"/>
    <col min="14593" max="14617" width="3.625" style="9" customWidth="1"/>
    <col min="14618" max="14848" width="8.875" style="9"/>
    <col min="14849" max="14873" width="3.625" style="9" customWidth="1"/>
    <col min="14874" max="15104" width="8.875" style="9"/>
    <col min="15105" max="15129" width="3.625" style="9" customWidth="1"/>
    <col min="15130" max="15360" width="8.875" style="9"/>
    <col min="15361" max="15385" width="3.625" style="9" customWidth="1"/>
    <col min="15386" max="15616" width="8.875" style="9"/>
    <col min="15617" max="15641" width="3.625" style="9" customWidth="1"/>
    <col min="15642" max="15872" width="8.875" style="9"/>
    <col min="15873" max="15897" width="3.625" style="9" customWidth="1"/>
    <col min="15898" max="16128" width="8.875" style="9"/>
    <col min="16129" max="16153" width="3.625" style="9" customWidth="1"/>
    <col min="16154" max="16384" width="8.875" style="9"/>
  </cols>
  <sheetData>
    <row r="1" spans="2:25" ht="22.5" customHeight="1"/>
    <row r="2" spans="2:25" ht="30" customHeight="1">
      <c r="B2" s="108" t="s">
        <v>72</v>
      </c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</row>
    <row r="3" spans="2:25" ht="22.5" customHeight="1"/>
    <row r="4" spans="2:25" ht="30" customHeight="1">
      <c r="B4" s="109" t="s">
        <v>240</v>
      </c>
      <c r="C4" s="109"/>
      <c r="D4" s="109"/>
      <c r="E4" s="109"/>
      <c r="F4" s="109"/>
      <c r="G4" s="109"/>
      <c r="H4" s="109"/>
      <c r="I4" s="109"/>
      <c r="T4" s="110" t="s">
        <v>73</v>
      </c>
      <c r="U4" s="110"/>
      <c r="V4" s="110"/>
      <c r="W4" s="111" t="s">
        <v>32</v>
      </c>
      <c r="X4" s="111"/>
      <c r="Y4" s="111"/>
    </row>
    <row r="5" spans="2:25" ht="22.5" customHeight="1">
      <c r="C5" s="10"/>
      <c r="D5" s="10"/>
      <c r="E5" s="10"/>
      <c r="F5" s="10"/>
      <c r="G5" s="10"/>
      <c r="H5" s="10"/>
    </row>
    <row r="6" spans="2:25" ht="22.5" customHeight="1">
      <c r="B6" s="110" t="s">
        <v>74</v>
      </c>
      <c r="C6" s="110"/>
      <c r="D6" s="110" t="s">
        <v>75</v>
      </c>
      <c r="E6" s="110"/>
      <c r="F6" s="110"/>
      <c r="G6" s="110"/>
      <c r="H6" s="110"/>
      <c r="I6" s="110"/>
      <c r="J6" s="110"/>
      <c r="K6" s="110"/>
      <c r="L6" s="110"/>
      <c r="M6" s="10"/>
      <c r="N6" s="110" t="s">
        <v>76</v>
      </c>
      <c r="O6" s="110"/>
      <c r="P6" s="112" t="s">
        <v>241</v>
      </c>
      <c r="Q6" s="112"/>
      <c r="R6" s="112"/>
      <c r="S6" s="112"/>
      <c r="T6" s="112"/>
      <c r="U6" s="112"/>
      <c r="V6" s="112"/>
      <c r="W6" s="112"/>
      <c r="X6" s="112"/>
    </row>
    <row r="7" spans="2:25" ht="22.5" customHeight="1" thickBot="1"/>
    <row r="8" spans="2:25" ht="27" customHeight="1">
      <c r="B8" s="102" t="s">
        <v>77</v>
      </c>
      <c r="C8" s="103"/>
      <c r="D8" s="103"/>
      <c r="E8" s="103"/>
      <c r="F8" s="104">
        <v>19</v>
      </c>
      <c r="G8" s="105"/>
      <c r="H8" s="105"/>
      <c r="I8" s="11" t="s">
        <v>78</v>
      </c>
      <c r="J8" s="103" t="s">
        <v>79</v>
      </c>
      <c r="K8" s="103"/>
      <c r="L8" s="103"/>
      <c r="M8" s="103"/>
      <c r="N8" s="106">
        <v>20130</v>
      </c>
      <c r="O8" s="107"/>
      <c r="P8" s="107"/>
      <c r="Q8" s="11" t="s">
        <v>80</v>
      </c>
      <c r="R8" s="103" t="s">
        <v>81</v>
      </c>
      <c r="S8" s="103"/>
      <c r="T8" s="103"/>
      <c r="U8" s="103"/>
      <c r="V8" s="106">
        <v>260000</v>
      </c>
      <c r="W8" s="107"/>
      <c r="X8" s="107"/>
      <c r="Y8" s="12" t="s">
        <v>80</v>
      </c>
    </row>
    <row r="9" spans="2:25" ht="27" customHeight="1">
      <c r="B9" s="93" t="s">
        <v>82</v>
      </c>
      <c r="C9" s="94"/>
      <c r="D9" s="94"/>
      <c r="E9" s="94"/>
      <c r="F9" s="95">
        <v>19</v>
      </c>
      <c r="G9" s="96"/>
      <c r="H9" s="96"/>
      <c r="I9" s="13" t="s">
        <v>78</v>
      </c>
      <c r="J9" s="94" t="s">
        <v>83</v>
      </c>
      <c r="K9" s="94"/>
      <c r="L9" s="94"/>
      <c r="M9" s="94"/>
      <c r="N9" s="97"/>
      <c r="O9" s="98"/>
      <c r="P9" s="98"/>
      <c r="Q9" s="13" t="s">
        <v>80</v>
      </c>
      <c r="R9" s="94" t="s">
        <v>84</v>
      </c>
      <c r="S9" s="94"/>
      <c r="T9" s="94"/>
      <c r="U9" s="94"/>
      <c r="V9" s="97"/>
      <c r="W9" s="98"/>
      <c r="X9" s="98"/>
      <c r="Y9" s="14" t="s">
        <v>80</v>
      </c>
    </row>
    <row r="10" spans="2:25" ht="27" customHeight="1">
      <c r="B10" s="93" t="s">
        <v>85</v>
      </c>
      <c r="C10" s="94"/>
      <c r="D10" s="94"/>
      <c r="E10" s="94"/>
      <c r="F10" s="95">
        <v>153</v>
      </c>
      <c r="G10" s="96"/>
      <c r="H10" s="96"/>
      <c r="I10" s="13" t="s">
        <v>86</v>
      </c>
      <c r="J10" s="94" t="s">
        <v>87</v>
      </c>
      <c r="K10" s="94"/>
      <c r="L10" s="94"/>
      <c r="M10" s="94"/>
      <c r="N10" s="97"/>
      <c r="O10" s="98"/>
      <c r="P10" s="98"/>
      <c r="Q10" s="13" t="s">
        <v>80</v>
      </c>
      <c r="R10" s="94" t="s">
        <v>88</v>
      </c>
      <c r="S10" s="94"/>
      <c r="T10" s="94"/>
      <c r="U10" s="94"/>
      <c r="V10" s="97"/>
      <c r="W10" s="98"/>
      <c r="X10" s="98"/>
      <c r="Y10" s="14" t="s">
        <v>80</v>
      </c>
    </row>
    <row r="11" spans="2:25" ht="27" customHeight="1">
      <c r="B11" s="93" t="s">
        <v>89</v>
      </c>
      <c r="C11" s="94"/>
      <c r="D11" s="94"/>
      <c r="E11" s="94"/>
      <c r="F11" s="95"/>
      <c r="G11" s="96"/>
      <c r="H11" s="96"/>
      <c r="I11" s="13" t="s">
        <v>78</v>
      </c>
      <c r="J11" s="94" t="s">
        <v>90</v>
      </c>
      <c r="K11" s="94"/>
      <c r="L11" s="94"/>
      <c r="M11" s="94"/>
      <c r="N11" s="97">
        <v>10890</v>
      </c>
      <c r="O11" s="98"/>
      <c r="P11" s="98"/>
      <c r="Q11" s="13" t="s">
        <v>80</v>
      </c>
      <c r="R11" s="94" t="s">
        <v>91</v>
      </c>
      <c r="S11" s="94"/>
      <c r="T11" s="94"/>
      <c r="U11" s="94"/>
      <c r="V11" s="97"/>
      <c r="W11" s="98"/>
      <c r="X11" s="98"/>
      <c r="Y11" s="14" t="s">
        <v>80</v>
      </c>
    </row>
    <row r="12" spans="2:25" ht="27" customHeight="1">
      <c r="B12" s="93" t="s">
        <v>92</v>
      </c>
      <c r="C12" s="94"/>
      <c r="D12" s="94"/>
      <c r="E12" s="94"/>
      <c r="F12" s="95"/>
      <c r="G12" s="96"/>
      <c r="H12" s="96"/>
      <c r="I12" s="13" t="s">
        <v>78</v>
      </c>
      <c r="J12" s="94" t="s">
        <v>93</v>
      </c>
      <c r="K12" s="94"/>
      <c r="L12" s="94"/>
      <c r="M12" s="94"/>
      <c r="N12" s="97">
        <v>6443</v>
      </c>
      <c r="O12" s="98"/>
      <c r="P12" s="98"/>
      <c r="Q12" s="13" t="s">
        <v>80</v>
      </c>
      <c r="R12" s="94" t="s">
        <v>94</v>
      </c>
      <c r="S12" s="94"/>
      <c r="T12" s="94"/>
      <c r="U12" s="94"/>
      <c r="V12" s="97"/>
      <c r="W12" s="98"/>
      <c r="X12" s="98"/>
      <c r="Y12" s="14" t="s">
        <v>80</v>
      </c>
    </row>
    <row r="13" spans="2:25" ht="27" customHeight="1">
      <c r="B13" s="93" t="s">
        <v>214</v>
      </c>
      <c r="C13" s="94"/>
      <c r="D13" s="94"/>
      <c r="E13" s="94"/>
      <c r="F13" s="95"/>
      <c r="G13" s="96"/>
      <c r="H13" s="96"/>
      <c r="I13" s="13" t="s">
        <v>86</v>
      </c>
      <c r="J13" s="94"/>
      <c r="K13" s="94"/>
      <c r="L13" s="94"/>
      <c r="M13" s="94"/>
      <c r="N13" s="97"/>
      <c r="O13" s="98"/>
      <c r="P13" s="98"/>
      <c r="Q13" s="13"/>
      <c r="R13" s="94" t="s">
        <v>95</v>
      </c>
      <c r="S13" s="94"/>
      <c r="T13" s="94"/>
      <c r="U13" s="94"/>
      <c r="V13" s="97"/>
      <c r="W13" s="98"/>
      <c r="X13" s="98"/>
      <c r="Y13" s="14" t="s">
        <v>80</v>
      </c>
    </row>
    <row r="14" spans="2:25" ht="27" customHeight="1">
      <c r="B14" s="93"/>
      <c r="C14" s="94"/>
      <c r="D14" s="94"/>
      <c r="E14" s="94"/>
      <c r="F14" s="95"/>
      <c r="G14" s="96"/>
      <c r="H14" s="96"/>
      <c r="I14" s="13"/>
      <c r="J14" s="94"/>
      <c r="K14" s="94"/>
      <c r="L14" s="94"/>
      <c r="M14" s="94"/>
      <c r="N14" s="97"/>
      <c r="O14" s="98"/>
      <c r="P14" s="98"/>
      <c r="Q14" s="13"/>
      <c r="R14" s="94" t="s">
        <v>96</v>
      </c>
      <c r="S14" s="94"/>
      <c r="T14" s="94"/>
      <c r="U14" s="94"/>
      <c r="V14" s="97"/>
      <c r="W14" s="98"/>
      <c r="X14" s="98"/>
      <c r="Y14" s="14" t="s">
        <v>80</v>
      </c>
    </row>
    <row r="15" spans="2:25" ht="27" customHeight="1">
      <c r="B15" s="93" t="s">
        <v>97</v>
      </c>
      <c r="C15" s="94"/>
      <c r="D15" s="94"/>
      <c r="E15" s="94"/>
      <c r="F15" s="95"/>
      <c r="G15" s="96"/>
      <c r="H15" s="96"/>
      <c r="I15" s="13" t="s">
        <v>86</v>
      </c>
      <c r="J15" s="94" t="s">
        <v>98</v>
      </c>
      <c r="K15" s="94"/>
      <c r="L15" s="94"/>
      <c r="M15" s="94"/>
      <c r="N15" s="97">
        <v>61430</v>
      </c>
      <c r="O15" s="98"/>
      <c r="P15" s="98"/>
      <c r="Q15" s="13" t="s">
        <v>80</v>
      </c>
      <c r="R15" s="99" t="s">
        <v>221</v>
      </c>
      <c r="S15" s="100"/>
      <c r="T15" s="100"/>
      <c r="U15" s="101"/>
      <c r="V15" s="97">
        <v>455920</v>
      </c>
      <c r="W15" s="98"/>
      <c r="X15" s="98"/>
      <c r="Y15" s="14" t="s">
        <v>80</v>
      </c>
    </row>
    <row r="16" spans="2:25" ht="27" customHeight="1">
      <c r="B16" s="93" t="s">
        <v>99</v>
      </c>
      <c r="C16" s="94"/>
      <c r="D16" s="94"/>
      <c r="E16" s="94"/>
      <c r="F16" s="95"/>
      <c r="G16" s="96"/>
      <c r="H16" s="96"/>
      <c r="I16" s="13" t="s">
        <v>78</v>
      </c>
      <c r="J16" s="94" t="s">
        <v>100</v>
      </c>
      <c r="K16" s="94"/>
      <c r="L16" s="94"/>
      <c r="M16" s="94"/>
      <c r="N16" s="97"/>
      <c r="O16" s="98"/>
      <c r="P16" s="98"/>
      <c r="Q16" s="13" t="s">
        <v>80</v>
      </c>
      <c r="R16" s="94"/>
      <c r="S16" s="94"/>
      <c r="T16" s="94"/>
      <c r="U16" s="94"/>
      <c r="V16" s="97"/>
      <c r="W16" s="98"/>
      <c r="X16" s="98"/>
      <c r="Y16" s="14"/>
    </row>
    <row r="17" spans="2:25" ht="27" customHeight="1">
      <c r="B17" s="93" t="s">
        <v>101</v>
      </c>
      <c r="C17" s="94"/>
      <c r="D17" s="94"/>
      <c r="E17" s="94"/>
      <c r="F17" s="95"/>
      <c r="G17" s="96"/>
      <c r="H17" s="96"/>
      <c r="I17" s="13" t="s">
        <v>78</v>
      </c>
      <c r="J17" s="94"/>
      <c r="K17" s="94"/>
      <c r="L17" s="94"/>
      <c r="M17" s="94"/>
      <c r="N17" s="97"/>
      <c r="O17" s="98"/>
      <c r="P17" s="98"/>
      <c r="Q17" s="13"/>
      <c r="R17" s="94" t="s">
        <v>102</v>
      </c>
      <c r="S17" s="94"/>
      <c r="T17" s="94"/>
      <c r="U17" s="94"/>
      <c r="V17" s="97"/>
      <c r="W17" s="98"/>
      <c r="X17" s="98"/>
      <c r="Y17" s="14" t="s">
        <v>80</v>
      </c>
    </row>
    <row r="18" spans="2:25" ht="27" customHeight="1">
      <c r="B18" s="93"/>
      <c r="C18" s="94"/>
      <c r="D18" s="94"/>
      <c r="E18" s="94"/>
      <c r="F18" s="95"/>
      <c r="G18" s="96"/>
      <c r="H18" s="96"/>
      <c r="I18" s="13"/>
      <c r="J18" s="94"/>
      <c r="K18" s="94"/>
      <c r="L18" s="94"/>
      <c r="M18" s="94"/>
      <c r="N18" s="97"/>
      <c r="O18" s="98"/>
      <c r="P18" s="98"/>
      <c r="Q18" s="13"/>
      <c r="R18" s="94" t="s">
        <v>103</v>
      </c>
      <c r="S18" s="94"/>
      <c r="T18" s="94"/>
      <c r="U18" s="94"/>
      <c r="V18" s="97"/>
      <c r="W18" s="98"/>
      <c r="X18" s="98"/>
      <c r="Y18" s="14" t="s">
        <v>80</v>
      </c>
    </row>
    <row r="19" spans="2:25" ht="27" customHeight="1">
      <c r="B19" s="93"/>
      <c r="C19" s="94"/>
      <c r="D19" s="94"/>
      <c r="E19" s="94"/>
      <c r="F19" s="95"/>
      <c r="G19" s="96"/>
      <c r="H19" s="96"/>
      <c r="I19" s="13"/>
      <c r="J19" s="94"/>
      <c r="K19" s="94"/>
      <c r="L19" s="94"/>
      <c r="M19" s="94"/>
      <c r="N19" s="97"/>
      <c r="O19" s="98"/>
      <c r="P19" s="98"/>
      <c r="Q19" s="13"/>
      <c r="R19" s="94" t="s">
        <v>104</v>
      </c>
      <c r="S19" s="94"/>
      <c r="T19" s="94"/>
      <c r="U19" s="94"/>
      <c r="V19" s="97"/>
      <c r="W19" s="98"/>
      <c r="X19" s="98"/>
      <c r="Y19" s="14" t="s">
        <v>80</v>
      </c>
    </row>
    <row r="20" spans="2:25" ht="27" customHeight="1">
      <c r="B20" s="93" t="s">
        <v>105</v>
      </c>
      <c r="C20" s="94"/>
      <c r="D20" s="94"/>
      <c r="E20" s="94"/>
      <c r="F20" s="95"/>
      <c r="G20" s="96"/>
      <c r="H20" s="96"/>
      <c r="I20" s="13" t="s">
        <v>86</v>
      </c>
      <c r="J20" s="94" t="s">
        <v>106</v>
      </c>
      <c r="K20" s="94"/>
      <c r="L20" s="94"/>
      <c r="M20" s="94"/>
      <c r="N20" s="97"/>
      <c r="O20" s="98"/>
      <c r="P20" s="98"/>
      <c r="Q20" s="13" t="s">
        <v>80</v>
      </c>
      <c r="R20" s="94"/>
      <c r="S20" s="94"/>
      <c r="T20" s="94"/>
      <c r="U20" s="94"/>
      <c r="V20" s="97"/>
      <c r="W20" s="98"/>
      <c r="X20" s="98"/>
      <c r="Y20" s="14"/>
    </row>
    <row r="21" spans="2:25" ht="27" customHeight="1">
      <c r="B21" s="93" t="s">
        <v>107</v>
      </c>
      <c r="C21" s="94"/>
      <c r="D21" s="94"/>
      <c r="E21" s="94"/>
      <c r="F21" s="95"/>
      <c r="G21" s="96"/>
      <c r="H21" s="96"/>
      <c r="I21" s="13" t="s">
        <v>86</v>
      </c>
      <c r="J21" s="94" t="s">
        <v>108</v>
      </c>
      <c r="K21" s="94"/>
      <c r="L21" s="94"/>
      <c r="M21" s="94"/>
      <c r="N21" s="97"/>
      <c r="O21" s="98"/>
      <c r="P21" s="98"/>
      <c r="Q21" s="13" t="s">
        <v>80</v>
      </c>
      <c r="R21" s="94"/>
      <c r="S21" s="94"/>
      <c r="T21" s="94"/>
      <c r="U21" s="94"/>
      <c r="V21" s="97"/>
      <c r="W21" s="98"/>
      <c r="X21" s="98"/>
      <c r="Y21" s="14"/>
    </row>
    <row r="22" spans="2:25" ht="27" customHeight="1">
      <c r="B22" s="93" t="s">
        <v>109</v>
      </c>
      <c r="C22" s="94"/>
      <c r="D22" s="94"/>
      <c r="E22" s="94"/>
      <c r="F22" s="95"/>
      <c r="G22" s="96"/>
      <c r="H22" s="96"/>
      <c r="I22" s="13" t="s">
        <v>86</v>
      </c>
      <c r="J22" s="94" t="s">
        <v>110</v>
      </c>
      <c r="K22" s="94"/>
      <c r="L22" s="94"/>
      <c r="M22" s="94"/>
      <c r="N22" s="97"/>
      <c r="O22" s="98"/>
      <c r="P22" s="98"/>
      <c r="Q22" s="13" t="s">
        <v>80</v>
      </c>
      <c r="R22" s="94"/>
      <c r="S22" s="94"/>
      <c r="T22" s="94"/>
      <c r="U22" s="94"/>
      <c r="V22" s="97"/>
      <c r="W22" s="98"/>
      <c r="X22" s="98"/>
      <c r="Y22" s="14"/>
    </row>
    <row r="23" spans="2:25" ht="27" customHeight="1">
      <c r="B23" s="93"/>
      <c r="C23" s="94"/>
      <c r="D23" s="94"/>
      <c r="E23" s="94"/>
      <c r="F23" s="95"/>
      <c r="G23" s="96"/>
      <c r="H23" s="96"/>
      <c r="I23" s="13"/>
      <c r="J23" s="94"/>
      <c r="K23" s="94"/>
      <c r="L23" s="94"/>
      <c r="M23" s="94"/>
      <c r="N23" s="97"/>
      <c r="O23" s="98"/>
      <c r="P23" s="98"/>
      <c r="Q23" s="13"/>
      <c r="R23" s="94"/>
      <c r="S23" s="94"/>
      <c r="T23" s="94"/>
      <c r="U23" s="94"/>
      <c r="V23" s="97"/>
      <c r="W23" s="98"/>
      <c r="X23" s="98"/>
      <c r="Y23" s="14"/>
    </row>
    <row r="24" spans="2:25" ht="27" customHeight="1">
      <c r="B24" s="93" t="s">
        <v>111</v>
      </c>
      <c r="C24" s="94"/>
      <c r="D24" s="94"/>
      <c r="E24" s="94"/>
      <c r="F24" s="95"/>
      <c r="G24" s="96"/>
      <c r="H24" s="96"/>
      <c r="I24" s="13"/>
      <c r="J24" s="94"/>
      <c r="K24" s="94"/>
      <c r="L24" s="94"/>
      <c r="M24" s="94"/>
      <c r="N24" s="97"/>
      <c r="O24" s="98"/>
      <c r="P24" s="98"/>
      <c r="Q24" s="13"/>
      <c r="R24" s="94"/>
      <c r="S24" s="94"/>
      <c r="T24" s="94"/>
      <c r="U24" s="94"/>
      <c r="V24" s="97"/>
      <c r="W24" s="98"/>
      <c r="X24" s="98"/>
      <c r="Y24" s="14"/>
    </row>
    <row r="25" spans="2:25" ht="27" customHeight="1">
      <c r="B25" s="93"/>
      <c r="C25" s="94"/>
      <c r="D25" s="94"/>
      <c r="E25" s="94"/>
      <c r="F25" s="95"/>
      <c r="G25" s="96"/>
      <c r="H25" s="96"/>
      <c r="I25" s="13"/>
      <c r="J25" s="94" t="s">
        <v>112</v>
      </c>
      <c r="K25" s="94"/>
      <c r="L25" s="94"/>
      <c r="M25" s="94"/>
      <c r="N25" s="97"/>
      <c r="O25" s="98"/>
      <c r="P25" s="98"/>
      <c r="Q25" s="13" t="s">
        <v>80</v>
      </c>
      <c r="R25" s="94"/>
      <c r="S25" s="94"/>
      <c r="T25" s="94"/>
      <c r="U25" s="94"/>
      <c r="V25" s="97"/>
      <c r="W25" s="98"/>
      <c r="X25" s="98"/>
      <c r="Y25" s="14"/>
    </row>
    <row r="26" spans="2:25" ht="27" customHeight="1">
      <c r="B26" s="93"/>
      <c r="C26" s="94"/>
      <c r="D26" s="94"/>
      <c r="E26" s="94"/>
      <c r="F26" s="95"/>
      <c r="G26" s="96"/>
      <c r="H26" s="96"/>
      <c r="I26" s="13"/>
      <c r="J26" s="94" t="s">
        <v>113</v>
      </c>
      <c r="K26" s="94"/>
      <c r="L26" s="94"/>
      <c r="M26" s="94"/>
      <c r="N26" s="97"/>
      <c r="O26" s="98"/>
      <c r="P26" s="98"/>
      <c r="Q26" s="13" t="s">
        <v>80</v>
      </c>
      <c r="R26" s="94"/>
      <c r="S26" s="94"/>
      <c r="T26" s="94"/>
      <c r="U26" s="94"/>
      <c r="V26" s="97"/>
      <c r="W26" s="98"/>
      <c r="X26" s="98"/>
      <c r="Y26" s="14"/>
    </row>
    <row r="27" spans="2:25" ht="27" customHeight="1">
      <c r="B27" s="93"/>
      <c r="C27" s="94"/>
      <c r="D27" s="94"/>
      <c r="E27" s="94"/>
      <c r="F27" s="95"/>
      <c r="G27" s="96"/>
      <c r="H27" s="96"/>
      <c r="I27" s="13"/>
      <c r="J27" s="94"/>
      <c r="K27" s="94"/>
      <c r="L27" s="94"/>
      <c r="M27" s="94"/>
      <c r="N27" s="97"/>
      <c r="O27" s="98"/>
      <c r="P27" s="98"/>
      <c r="Q27" s="13"/>
      <c r="R27" s="94"/>
      <c r="S27" s="94"/>
      <c r="T27" s="94"/>
      <c r="U27" s="94"/>
      <c r="V27" s="97"/>
      <c r="W27" s="98"/>
      <c r="X27" s="98"/>
      <c r="Y27" s="14"/>
    </row>
    <row r="28" spans="2:25" ht="27" customHeight="1" thickBot="1">
      <c r="B28" s="87"/>
      <c r="C28" s="88"/>
      <c r="D28" s="88"/>
      <c r="E28" s="88"/>
      <c r="F28" s="89"/>
      <c r="G28" s="90"/>
      <c r="H28" s="90"/>
      <c r="I28" s="15"/>
      <c r="J28" s="88"/>
      <c r="K28" s="88"/>
      <c r="L28" s="88"/>
      <c r="M28" s="88"/>
      <c r="N28" s="91"/>
      <c r="O28" s="92"/>
      <c r="P28" s="92"/>
      <c r="Q28" s="15"/>
      <c r="R28" s="88"/>
      <c r="S28" s="88"/>
      <c r="T28" s="88"/>
      <c r="U28" s="88"/>
      <c r="V28" s="91"/>
      <c r="W28" s="92"/>
      <c r="X28" s="92"/>
      <c r="Y28" s="16"/>
    </row>
    <row r="29" spans="2:25" ht="27" customHeight="1" thickTop="1" thickBot="1">
      <c r="B29" s="81"/>
      <c r="C29" s="82"/>
      <c r="D29" s="82"/>
      <c r="E29" s="82"/>
      <c r="F29" s="83"/>
      <c r="G29" s="84"/>
      <c r="H29" s="84"/>
      <c r="I29" s="17"/>
      <c r="J29" s="82" t="s">
        <v>114</v>
      </c>
      <c r="K29" s="82"/>
      <c r="L29" s="82"/>
      <c r="M29" s="82"/>
      <c r="N29" s="85">
        <f>SUM(N8:P28)</f>
        <v>98893</v>
      </c>
      <c r="O29" s="86"/>
      <c r="P29" s="86"/>
      <c r="Q29" s="17" t="s">
        <v>80</v>
      </c>
      <c r="R29" s="82" t="s">
        <v>115</v>
      </c>
      <c r="S29" s="82"/>
      <c r="T29" s="82"/>
      <c r="U29" s="82"/>
      <c r="V29" s="85">
        <f>SUM(V8:X28)</f>
        <v>715920</v>
      </c>
      <c r="W29" s="86"/>
      <c r="X29" s="86"/>
      <c r="Y29" s="18" t="s">
        <v>80</v>
      </c>
    </row>
    <row r="30" spans="2:25" ht="27" customHeight="1" thickTop="1" thickBot="1">
      <c r="B30" s="72"/>
      <c r="C30" s="73"/>
      <c r="D30" s="73"/>
      <c r="E30" s="74"/>
      <c r="F30" s="75"/>
      <c r="G30" s="76"/>
      <c r="H30" s="76"/>
      <c r="I30" s="19"/>
      <c r="J30" s="77"/>
      <c r="K30" s="73"/>
      <c r="L30" s="73"/>
      <c r="M30" s="74"/>
      <c r="N30" s="75"/>
      <c r="O30" s="76"/>
      <c r="P30" s="76"/>
      <c r="Q30" s="19"/>
      <c r="R30" s="78" t="s">
        <v>116</v>
      </c>
      <c r="S30" s="78"/>
      <c r="T30" s="78"/>
      <c r="U30" s="78"/>
      <c r="V30" s="79">
        <f>+V29-N29</f>
        <v>617027</v>
      </c>
      <c r="W30" s="80"/>
      <c r="X30" s="80"/>
      <c r="Y30" s="20" t="s">
        <v>80</v>
      </c>
    </row>
  </sheetData>
  <mergeCells count="146">
    <mergeCell ref="B8:E8"/>
    <mergeCell ref="F8:H8"/>
    <mergeCell ref="J8:M8"/>
    <mergeCell ref="N8:P8"/>
    <mergeCell ref="R8:U8"/>
    <mergeCell ref="V8:X8"/>
    <mergeCell ref="B2:Y2"/>
    <mergeCell ref="B4:I4"/>
    <mergeCell ref="T4:V4"/>
    <mergeCell ref="W4:Y4"/>
    <mergeCell ref="B6:C6"/>
    <mergeCell ref="D6:L6"/>
    <mergeCell ref="N6:O6"/>
    <mergeCell ref="P6:X6"/>
    <mergeCell ref="B10:E10"/>
    <mergeCell ref="F10:H10"/>
    <mergeCell ref="J10:M10"/>
    <mergeCell ref="N10:P10"/>
    <mergeCell ref="R10:U10"/>
    <mergeCell ref="V10:X10"/>
    <mergeCell ref="B9:E9"/>
    <mergeCell ref="F9:H9"/>
    <mergeCell ref="J9:M9"/>
    <mergeCell ref="N9:P9"/>
    <mergeCell ref="R9:U9"/>
    <mergeCell ref="V9:X9"/>
    <mergeCell ref="B12:E12"/>
    <mergeCell ref="F12:H12"/>
    <mergeCell ref="J12:M12"/>
    <mergeCell ref="N12:P12"/>
    <mergeCell ref="R12:U12"/>
    <mergeCell ref="V12:X12"/>
    <mergeCell ref="B11:E11"/>
    <mergeCell ref="F11:H11"/>
    <mergeCell ref="J11:M11"/>
    <mergeCell ref="N11:P11"/>
    <mergeCell ref="R11:U11"/>
    <mergeCell ref="V11:X11"/>
    <mergeCell ref="B14:E14"/>
    <mergeCell ref="F14:H14"/>
    <mergeCell ref="J14:M14"/>
    <mergeCell ref="N14:P14"/>
    <mergeCell ref="R14:U14"/>
    <mergeCell ref="V14:X14"/>
    <mergeCell ref="B13:E13"/>
    <mergeCell ref="F13:H13"/>
    <mergeCell ref="J13:M13"/>
    <mergeCell ref="N13:P13"/>
    <mergeCell ref="R13:U13"/>
    <mergeCell ref="V13:X13"/>
    <mergeCell ref="B16:E16"/>
    <mergeCell ref="F16:H16"/>
    <mergeCell ref="J16:M16"/>
    <mergeCell ref="N16:P16"/>
    <mergeCell ref="R16:U16"/>
    <mergeCell ref="V16:X16"/>
    <mergeCell ref="B15:E15"/>
    <mergeCell ref="F15:H15"/>
    <mergeCell ref="J15:M15"/>
    <mergeCell ref="N15:P15"/>
    <mergeCell ref="R15:U15"/>
    <mergeCell ref="V15:X15"/>
    <mergeCell ref="B18:E18"/>
    <mergeCell ref="F18:H18"/>
    <mergeCell ref="J18:M18"/>
    <mergeCell ref="N18:P18"/>
    <mergeCell ref="R18:U18"/>
    <mergeCell ref="V18:X18"/>
    <mergeCell ref="B17:E17"/>
    <mergeCell ref="F17:H17"/>
    <mergeCell ref="J17:M17"/>
    <mergeCell ref="N17:P17"/>
    <mergeCell ref="R17:U17"/>
    <mergeCell ref="V17:X17"/>
    <mergeCell ref="B20:E20"/>
    <mergeCell ref="F20:H20"/>
    <mergeCell ref="J20:M20"/>
    <mergeCell ref="N20:P20"/>
    <mergeCell ref="R20:U20"/>
    <mergeCell ref="V20:X20"/>
    <mergeCell ref="B19:E19"/>
    <mergeCell ref="F19:H19"/>
    <mergeCell ref="J19:M19"/>
    <mergeCell ref="N19:P19"/>
    <mergeCell ref="R19:U19"/>
    <mergeCell ref="V19:X19"/>
    <mergeCell ref="B22:E22"/>
    <mergeCell ref="F22:H22"/>
    <mergeCell ref="J22:M22"/>
    <mergeCell ref="N22:P22"/>
    <mergeCell ref="R22:U22"/>
    <mergeCell ref="V22:X22"/>
    <mergeCell ref="B21:E21"/>
    <mergeCell ref="F21:H21"/>
    <mergeCell ref="J21:M21"/>
    <mergeCell ref="N21:P21"/>
    <mergeCell ref="R21:U21"/>
    <mergeCell ref="V21:X21"/>
    <mergeCell ref="B24:E24"/>
    <mergeCell ref="F24:H24"/>
    <mergeCell ref="J24:M24"/>
    <mergeCell ref="N24:P24"/>
    <mergeCell ref="R24:U24"/>
    <mergeCell ref="V24:X24"/>
    <mergeCell ref="B23:E23"/>
    <mergeCell ref="F23:H23"/>
    <mergeCell ref="J23:M23"/>
    <mergeCell ref="N23:P23"/>
    <mergeCell ref="R23:U23"/>
    <mergeCell ref="V23:X23"/>
    <mergeCell ref="B26:E26"/>
    <mergeCell ref="F26:H26"/>
    <mergeCell ref="J26:M26"/>
    <mergeCell ref="N26:P26"/>
    <mergeCell ref="R26:U26"/>
    <mergeCell ref="V26:X26"/>
    <mergeCell ref="B25:E25"/>
    <mergeCell ref="F25:H25"/>
    <mergeCell ref="J25:M25"/>
    <mergeCell ref="N25:P25"/>
    <mergeCell ref="R25:U25"/>
    <mergeCell ref="V25:X25"/>
    <mergeCell ref="B28:E28"/>
    <mergeCell ref="F28:H28"/>
    <mergeCell ref="J28:M28"/>
    <mergeCell ref="N28:P28"/>
    <mergeCell ref="R28:U28"/>
    <mergeCell ref="V28:X28"/>
    <mergeCell ref="B27:E27"/>
    <mergeCell ref="F27:H27"/>
    <mergeCell ref="J27:M27"/>
    <mergeCell ref="N27:P27"/>
    <mergeCell ref="R27:U27"/>
    <mergeCell ref="V27:X27"/>
    <mergeCell ref="B30:E30"/>
    <mergeCell ref="F30:H30"/>
    <mergeCell ref="J30:M30"/>
    <mergeCell ref="N30:P30"/>
    <mergeCell ref="R30:U30"/>
    <mergeCell ref="V30:X30"/>
    <mergeCell ref="B29:E29"/>
    <mergeCell ref="F29:H29"/>
    <mergeCell ref="J29:M29"/>
    <mergeCell ref="N29:P29"/>
    <mergeCell ref="R29:U29"/>
    <mergeCell ref="V29:X29"/>
  </mergeCells>
  <phoneticPr fontId="3" type="noConversion"/>
  <pageMargins left="0.7" right="0.7" top="0.75" bottom="0.75" header="0.3" footer="0.3"/>
  <pageSetup paperSize="9" scale="93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A5107-75E4-46D4-AB21-26079104765C}">
  <sheetPr codeName="Sheet6"/>
  <dimension ref="A1:J1048576"/>
  <sheetViews>
    <sheetView showGridLines="0" workbookViewId="0">
      <selection activeCell="J33" sqref="J33"/>
    </sheetView>
  </sheetViews>
  <sheetFormatPr defaultColWidth="11" defaultRowHeight="15.75"/>
  <cols>
    <col min="1" max="1" width="6" style="2" bestFit="1" customWidth="1"/>
    <col min="2" max="4" width="11" style="2"/>
    <col min="5" max="6" width="14.125" style="2" bestFit="1" customWidth="1"/>
    <col min="7" max="16384" width="11" style="2"/>
  </cols>
  <sheetData>
    <row r="1" spans="1:10">
      <c r="A1" s="1" t="s">
        <v>0</v>
      </c>
      <c r="B1" s="1" t="s">
        <v>52</v>
      </c>
      <c r="C1" s="1" t="s">
        <v>117</v>
      </c>
      <c r="D1" s="1" t="s">
        <v>118</v>
      </c>
      <c r="E1" s="1" t="s">
        <v>119</v>
      </c>
      <c r="F1" s="1" t="s">
        <v>120</v>
      </c>
      <c r="I1" s="1" t="s">
        <v>229</v>
      </c>
      <c r="J1" s="1" t="s">
        <v>230</v>
      </c>
    </row>
    <row r="2" spans="1:10">
      <c r="A2" s="3">
        <v>1</v>
      </c>
      <c r="B2" s="3" t="s">
        <v>19</v>
      </c>
      <c r="C2" s="3"/>
      <c r="D2" s="3" t="s">
        <v>231</v>
      </c>
      <c r="E2" s="21"/>
      <c r="F2" s="21">
        <v>0.08</v>
      </c>
      <c r="H2" s="2" t="s">
        <v>228</v>
      </c>
      <c r="I2" s="2">
        <f>紀恒!AC16+李学强!AC16+高明宇!AC16+马骏!AC16+李婷!AC16+熊高升!AC16+赵远!AC16+尹嘉辉!AC16+殷汉奇!AC16</f>
        <v>3327851</v>
      </c>
      <c r="J2" s="2">
        <f>李婷!AD16+尹嘉辉!AD16</f>
        <v>100205</v>
      </c>
    </row>
    <row r="3" spans="1:10">
      <c r="A3" s="3">
        <f t="shared" ref="A3:A10" si="0">ROW()-1</f>
        <v>2</v>
      </c>
      <c r="B3" s="3" t="s">
        <v>30</v>
      </c>
      <c r="C3" s="3"/>
      <c r="D3" s="3" t="s">
        <v>228</v>
      </c>
      <c r="E3" s="21"/>
      <c r="F3" s="21">
        <v>0.08</v>
      </c>
      <c r="H3" s="2" t="s">
        <v>232</v>
      </c>
      <c r="J3" s="2">
        <f>马骏!AD16+高明宇!AD16</f>
        <v>181826</v>
      </c>
    </row>
    <row r="4" spans="1:10">
      <c r="A4" s="3">
        <f t="shared" si="0"/>
        <v>3</v>
      </c>
      <c r="B4" s="3" t="s">
        <v>33</v>
      </c>
      <c r="C4" s="3"/>
      <c r="D4" s="3" t="s">
        <v>228</v>
      </c>
      <c r="E4" s="21"/>
      <c r="F4" s="21">
        <v>0.08</v>
      </c>
    </row>
    <row r="5" spans="1:10">
      <c r="A5" s="3">
        <f t="shared" si="0"/>
        <v>4</v>
      </c>
      <c r="B5" s="3" t="s">
        <v>36</v>
      </c>
      <c r="C5" s="3"/>
      <c r="D5" s="3" t="s">
        <v>228</v>
      </c>
      <c r="E5" s="21"/>
      <c r="F5" s="21">
        <v>0.08</v>
      </c>
    </row>
    <row r="6" spans="1:10">
      <c r="A6" s="3">
        <f t="shared" si="0"/>
        <v>5</v>
      </c>
      <c r="B6" s="3" t="s">
        <v>40</v>
      </c>
      <c r="C6" s="3" t="s">
        <v>13</v>
      </c>
      <c r="D6" s="3" t="s">
        <v>228</v>
      </c>
      <c r="E6" s="21">
        <v>0.2</v>
      </c>
      <c r="F6" s="21">
        <v>0.08</v>
      </c>
    </row>
    <row r="7" spans="1:10">
      <c r="A7" s="3">
        <f t="shared" si="0"/>
        <v>6</v>
      </c>
      <c r="B7" s="3" t="s">
        <v>43</v>
      </c>
      <c r="C7" s="3" t="s">
        <v>13</v>
      </c>
      <c r="D7" s="3" t="s">
        <v>228</v>
      </c>
      <c r="E7" s="21">
        <v>0.2</v>
      </c>
      <c r="F7" s="21">
        <v>0.08</v>
      </c>
    </row>
    <row r="8" spans="1:10">
      <c r="A8" s="3">
        <f t="shared" si="0"/>
        <v>7</v>
      </c>
      <c r="B8" s="3" t="s">
        <v>45</v>
      </c>
      <c r="C8" s="3" t="s">
        <v>17</v>
      </c>
      <c r="D8" s="3" t="s">
        <v>228</v>
      </c>
      <c r="E8" s="21">
        <v>0.2</v>
      </c>
      <c r="F8" s="21">
        <v>0.08</v>
      </c>
    </row>
    <row r="9" spans="1:10">
      <c r="A9" s="3">
        <f t="shared" si="0"/>
        <v>8</v>
      </c>
      <c r="B9" s="3" t="s">
        <v>226</v>
      </c>
      <c r="C9" s="3"/>
      <c r="D9" s="3" t="s">
        <v>228</v>
      </c>
      <c r="E9" s="21"/>
      <c r="F9" s="21">
        <v>0.08</v>
      </c>
    </row>
    <row r="10" spans="1:10">
      <c r="A10" s="3">
        <f t="shared" si="0"/>
        <v>9</v>
      </c>
      <c r="B10" s="3" t="s">
        <v>47</v>
      </c>
      <c r="C10" s="3" t="s">
        <v>17</v>
      </c>
      <c r="D10" s="3" t="s">
        <v>228</v>
      </c>
      <c r="E10" s="21">
        <v>0.2</v>
      </c>
      <c r="F10" s="21">
        <v>0.08</v>
      </c>
    </row>
    <row r="11" spans="1:10">
      <c r="B11" s="22"/>
    </row>
    <row r="12" spans="1:10">
      <c r="E12" s="2" t="s">
        <v>158</v>
      </c>
      <c r="F12" s="2" t="s">
        <v>159</v>
      </c>
    </row>
    <row r="1048576" spans="1:1">
      <c r="A1048576" s="3"/>
    </row>
  </sheetData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95DFA-FA32-4708-A7E2-6DD0FBEB5486}">
  <sheetPr codeName="Sheet8"/>
  <dimension ref="A1:AE19"/>
  <sheetViews>
    <sheetView workbookViewId="0">
      <selection activeCell="C17" sqref="C17"/>
    </sheetView>
  </sheetViews>
  <sheetFormatPr defaultColWidth="8.875" defaultRowHeight="14.25"/>
  <cols>
    <col min="1" max="1" width="9" style="7"/>
    <col min="2" max="2" width="11.625" style="7" customWidth="1"/>
    <col min="6" max="8" width="9.625" bestFit="1" customWidth="1"/>
    <col min="10" max="10" width="9.625" bestFit="1" customWidth="1"/>
    <col min="12" max="12" width="11.875" bestFit="1" customWidth="1"/>
    <col min="13" max="14" width="11.125" customWidth="1"/>
    <col min="15" max="15" width="3.125" customWidth="1"/>
    <col min="16" max="16" width="9.625" bestFit="1" customWidth="1"/>
    <col min="19" max="19" width="9.625" bestFit="1" customWidth="1"/>
    <col min="21" max="23" width="9.625" bestFit="1" customWidth="1"/>
    <col min="24" max="24" width="11.125" bestFit="1" customWidth="1"/>
    <col min="25" max="27" width="11.125" customWidth="1"/>
    <col min="28" max="28" width="9.625" bestFit="1" customWidth="1"/>
    <col min="29" max="30" width="9.125" customWidth="1"/>
    <col min="31" max="31" width="9" bestFit="1" customWidth="1"/>
  </cols>
  <sheetData>
    <row r="1" spans="1:31" ht="15.75">
      <c r="A1" s="118" t="s">
        <v>0</v>
      </c>
      <c r="B1" s="118" t="s">
        <v>131</v>
      </c>
      <c r="C1" s="120" t="s">
        <v>127</v>
      </c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33" t="s">
        <v>225</v>
      </c>
      <c r="P1" s="113" t="s">
        <v>150</v>
      </c>
      <c r="Q1" s="122"/>
      <c r="R1" s="118" t="s">
        <v>219</v>
      </c>
      <c r="S1" s="123" t="s">
        <v>151</v>
      </c>
      <c r="T1" s="124"/>
      <c r="U1" s="124"/>
      <c r="V1" s="124"/>
      <c r="W1" s="124"/>
      <c r="X1" s="125"/>
      <c r="Y1" s="113" t="s">
        <v>215</v>
      </c>
      <c r="Z1" s="114"/>
      <c r="AA1" s="114"/>
      <c r="AB1" s="114"/>
      <c r="AC1" s="115" t="s">
        <v>160</v>
      </c>
      <c r="AD1" s="116"/>
      <c r="AE1" s="117"/>
    </row>
    <row r="2" spans="1:31" ht="15.75">
      <c r="A2" s="119"/>
      <c r="B2" s="119"/>
      <c r="C2" s="33" t="s">
        <v>121</v>
      </c>
      <c r="D2" s="33" t="s">
        <v>122</v>
      </c>
      <c r="E2" s="33" t="s">
        <v>130</v>
      </c>
      <c r="F2" s="33" t="s">
        <v>128</v>
      </c>
      <c r="G2" s="33" t="s">
        <v>129</v>
      </c>
      <c r="H2" s="33" t="s">
        <v>123</v>
      </c>
      <c r="I2" s="33" t="s">
        <v>124</v>
      </c>
      <c r="J2" s="33" t="s">
        <v>125</v>
      </c>
      <c r="K2" s="33" t="s">
        <v>126</v>
      </c>
      <c r="L2" s="33" t="s">
        <v>161</v>
      </c>
      <c r="M2" s="33" t="s">
        <v>145</v>
      </c>
      <c r="N2" s="33" t="s">
        <v>127</v>
      </c>
      <c r="P2" s="29" t="s">
        <v>149</v>
      </c>
      <c r="Q2" s="29" t="s">
        <v>146</v>
      </c>
      <c r="R2" s="119"/>
      <c r="S2" s="29" t="s">
        <v>220</v>
      </c>
      <c r="T2" s="29" t="s">
        <v>154</v>
      </c>
      <c r="U2" s="29" t="s">
        <v>152</v>
      </c>
      <c r="V2" s="29" t="s">
        <v>147</v>
      </c>
      <c r="W2" s="29" t="s">
        <v>153</v>
      </c>
      <c r="X2" s="29" t="s">
        <v>148</v>
      </c>
      <c r="Y2" s="29" t="s">
        <v>217</v>
      </c>
      <c r="Z2" s="29" t="s">
        <v>218</v>
      </c>
      <c r="AA2" s="29" t="s">
        <v>214</v>
      </c>
      <c r="AB2" s="29" t="s">
        <v>216</v>
      </c>
      <c r="AC2" s="30" t="s">
        <v>156</v>
      </c>
      <c r="AD2" s="30" t="s">
        <v>157</v>
      </c>
      <c r="AE2" s="30" t="s">
        <v>222</v>
      </c>
    </row>
    <row r="3" spans="1:31">
      <c r="A3" s="24">
        <f>ROW()-2</f>
        <v>1</v>
      </c>
      <c r="B3" s="26" t="s">
        <v>132</v>
      </c>
      <c r="C3" s="28"/>
      <c r="D3" s="28"/>
      <c r="E3" s="23"/>
      <c r="F3" s="23"/>
      <c r="G3" s="23"/>
      <c r="H3" s="24"/>
      <c r="I3" s="24"/>
      <c r="J3" s="24"/>
      <c r="K3" s="24"/>
      <c r="L3" s="24"/>
      <c r="M3" s="24"/>
      <c r="N3" s="24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</row>
    <row r="4" spans="1:31">
      <c r="A4" s="24">
        <f>ROW()-2</f>
        <v>2</v>
      </c>
      <c r="B4" s="26" t="s">
        <v>133</v>
      </c>
      <c r="C4" s="28"/>
      <c r="D4" s="28"/>
      <c r="E4" s="23"/>
      <c r="F4" s="23"/>
      <c r="G4" s="23"/>
      <c r="H4" s="24"/>
      <c r="I4" s="24"/>
      <c r="J4" s="24"/>
      <c r="K4" s="24"/>
      <c r="L4" s="24"/>
      <c r="M4" s="24"/>
      <c r="N4" s="24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</row>
    <row r="5" spans="1:31">
      <c r="A5" s="24">
        <f t="shared" ref="A5:A15" si="0">ROW()-2</f>
        <v>3</v>
      </c>
      <c r="B5" s="26" t="s">
        <v>134</v>
      </c>
      <c r="C5" s="28"/>
      <c r="D5" s="28"/>
      <c r="E5" s="23"/>
      <c r="F5" s="23"/>
      <c r="G5" s="23"/>
      <c r="H5" s="24"/>
      <c r="I5" s="24"/>
      <c r="J5" s="24"/>
      <c r="K5" s="24"/>
      <c r="L5" s="24"/>
      <c r="M5" s="24"/>
      <c r="N5" s="24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</row>
    <row r="6" spans="1:31">
      <c r="A6" s="24">
        <f t="shared" si="0"/>
        <v>4</v>
      </c>
      <c r="B6" s="26" t="s">
        <v>135</v>
      </c>
      <c r="C6" s="28"/>
      <c r="D6" s="28"/>
      <c r="E6" s="23"/>
      <c r="F6" s="25"/>
      <c r="G6" s="23"/>
      <c r="H6" s="24"/>
      <c r="I6" s="24"/>
      <c r="J6" s="24"/>
      <c r="K6" s="24"/>
      <c r="L6" s="24"/>
      <c r="M6" s="24"/>
      <c r="N6" s="24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</row>
    <row r="7" spans="1:31">
      <c r="A7" s="24">
        <f t="shared" si="0"/>
        <v>5</v>
      </c>
      <c r="B7" s="26" t="s">
        <v>136</v>
      </c>
      <c r="C7" s="28"/>
      <c r="D7" s="28"/>
      <c r="E7" s="23"/>
      <c r="F7" s="23"/>
      <c r="G7" s="24"/>
      <c r="H7" s="24"/>
      <c r="I7" s="24"/>
      <c r="J7" s="24"/>
      <c r="K7" s="24"/>
      <c r="L7" s="24"/>
      <c r="M7" s="24"/>
      <c r="N7" s="24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</row>
    <row r="8" spans="1:31">
      <c r="A8" s="24">
        <f t="shared" si="0"/>
        <v>6</v>
      </c>
      <c r="B8" s="26" t="s">
        <v>137</v>
      </c>
      <c r="C8" s="28"/>
      <c r="D8" s="28"/>
      <c r="E8" s="23"/>
      <c r="F8" s="24"/>
      <c r="G8" s="24"/>
      <c r="H8" s="24"/>
      <c r="I8" s="24"/>
      <c r="J8" s="24"/>
      <c r="K8" s="24"/>
      <c r="L8" s="24"/>
      <c r="M8" s="24"/>
      <c r="N8" s="24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</row>
    <row r="9" spans="1:31">
      <c r="A9" s="24">
        <f t="shared" si="0"/>
        <v>7</v>
      </c>
      <c r="B9" s="26" t="s">
        <v>138</v>
      </c>
      <c r="C9" s="28">
        <v>660000</v>
      </c>
      <c r="D9" s="28">
        <v>300000</v>
      </c>
      <c r="E9" s="23"/>
      <c r="F9" s="24">
        <v>18</v>
      </c>
      <c r="G9" s="24">
        <v>18</v>
      </c>
      <c r="H9" s="24">
        <v>156</v>
      </c>
      <c r="I9" s="24">
        <v>150</v>
      </c>
      <c r="J9" s="24">
        <v>190</v>
      </c>
      <c r="K9" s="24">
        <v>2</v>
      </c>
      <c r="L9" s="41"/>
      <c r="M9" s="24"/>
      <c r="N9" s="24">
        <v>300000</v>
      </c>
      <c r="P9" s="31">
        <v>660000</v>
      </c>
      <c r="Q9" s="31">
        <v>66000</v>
      </c>
      <c r="R9" s="31">
        <v>300000</v>
      </c>
      <c r="S9" s="31">
        <v>251490</v>
      </c>
      <c r="T9" s="31"/>
      <c r="U9" s="31">
        <v>3510</v>
      </c>
      <c r="V9" s="31">
        <v>14850</v>
      </c>
      <c r="W9" s="31">
        <v>27450</v>
      </c>
      <c r="X9" s="31">
        <v>2700</v>
      </c>
      <c r="Y9" s="31"/>
      <c r="Z9" s="31"/>
      <c r="AA9" s="31"/>
      <c r="AB9" s="31"/>
      <c r="AC9" s="31">
        <v>52800</v>
      </c>
      <c r="AD9" s="31"/>
      <c r="AE9" s="31">
        <v>373200</v>
      </c>
    </row>
    <row r="10" spans="1:31">
      <c r="A10" s="24">
        <f t="shared" si="0"/>
        <v>8</v>
      </c>
      <c r="B10" s="26" t="s">
        <v>139</v>
      </c>
      <c r="C10" s="28">
        <v>660000</v>
      </c>
      <c r="D10" s="28">
        <v>600000</v>
      </c>
      <c r="E10" s="23"/>
      <c r="F10" s="24">
        <v>21</v>
      </c>
      <c r="G10" s="24">
        <v>19</v>
      </c>
      <c r="H10" s="24">
        <v>162</v>
      </c>
      <c r="I10" s="24">
        <v>150</v>
      </c>
      <c r="J10" s="24">
        <v>190</v>
      </c>
      <c r="K10" s="24">
        <v>2</v>
      </c>
      <c r="L10" s="41"/>
      <c r="M10" s="24">
        <f t="shared" ref="M10:M15" si="1">P10-R10</f>
        <v>60000</v>
      </c>
      <c r="N10" s="28">
        <v>600000</v>
      </c>
      <c r="P10" s="31">
        <v>660000</v>
      </c>
      <c r="Q10" s="31">
        <v>66000</v>
      </c>
      <c r="R10" s="31">
        <v>600000</v>
      </c>
      <c r="S10" s="31">
        <v>492310</v>
      </c>
      <c r="T10" s="31"/>
      <c r="U10" s="31">
        <v>19100</v>
      </c>
      <c r="V10" s="31">
        <v>29205</v>
      </c>
      <c r="W10" s="31">
        <v>53985</v>
      </c>
      <c r="X10" s="31">
        <v>5400</v>
      </c>
      <c r="Y10" s="31"/>
      <c r="Z10" s="31"/>
      <c r="AA10" s="31"/>
      <c r="AB10" s="31"/>
      <c r="AC10" s="31">
        <v>52800</v>
      </c>
      <c r="AD10" s="31"/>
      <c r="AE10" s="31"/>
    </row>
    <row r="11" spans="1:31">
      <c r="A11" s="24">
        <f t="shared" si="0"/>
        <v>9</v>
      </c>
      <c r="B11" s="26" t="s">
        <v>140</v>
      </c>
      <c r="C11" s="28">
        <v>660000</v>
      </c>
      <c r="D11" s="28">
        <v>600000</v>
      </c>
      <c r="E11" s="24"/>
      <c r="F11" s="24">
        <v>19</v>
      </c>
      <c r="G11" s="24">
        <v>19</v>
      </c>
      <c r="H11" s="57">
        <v>157.5</v>
      </c>
      <c r="I11" s="24">
        <v>150</v>
      </c>
      <c r="J11" s="24">
        <v>190</v>
      </c>
      <c r="K11" s="24">
        <v>2</v>
      </c>
      <c r="L11" s="24"/>
      <c r="M11" s="24">
        <f t="shared" si="1"/>
        <v>60000</v>
      </c>
      <c r="N11" s="28">
        <v>600000</v>
      </c>
      <c r="P11" s="31">
        <v>660000</v>
      </c>
      <c r="Q11" s="31">
        <v>66000</v>
      </c>
      <c r="R11" s="31">
        <v>600000</v>
      </c>
      <c r="S11" s="31">
        <v>492310</v>
      </c>
      <c r="T11" s="31"/>
      <c r="U11" s="31">
        <v>19100</v>
      </c>
      <c r="V11" s="31">
        <v>29205</v>
      </c>
      <c r="W11" s="31">
        <v>53985</v>
      </c>
      <c r="X11" s="31">
        <v>5400</v>
      </c>
      <c r="Y11" s="31"/>
      <c r="Z11" s="31"/>
      <c r="AA11" s="31"/>
      <c r="AB11" s="31"/>
      <c r="AC11" s="31">
        <v>52800</v>
      </c>
      <c r="AD11" s="31"/>
      <c r="AE11" s="31"/>
    </row>
    <row r="12" spans="1:31">
      <c r="A12" s="24">
        <f t="shared" si="0"/>
        <v>10</v>
      </c>
      <c r="B12" s="26" t="s">
        <v>141</v>
      </c>
      <c r="C12" s="28"/>
      <c r="D12" s="28">
        <v>600000</v>
      </c>
      <c r="E12" s="24"/>
      <c r="F12" s="24">
        <v>20</v>
      </c>
      <c r="G12" s="24">
        <v>6</v>
      </c>
      <c r="H12" s="24"/>
      <c r="I12" s="24"/>
      <c r="J12" s="24"/>
      <c r="K12" s="24">
        <v>2</v>
      </c>
      <c r="L12" s="24"/>
      <c r="M12" s="24">
        <f t="shared" si="1"/>
        <v>18000</v>
      </c>
      <c r="N12" s="28">
        <v>600000</v>
      </c>
      <c r="P12" s="31">
        <f>660000/F12*G12</f>
        <v>198000</v>
      </c>
      <c r="Q12" s="31">
        <f>P12*0.1</f>
        <v>19800</v>
      </c>
      <c r="R12" s="31">
        <f>D12/F12*G12</f>
        <v>180000</v>
      </c>
      <c r="S12" s="31">
        <f>R12-V12-W12-X12</f>
        <v>95190</v>
      </c>
      <c r="T12" s="31"/>
      <c r="U12" s="31"/>
      <c r="V12" s="31">
        <v>29205</v>
      </c>
      <c r="W12" s="31">
        <v>53985</v>
      </c>
      <c r="X12" s="31">
        <f>R12*0.009</f>
        <v>1619.9999999999998</v>
      </c>
      <c r="Y12" s="31"/>
      <c r="Z12" s="31"/>
      <c r="AA12" s="31"/>
      <c r="AB12" s="31">
        <f>D12-R12</f>
        <v>420000</v>
      </c>
      <c r="AC12" s="31">
        <f>P12*0.08</f>
        <v>15840</v>
      </c>
      <c r="AD12" s="31"/>
      <c r="AE12" s="31"/>
    </row>
    <row r="13" spans="1:31">
      <c r="A13" s="24">
        <f t="shared" si="0"/>
        <v>11</v>
      </c>
      <c r="B13" s="26" t="s">
        <v>142</v>
      </c>
      <c r="C13" s="28">
        <v>660000</v>
      </c>
      <c r="D13" s="28">
        <v>400000</v>
      </c>
      <c r="E13" s="24"/>
      <c r="F13" s="24">
        <v>22</v>
      </c>
      <c r="G13" s="24">
        <v>20</v>
      </c>
      <c r="H13" s="24">
        <v>170</v>
      </c>
      <c r="I13" s="24">
        <v>150</v>
      </c>
      <c r="J13" s="24">
        <v>190</v>
      </c>
      <c r="K13" s="24">
        <v>2</v>
      </c>
      <c r="L13" s="24"/>
      <c r="M13" s="24">
        <v>260000</v>
      </c>
      <c r="N13" s="28">
        <v>400000</v>
      </c>
      <c r="P13" s="31">
        <v>660000</v>
      </c>
      <c r="Q13" s="31">
        <v>66000</v>
      </c>
      <c r="R13" s="31">
        <v>400000</v>
      </c>
      <c r="S13" s="31">
        <v>331870</v>
      </c>
      <c r="T13" s="31"/>
      <c r="U13" s="31">
        <v>6720</v>
      </c>
      <c r="V13" s="31">
        <v>20295</v>
      </c>
      <c r="W13" s="31">
        <v>37515</v>
      </c>
      <c r="X13" s="31">
        <v>3600</v>
      </c>
      <c r="Y13" s="31"/>
      <c r="Z13" s="31"/>
      <c r="AA13" s="31"/>
      <c r="AB13" s="31"/>
      <c r="AC13" s="31">
        <v>52800</v>
      </c>
      <c r="AD13" s="31"/>
      <c r="AE13" s="31"/>
    </row>
    <row r="14" spans="1:31">
      <c r="A14" s="24">
        <f t="shared" si="0"/>
        <v>12</v>
      </c>
      <c r="B14" s="26" t="s">
        <v>143</v>
      </c>
      <c r="C14" s="28">
        <v>660000</v>
      </c>
      <c r="D14" s="28">
        <v>400000</v>
      </c>
      <c r="E14" s="24"/>
      <c r="F14" s="24">
        <v>19</v>
      </c>
      <c r="G14" s="24">
        <v>17</v>
      </c>
      <c r="H14" s="24">
        <v>170</v>
      </c>
      <c r="I14" s="24">
        <v>150</v>
      </c>
      <c r="J14" s="24">
        <v>190</v>
      </c>
      <c r="K14" s="24">
        <v>2</v>
      </c>
      <c r="L14" s="24"/>
      <c r="M14" s="24">
        <v>260000</v>
      </c>
      <c r="N14" s="28">
        <v>400000</v>
      </c>
      <c r="P14" s="31">
        <v>660000</v>
      </c>
      <c r="Q14" s="31">
        <v>66000</v>
      </c>
      <c r="R14" s="31">
        <v>400000</v>
      </c>
      <c r="S14" s="31">
        <v>331870</v>
      </c>
      <c r="T14" s="31"/>
      <c r="U14" s="31">
        <v>6720</v>
      </c>
      <c r="V14" s="31">
        <v>20295</v>
      </c>
      <c r="W14" s="31">
        <v>37515</v>
      </c>
      <c r="X14" s="31">
        <v>3600</v>
      </c>
      <c r="Y14" s="31"/>
      <c r="Z14" s="31"/>
      <c r="AA14" s="31"/>
      <c r="AB14" s="31"/>
      <c r="AC14" s="31">
        <v>52800</v>
      </c>
      <c r="AD14" s="31"/>
      <c r="AE14" s="31"/>
    </row>
    <row r="15" spans="1:31">
      <c r="A15" s="24">
        <f t="shared" si="0"/>
        <v>13</v>
      </c>
      <c r="B15" s="26" t="s">
        <v>144</v>
      </c>
      <c r="C15" s="28">
        <v>660000</v>
      </c>
      <c r="D15" s="28">
        <v>400000</v>
      </c>
      <c r="E15" s="24"/>
      <c r="F15" s="24">
        <v>19</v>
      </c>
      <c r="G15" s="24">
        <v>17</v>
      </c>
      <c r="H15" s="24">
        <v>150</v>
      </c>
      <c r="I15" s="24">
        <v>150</v>
      </c>
      <c r="J15" s="24">
        <v>190</v>
      </c>
      <c r="K15" s="24">
        <v>2</v>
      </c>
      <c r="L15" s="24"/>
      <c r="M15" s="24">
        <v>260000</v>
      </c>
      <c r="N15" s="28">
        <v>400000</v>
      </c>
      <c r="P15" s="31">
        <v>660000</v>
      </c>
      <c r="Q15" s="31">
        <v>66000</v>
      </c>
      <c r="R15" s="31">
        <v>1318000</v>
      </c>
      <c r="S15" s="31">
        <v>1139788</v>
      </c>
      <c r="T15" s="31">
        <v>918000</v>
      </c>
      <c r="U15" s="31">
        <v>108540</v>
      </c>
      <c r="V15" s="31">
        <v>20295</v>
      </c>
      <c r="W15" s="31">
        <v>37515</v>
      </c>
      <c r="X15" s="31">
        <v>11862</v>
      </c>
      <c r="Y15" s="31"/>
      <c r="Z15" s="31"/>
      <c r="AA15" s="31"/>
      <c r="AB15" s="31"/>
      <c r="AC15" s="31">
        <v>52800</v>
      </c>
      <c r="AD15" s="31"/>
      <c r="AE15" s="31"/>
    </row>
    <row r="16" spans="1:31">
      <c r="R16">
        <f>SUM(R3:R15)</f>
        <v>3798000</v>
      </c>
      <c r="AC16">
        <f>SUM(AC3:AC15)</f>
        <v>332640</v>
      </c>
    </row>
    <row r="17" spans="1:30">
      <c r="M17" t="s">
        <v>155</v>
      </c>
    </row>
    <row r="18" spans="1:30">
      <c r="B18" s="7">
        <f>SUM(C3:C15)</f>
        <v>3960000</v>
      </c>
      <c r="D18">
        <f>R16</f>
        <v>3798000</v>
      </c>
      <c r="AC18" t="s">
        <v>223</v>
      </c>
    </row>
    <row r="19" spans="1:30">
      <c r="A19" s="7" t="s">
        <v>239</v>
      </c>
      <c r="B19" s="126">
        <v>3990000</v>
      </c>
      <c r="L19" t="s">
        <v>162</v>
      </c>
      <c r="T19" t="s">
        <v>170</v>
      </c>
      <c r="X19" t="s">
        <v>237</v>
      </c>
      <c r="AD19" s="51" t="s">
        <v>224</v>
      </c>
    </row>
  </sheetData>
  <mergeCells count="8">
    <mergeCell ref="Y1:AB1"/>
    <mergeCell ref="AC1:AE1"/>
    <mergeCell ref="A1:A2"/>
    <mergeCell ref="B1:B2"/>
    <mergeCell ref="C1:M1"/>
    <mergeCell ref="P1:Q1"/>
    <mergeCell ref="R1:R2"/>
    <mergeCell ref="S1:X1"/>
  </mergeCells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94A23-10B4-4823-A98D-22591F93A786}">
  <sheetPr codeName="Sheet16"/>
  <dimension ref="A1:AE19"/>
  <sheetViews>
    <sheetView workbookViewId="0">
      <selection activeCell="C13" sqref="C13"/>
    </sheetView>
  </sheetViews>
  <sheetFormatPr defaultColWidth="8.875" defaultRowHeight="14.25"/>
  <cols>
    <col min="1" max="1" width="9" style="7"/>
    <col min="2" max="2" width="11.625" style="7" customWidth="1"/>
    <col min="6" max="8" width="9.625" bestFit="1" customWidth="1"/>
    <col min="10" max="10" width="9.625" bestFit="1" customWidth="1"/>
    <col min="12" max="12" width="11.875" bestFit="1" customWidth="1"/>
    <col min="13" max="14" width="11.125" customWidth="1"/>
    <col min="15" max="15" width="3.125" customWidth="1"/>
    <col min="16" max="16" width="9.625" bestFit="1" customWidth="1"/>
    <col min="19" max="19" width="9.625" bestFit="1" customWidth="1"/>
    <col min="21" max="23" width="9.625" bestFit="1" customWidth="1"/>
    <col min="24" max="24" width="11.125" bestFit="1" customWidth="1"/>
    <col min="25" max="27" width="11.125" customWidth="1"/>
    <col min="28" max="28" width="9.625" bestFit="1" customWidth="1"/>
    <col min="29" max="30" width="9.125" customWidth="1"/>
    <col min="31" max="31" width="9" bestFit="1" customWidth="1"/>
  </cols>
  <sheetData>
    <row r="1" spans="1:31" ht="15.75">
      <c r="A1" s="118" t="s">
        <v>0</v>
      </c>
      <c r="B1" s="118" t="s">
        <v>131</v>
      </c>
      <c r="C1" s="120" t="s">
        <v>127</v>
      </c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33" t="s">
        <v>225</v>
      </c>
      <c r="P1" s="113" t="s">
        <v>150</v>
      </c>
      <c r="Q1" s="122"/>
      <c r="R1" s="118" t="s">
        <v>219</v>
      </c>
      <c r="S1" s="123" t="s">
        <v>151</v>
      </c>
      <c r="T1" s="124"/>
      <c r="U1" s="124"/>
      <c r="V1" s="124"/>
      <c r="W1" s="124"/>
      <c r="X1" s="125"/>
      <c r="Y1" s="113" t="s">
        <v>215</v>
      </c>
      <c r="Z1" s="114"/>
      <c r="AA1" s="114"/>
      <c r="AB1" s="114"/>
      <c r="AC1" s="115" t="s">
        <v>160</v>
      </c>
      <c r="AD1" s="116"/>
      <c r="AE1" s="117"/>
    </row>
    <row r="2" spans="1:31" ht="15.75">
      <c r="A2" s="119"/>
      <c r="B2" s="119"/>
      <c r="C2" s="33" t="s">
        <v>121</v>
      </c>
      <c r="D2" s="33" t="s">
        <v>122</v>
      </c>
      <c r="E2" s="33" t="s">
        <v>130</v>
      </c>
      <c r="F2" s="33" t="s">
        <v>128</v>
      </c>
      <c r="G2" s="33" t="s">
        <v>129</v>
      </c>
      <c r="H2" s="33" t="s">
        <v>123</v>
      </c>
      <c r="I2" s="33" t="s">
        <v>124</v>
      </c>
      <c r="J2" s="33" t="s">
        <v>125</v>
      </c>
      <c r="K2" s="33" t="s">
        <v>126</v>
      </c>
      <c r="L2" s="33" t="s">
        <v>161</v>
      </c>
      <c r="M2" s="33" t="s">
        <v>145</v>
      </c>
      <c r="N2" s="33" t="s">
        <v>127</v>
      </c>
      <c r="P2" s="29" t="s">
        <v>149</v>
      </c>
      <c r="Q2" s="29" t="s">
        <v>146</v>
      </c>
      <c r="R2" s="119"/>
      <c r="S2" s="29" t="s">
        <v>220</v>
      </c>
      <c r="T2" s="29" t="s">
        <v>154</v>
      </c>
      <c r="U2" s="29" t="s">
        <v>152</v>
      </c>
      <c r="V2" s="29" t="s">
        <v>147</v>
      </c>
      <c r="W2" s="29" t="s">
        <v>153</v>
      </c>
      <c r="X2" s="29" t="s">
        <v>148</v>
      </c>
      <c r="Y2" s="29" t="s">
        <v>217</v>
      </c>
      <c r="Z2" s="29" t="s">
        <v>218</v>
      </c>
      <c r="AA2" s="29" t="s">
        <v>214</v>
      </c>
      <c r="AB2" s="29" t="s">
        <v>216</v>
      </c>
      <c r="AC2" s="30" t="s">
        <v>156</v>
      </c>
      <c r="AD2" s="30" t="s">
        <v>157</v>
      </c>
      <c r="AE2" s="30" t="s">
        <v>222</v>
      </c>
    </row>
    <row r="3" spans="1:31">
      <c r="A3" s="24">
        <f>ROW()-2</f>
        <v>1</v>
      </c>
      <c r="B3" s="26" t="s">
        <v>132</v>
      </c>
      <c r="C3" s="28"/>
      <c r="D3" s="28"/>
      <c r="E3" s="23"/>
      <c r="F3" s="23"/>
      <c r="G3" s="23"/>
      <c r="H3" s="24"/>
      <c r="I3" s="24"/>
      <c r="J3" s="24"/>
      <c r="K3" s="24"/>
      <c r="L3" s="24"/>
      <c r="M3" s="24"/>
      <c r="N3" s="24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</row>
    <row r="4" spans="1:31">
      <c r="A4" s="24">
        <f>ROW()-2</f>
        <v>2</v>
      </c>
      <c r="B4" s="26" t="s">
        <v>133</v>
      </c>
      <c r="C4" s="28"/>
      <c r="D4" s="28"/>
      <c r="E4" s="23"/>
      <c r="F4" s="23"/>
      <c r="G4" s="23"/>
      <c r="H4" s="24"/>
      <c r="I4" s="24"/>
      <c r="J4" s="24"/>
      <c r="K4" s="24"/>
      <c r="L4" s="24"/>
      <c r="M4" s="24"/>
      <c r="N4" s="24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</row>
    <row r="5" spans="1:31">
      <c r="A5" s="24">
        <f t="shared" ref="A5:A15" si="0">ROW()-2</f>
        <v>3</v>
      </c>
      <c r="B5" s="26" t="s">
        <v>134</v>
      </c>
      <c r="C5" s="28"/>
      <c r="D5" s="28"/>
      <c r="E5" s="23"/>
      <c r="F5" s="23"/>
      <c r="G5" s="23"/>
      <c r="H5" s="24"/>
      <c r="I5" s="24"/>
      <c r="J5" s="24"/>
      <c r="K5" s="24"/>
      <c r="L5" s="24"/>
      <c r="M5" s="24"/>
      <c r="N5" s="24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</row>
    <row r="6" spans="1:31">
      <c r="A6" s="24">
        <f t="shared" si="0"/>
        <v>4</v>
      </c>
      <c r="B6" s="26" t="s">
        <v>135</v>
      </c>
      <c r="C6" s="28"/>
      <c r="D6" s="28"/>
      <c r="E6" s="23"/>
      <c r="F6" s="25"/>
      <c r="G6" s="23"/>
      <c r="H6" s="24"/>
      <c r="I6" s="24"/>
      <c r="J6" s="24"/>
      <c r="K6" s="24"/>
      <c r="L6" s="24"/>
      <c r="M6" s="24"/>
      <c r="N6" s="24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</row>
    <row r="7" spans="1:31">
      <c r="A7" s="24">
        <f t="shared" si="0"/>
        <v>5</v>
      </c>
      <c r="B7" s="26" t="s">
        <v>136</v>
      </c>
      <c r="C7" s="28"/>
      <c r="D7" s="28"/>
      <c r="E7" s="23"/>
      <c r="F7" s="23"/>
      <c r="G7" s="24"/>
      <c r="H7" s="24"/>
      <c r="I7" s="24"/>
      <c r="J7" s="24"/>
      <c r="K7" s="24"/>
      <c r="L7" s="24"/>
      <c r="M7" s="24"/>
      <c r="N7" s="24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</row>
    <row r="8" spans="1:31">
      <c r="A8" s="24">
        <f t="shared" si="0"/>
        <v>6</v>
      </c>
      <c r="B8" s="26" t="s">
        <v>137</v>
      </c>
      <c r="C8" s="28"/>
      <c r="D8" s="28"/>
      <c r="E8" s="23"/>
      <c r="F8" s="24"/>
      <c r="G8" s="24"/>
      <c r="H8" s="24"/>
      <c r="I8" s="24"/>
      <c r="J8" s="24"/>
      <c r="K8" s="24"/>
      <c r="L8" s="24"/>
      <c r="M8" s="24"/>
      <c r="N8" s="24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</row>
    <row r="9" spans="1:31">
      <c r="A9" s="24">
        <f t="shared" si="0"/>
        <v>7</v>
      </c>
      <c r="B9" s="26" t="s">
        <v>138</v>
      </c>
      <c r="C9" s="28"/>
      <c r="D9" s="28"/>
      <c r="E9" s="23"/>
      <c r="F9" s="24"/>
      <c r="G9" s="24"/>
      <c r="H9" s="24"/>
      <c r="I9" s="24"/>
      <c r="J9" s="24"/>
      <c r="K9" s="24"/>
      <c r="L9" s="41"/>
      <c r="M9" s="24"/>
      <c r="N9" s="24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</row>
    <row r="10" spans="1:31">
      <c r="A10" s="24">
        <f t="shared" si="0"/>
        <v>8</v>
      </c>
      <c r="B10" s="26" t="s">
        <v>139</v>
      </c>
      <c r="C10" s="28"/>
      <c r="D10" s="28"/>
      <c r="E10" s="23"/>
      <c r="F10" s="24"/>
      <c r="G10" s="24"/>
      <c r="H10" s="24"/>
      <c r="I10" s="24"/>
      <c r="J10" s="24"/>
      <c r="K10" s="24"/>
      <c r="L10" s="41"/>
      <c r="M10" s="24"/>
      <c r="N10" s="28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</row>
    <row r="11" spans="1:31">
      <c r="A11" s="24">
        <f t="shared" si="0"/>
        <v>9</v>
      </c>
      <c r="B11" s="26" t="s">
        <v>140</v>
      </c>
      <c r="C11" s="28"/>
      <c r="D11" s="28"/>
      <c r="E11" s="24"/>
      <c r="F11" s="24"/>
      <c r="G11" s="24"/>
      <c r="H11" s="57"/>
      <c r="I11" s="24"/>
      <c r="J11" s="24"/>
      <c r="K11" s="24"/>
      <c r="L11" s="24"/>
      <c r="M11" s="24"/>
      <c r="N11" s="28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</row>
    <row r="12" spans="1:31">
      <c r="A12" s="24">
        <f t="shared" si="0"/>
        <v>10</v>
      </c>
      <c r="B12" s="26" t="s">
        <v>141</v>
      </c>
      <c r="C12" s="28">
        <v>120000</v>
      </c>
      <c r="D12" s="28">
        <v>350000</v>
      </c>
      <c r="E12" s="24"/>
      <c r="F12" s="24">
        <v>20</v>
      </c>
      <c r="G12" s="24">
        <v>6</v>
      </c>
      <c r="H12" s="24">
        <v>48</v>
      </c>
      <c r="I12" s="24">
        <v>150</v>
      </c>
      <c r="J12" s="24">
        <v>190</v>
      </c>
      <c r="K12" s="24"/>
      <c r="L12" s="24"/>
      <c r="M12" s="24"/>
      <c r="N12" s="24"/>
      <c r="P12" s="31">
        <f>400000/F12*G12</f>
        <v>120000</v>
      </c>
      <c r="Q12" s="31">
        <f>P12*0.1</f>
        <v>12000</v>
      </c>
      <c r="R12" s="31">
        <f>D12/F12*G12</f>
        <v>105000</v>
      </c>
      <c r="S12" s="31">
        <f>R12-U12-V12-W12-X12</f>
        <v>103025</v>
      </c>
      <c r="T12" s="31"/>
      <c r="U12" s="31">
        <v>1030</v>
      </c>
      <c r="V12" s="31"/>
      <c r="W12" s="31"/>
      <c r="X12" s="31">
        <f>R12*0.009</f>
        <v>944.99999999999989</v>
      </c>
      <c r="Y12" s="31"/>
      <c r="Z12" s="31"/>
      <c r="AA12" s="31"/>
      <c r="AB12" s="31">
        <f>D12-R12</f>
        <v>245000</v>
      </c>
      <c r="AC12" s="31">
        <f>P12*0.08</f>
        <v>9600</v>
      </c>
      <c r="AD12" s="31"/>
      <c r="AE12" s="31"/>
    </row>
    <row r="13" spans="1:31">
      <c r="A13" s="24">
        <f t="shared" si="0"/>
        <v>11</v>
      </c>
      <c r="B13" s="26" t="s">
        <v>142</v>
      </c>
      <c r="C13" s="24">
        <v>400000</v>
      </c>
      <c r="D13" s="28">
        <v>350000</v>
      </c>
      <c r="E13" s="24">
        <v>14040</v>
      </c>
      <c r="F13" s="24">
        <v>22</v>
      </c>
      <c r="G13" s="24">
        <v>22</v>
      </c>
      <c r="H13" s="24">
        <v>191</v>
      </c>
      <c r="I13" s="24">
        <v>150</v>
      </c>
      <c r="J13" s="24">
        <v>190</v>
      </c>
      <c r="K13" s="24"/>
      <c r="L13" s="24"/>
      <c r="M13" s="24"/>
      <c r="N13" s="24"/>
      <c r="P13" s="31">
        <v>402105</v>
      </c>
      <c r="Q13" s="31">
        <v>40210</v>
      </c>
      <c r="R13" s="31">
        <v>365882</v>
      </c>
      <c r="S13" s="31">
        <v>349019</v>
      </c>
      <c r="T13" s="31"/>
      <c r="U13" s="31">
        <v>13570</v>
      </c>
      <c r="V13" s="31"/>
      <c r="W13" s="31"/>
      <c r="X13" s="31">
        <v>3293</v>
      </c>
      <c r="Y13" s="31">
        <v>1</v>
      </c>
      <c r="Z13" s="31">
        <v>1842</v>
      </c>
      <c r="AA13" s="31"/>
      <c r="AB13" s="31"/>
      <c r="AC13" s="31">
        <v>32168</v>
      </c>
      <c r="AD13" s="31"/>
      <c r="AE13" s="31"/>
    </row>
    <row r="14" spans="1:31">
      <c r="A14" s="24">
        <f t="shared" si="0"/>
        <v>12</v>
      </c>
      <c r="B14" s="26" t="s">
        <v>143</v>
      </c>
      <c r="C14" s="24">
        <v>400000</v>
      </c>
      <c r="D14" s="28">
        <v>350000</v>
      </c>
      <c r="E14" s="24">
        <v>14040</v>
      </c>
      <c r="F14" s="24">
        <v>19</v>
      </c>
      <c r="G14" s="24">
        <v>19</v>
      </c>
      <c r="H14" s="24">
        <v>165</v>
      </c>
      <c r="I14" s="24">
        <v>150</v>
      </c>
      <c r="J14" s="24">
        <v>190</v>
      </c>
      <c r="K14" s="24"/>
      <c r="L14" s="24"/>
      <c r="M14" s="24"/>
      <c r="N14" s="24"/>
      <c r="P14" s="31">
        <v>400000</v>
      </c>
      <c r="Q14" s="31">
        <v>40000</v>
      </c>
      <c r="R14" s="31">
        <v>364040</v>
      </c>
      <c r="S14" s="31">
        <v>347444</v>
      </c>
      <c r="T14" s="31"/>
      <c r="U14" s="31">
        <v>13320</v>
      </c>
      <c r="V14" s="31"/>
      <c r="W14" s="31"/>
      <c r="X14" s="31">
        <v>3276</v>
      </c>
      <c r="Y14" s="31"/>
      <c r="Z14" s="31"/>
      <c r="AA14" s="31"/>
      <c r="AB14" s="31"/>
      <c r="AC14" s="31">
        <v>32000</v>
      </c>
      <c r="AD14" s="31"/>
      <c r="AE14" s="31"/>
    </row>
    <row r="15" spans="1:31">
      <c r="A15" s="24">
        <f t="shared" si="0"/>
        <v>13</v>
      </c>
      <c r="B15" s="26" t="s">
        <v>144</v>
      </c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</row>
    <row r="16" spans="1:31">
      <c r="R16">
        <f>SUM(R3:R15)</f>
        <v>834922</v>
      </c>
      <c r="AC16">
        <f>SUM(AC3:AC15)</f>
        <v>73768</v>
      </c>
    </row>
    <row r="17" spans="1:30">
      <c r="C17">
        <f>B18*0.83</f>
        <v>763600</v>
      </c>
      <c r="M17" t="s">
        <v>155</v>
      </c>
    </row>
    <row r="18" spans="1:30">
      <c r="B18" s="7">
        <f>SUM(C3:C15)</f>
        <v>920000</v>
      </c>
      <c r="D18">
        <f>R16</f>
        <v>834922</v>
      </c>
      <c r="AC18" t="s">
        <v>223</v>
      </c>
    </row>
    <row r="19" spans="1:30">
      <c r="A19" s="7" t="s">
        <v>239</v>
      </c>
      <c r="B19" s="126">
        <v>700000</v>
      </c>
      <c r="L19" t="s">
        <v>162</v>
      </c>
      <c r="T19" t="s">
        <v>170</v>
      </c>
      <c r="X19" t="s">
        <v>237</v>
      </c>
      <c r="AD19" s="51" t="s">
        <v>224</v>
      </c>
    </row>
  </sheetData>
  <mergeCells count="8">
    <mergeCell ref="Y1:AB1"/>
    <mergeCell ref="AC1:AE1"/>
    <mergeCell ref="A1:A2"/>
    <mergeCell ref="B1:B2"/>
    <mergeCell ref="C1:M1"/>
    <mergeCell ref="P1:Q1"/>
    <mergeCell ref="R1:R2"/>
    <mergeCell ref="S1:X1"/>
  </mergeCells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1B21A-3A58-44E2-8204-5D12F50EB8A2}">
  <sheetPr codeName="Sheet7"/>
  <dimension ref="A1:AE19"/>
  <sheetViews>
    <sheetView workbookViewId="0">
      <selection activeCell="D18" sqref="D18"/>
    </sheetView>
  </sheetViews>
  <sheetFormatPr defaultColWidth="8.875" defaultRowHeight="14.25"/>
  <cols>
    <col min="1" max="1" width="9" style="7"/>
    <col min="2" max="2" width="11.625" style="7" customWidth="1"/>
    <col min="6" max="8" width="9.625" bestFit="1" customWidth="1"/>
    <col min="10" max="10" width="9.625" bestFit="1" customWidth="1"/>
    <col min="12" max="12" width="11.875" bestFit="1" customWidth="1"/>
    <col min="13" max="14" width="11.125" customWidth="1"/>
    <col min="15" max="15" width="3.125" customWidth="1"/>
    <col min="16" max="16" width="9.625" bestFit="1" customWidth="1"/>
    <col min="19" max="19" width="9.625" bestFit="1" customWidth="1"/>
    <col min="21" max="23" width="9.625" bestFit="1" customWidth="1"/>
    <col min="24" max="24" width="11.125" bestFit="1" customWidth="1"/>
    <col min="25" max="27" width="11.125" customWidth="1"/>
    <col min="28" max="28" width="9.625" bestFit="1" customWidth="1"/>
    <col min="29" max="30" width="9.125" customWidth="1"/>
    <col min="31" max="31" width="9" bestFit="1" customWidth="1"/>
  </cols>
  <sheetData>
    <row r="1" spans="1:31" ht="15.75">
      <c r="A1" s="118" t="s">
        <v>0</v>
      </c>
      <c r="B1" s="118" t="s">
        <v>131</v>
      </c>
      <c r="C1" s="120" t="s">
        <v>127</v>
      </c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33" t="s">
        <v>225</v>
      </c>
      <c r="P1" s="113" t="s">
        <v>150</v>
      </c>
      <c r="Q1" s="122"/>
      <c r="R1" s="118" t="s">
        <v>219</v>
      </c>
      <c r="S1" s="123" t="s">
        <v>151</v>
      </c>
      <c r="T1" s="124"/>
      <c r="U1" s="124"/>
      <c r="V1" s="124"/>
      <c r="W1" s="124"/>
      <c r="X1" s="125"/>
      <c r="Y1" s="113" t="s">
        <v>215</v>
      </c>
      <c r="Z1" s="114"/>
      <c r="AA1" s="114"/>
      <c r="AB1" s="114"/>
      <c r="AC1" s="115" t="s">
        <v>160</v>
      </c>
      <c r="AD1" s="116"/>
      <c r="AE1" s="117"/>
    </row>
    <row r="2" spans="1:31" ht="15.75">
      <c r="A2" s="119"/>
      <c r="B2" s="119"/>
      <c r="C2" s="27" t="s">
        <v>121</v>
      </c>
      <c r="D2" s="27" t="s">
        <v>122</v>
      </c>
      <c r="E2" s="27" t="s">
        <v>130</v>
      </c>
      <c r="F2" s="27" t="s">
        <v>128</v>
      </c>
      <c r="G2" s="27" t="s">
        <v>129</v>
      </c>
      <c r="H2" s="27" t="s">
        <v>123</v>
      </c>
      <c r="I2" s="27" t="s">
        <v>124</v>
      </c>
      <c r="J2" s="27" t="s">
        <v>125</v>
      </c>
      <c r="K2" s="27" t="s">
        <v>126</v>
      </c>
      <c r="L2" s="27" t="s">
        <v>161</v>
      </c>
      <c r="M2" s="33" t="s">
        <v>145</v>
      </c>
      <c r="N2" s="33" t="s">
        <v>127</v>
      </c>
      <c r="P2" s="29" t="s">
        <v>149</v>
      </c>
      <c r="Q2" s="29" t="s">
        <v>146</v>
      </c>
      <c r="R2" s="119"/>
      <c r="S2" s="29" t="s">
        <v>220</v>
      </c>
      <c r="T2" s="29" t="s">
        <v>154</v>
      </c>
      <c r="U2" s="29" t="s">
        <v>152</v>
      </c>
      <c r="V2" s="29" t="s">
        <v>147</v>
      </c>
      <c r="W2" s="29" t="s">
        <v>153</v>
      </c>
      <c r="X2" s="29" t="s">
        <v>148</v>
      </c>
      <c r="Y2" s="29" t="s">
        <v>217</v>
      </c>
      <c r="Z2" s="29" t="s">
        <v>218</v>
      </c>
      <c r="AA2" s="29" t="s">
        <v>214</v>
      </c>
      <c r="AB2" s="29" t="s">
        <v>216</v>
      </c>
      <c r="AC2" s="30" t="s">
        <v>156</v>
      </c>
      <c r="AD2" s="30" t="s">
        <v>157</v>
      </c>
      <c r="AE2" s="30" t="s">
        <v>222</v>
      </c>
    </row>
    <row r="3" spans="1:31">
      <c r="A3" s="24">
        <f>ROW()-2</f>
        <v>1</v>
      </c>
      <c r="B3" s="26" t="s">
        <v>132</v>
      </c>
      <c r="C3" s="28">
        <v>600000</v>
      </c>
      <c r="D3" s="28">
        <v>570000</v>
      </c>
      <c r="E3" s="23">
        <v>30000</v>
      </c>
      <c r="F3" s="23"/>
      <c r="G3" s="23"/>
      <c r="H3" s="24"/>
      <c r="I3" s="24"/>
      <c r="J3" s="24"/>
      <c r="K3" s="24">
        <v>2</v>
      </c>
      <c r="L3" s="24"/>
      <c r="M3" s="24"/>
      <c r="N3" s="24"/>
      <c r="P3" s="31">
        <v>600000</v>
      </c>
      <c r="Q3" s="31">
        <v>60000</v>
      </c>
      <c r="R3" s="31">
        <v>600000</v>
      </c>
      <c r="S3" s="31">
        <v>561540</v>
      </c>
      <c r="T3" s="31"/>
      <c r="U3" s="31">
        <v>33060</v>
      </c>
      <c r="V3" s="31"/>
      <c r="W3" s="31"/>
      <c r="X3" s="31">
        <v>5400</v>
      </c>
      <c r="Y3" s="31"/>
      <c r="Z3" s="31"/>
      <c r="AA3" s="31"/>
      <c r="AB3" s="31"/>
      <c r="AC3" s="31">
        <v>48000</v>
      </c>
      <c r="AD3" s="31"/>
      <c r="AE3" s="31">
        <v>12000</v>
      </c>
    </row>
    <row r="4" spans="1:31">
      <c r="A4" s="24">
        <f>ROW()-2</f>
        <v>2</v>
      </c>
      <c r="B4" s="26" t="s">
        <v>133</v>
      </c>
      <c r="C4" s="28">
        <v>600000</v>
      </c>
      <c r="D4" s="28">
        <v>570000</v>
      </c>
      <c r="E4" s="23">
        <v>30000</v>
      </c>
      <c r="F4" s="23"/>
      <c r="G4" s="23"/>
      <c r="H4" s="24"/>
      <c r="I4" s="24"/>
      <c r="J4" s="24"/>
      <c r="K4" s="24">
        <v>2</v>
      </c>
      <c r="L4" s="24"/>
      <c r="M4" s="24"/>
      <c r="N4" s="24"/>
      <c r="P4" s="31">
        <v>600000</v>
      </c>
      <c r="Q4" s="31">
        <v>60000</v>
      </c>
      <c r="R4" s="31">
        <v>600000</v>
      </c>
      <c r="S4" s="31">
        <v>561540</v>
      </c>
      <c r="T4" s="31"/>
      <c r="U4" s="31">
        <v>33060</v>
      </c>
      <c r="V4" s="31"/>
      <c r="W4" s="31"/>
      <c r="X4" s="31">
        <v>5400</v>
      </c>
      <c r="Y4" s="31"/>
      <c r="Z4" s="31"/>
      <c r="AA4" s="31"/>
      <c r="AB4" s="31"/>
      <c r="AC4" s="31">
        <v>48000</v>
      </c>
      <c r="AD4" s="31"/>
      <c r="AE4" s="31">
        <v>12000</v>
      </c>
    </row>
    <row r="5" spans="1:31">
      <c r="A5" s="24">
        <f t="shared" ref="A5:A15" si="0">ROW()-2</f>
        <v>3</v>
      </c>
      <c r="B5" s="26" t="s">
        <v>134</v>
      </c>
      <c r="C5" s="28">
        <v>600000</v>
      </c>
      <c r="D5" s="28">
        <v>570000</v>
      </c>
      <c r="E5" s="23">
        <v>30000</v>
      </c>
      <c r="F5" s="23"/>
      <c r="G5" s="23"/>
      <c r="H5" s="24"/>
      <c r="I5" s="24"/>
      <c r="J5" s="24"/>
      <c r="K5" s="24">
        <v>2</v>
      </c>
      <c r="L5" s="24"/>
      <c r="M5" s="24"/>
      <c r="N5" s="24"/>
      <c r="P5" s="31">
        <v>600000</v>
      </c>
      <c r="Q5" s="31">
        <v>60000</v>
      </c>
      <c r="R5" s="31">
        <v>600000</v>
      </c>
      <c r="S5" s="31">
        <v>561540</v>
      </c>
      <c r="T5" s="31"/>
      <c r="U5" s="31">
        <v>33060</v>
      </c>
      <c r="V5" s="31"/>
      <c r="W5" s="31"/>
      <c r="X5" s="31">
        <v>5400</v>
      </c>
      <c r="Y5" s="31"/>
      <c r="Z5" s="31"/>
      <c r="AA5" s="31"/>
      <c r="AB5" s="31"/>
      <c r="AC5" s="31">
        <v>48000</v>
      </c>
      <c r="AD5" s="31"/>
      <c r="AE5" s="31">
        <v>12000</v>
      </c>
    </row>
    <row r="6" spans="1:31">
      <c r="A6" s="24">
        <f t="shared" si="0"/>
        <v>4</v>
      </c>
      <c r="B6" s="26" t="s">
        <v>135</v>
      </c>
      <c r="C6" s="28">
        <v>600000</v>
      </c>
      <c r="D6" s="28">
        <v>570000</v>
      </c>
      <c r="E6" s="23">
        <v>30000</v>
      </c>
      <c r="F6" s="25"/>
      <c r="G6" s="23"/>
      <c r="H6" s="24"/>
      <c r="I6" s="24"/>
      <c r="J6" s="24"/>
      <c r="K6" s="24">
        <v>2</v>
      </c>
      <c r="L6" s="24"/>
      <c r="M6" s="24"/>
      <c r="N6" s="24"/>
      <c r="P6" s="31">
        <v>600000</v>
      </c>
      <c r="Q6" s="31">
        <v>60000</v>
      </c>
      <c r="R6" s="31">
        <v>600000</v>
      </c>
      <c r="S6" s="31">
        <v>561540</v>
      </c>
      <c r="T6" s="31"/>
      <c r="U6" s="31">
        <v>33060</v>
      </c>
      <c r="V6" s="31"/>
      <c r="W6" s="31"/>
      <c r="X6" s="31">
        <v>5400</v>
      </c>
      <c r="Y6" s="31"/>
      <c r="Z6" s="31"/>
      <c r="AA6" s="31"/>
      <c r="AB6" s="31"/>
      <c r="AC6" s="31">
        <v>48000</v>
      </c>
      <c r="AD6" s="31"/>
      <c r="AE6" s="31">
        <v>12000</v>
      </c>
    </row>
    <row r="7" spans="1:31">
      <c r="A7" s="24">
        <f t="shared" si="0"/>
        <v>5</v>
      </c>
      <c r="B7" s="26" t="s">
        <v>136</v>
      </c>
      <c r="C7" s="28">
        <v>630000</v>
      </c>
      <c r="D7" s="28">
        <v>570000</v>
      </c>
      <c r="E7" s="23">
        <v>30000</v>
      </c>
      <c r="F7" s="23"/>
      <c r="G7" s="24"/>
      <c r="H7" s="24"/>
      <c r="I7" s="24"/>
      <c r="J7" s="24"/>
      <c r="K7" s="24">
        <v>2</v>
      </c>
      <c r="L7" s="24"/>
      <c r="M7" s="24">
        <v>30000</v>
      </c>
      <c r="N7" s="24"/>
      <c r="P7" s="31">
        <v>630000</v>
      </c>
      <c r="Q7" s="31">
        <v>63000</v>
      </c>
      <c r="R7" s="31">
        <v>600000</v>
      </c>
      <c r="S7" s="31">
        <v>561540</v>
      </c>
      <c r="T7" s="31"/>
      <c r="U7" s="31">
        <v>33060</v>
      </c>
      <c r="V7" s="31"/>
      <c r="W7" s="31"/>
      <c r="X7" s="31">
        <v>5400</v>
      </c>
      <c r="Y7" s="31"/>
      <c r="Z7" s="31"/>
      <c r="AA7" s="31"/>
      <c r="AB7" s="31"/>
      <c r="AC7" s="31">
        <v>50400</v>
      </c>
      <c r="AD7" s="31"/>
      <c r="AE7" s="31">
        <v>42600</v>
      </c>
    </row>
    <row r="8" spans="1:31">
      <c r="A8" s="24">
        <f t="shared" si="0"/>
        <v>6</v>
      </c>
      <c r="B8" s="26" t="s">
        <v>137</v>
      </c>
      <c r="C8" s="28">
        <v>630000</v>
      </c>
      <c r="D8" s="28">
        <v>570000</v>
      </c>
      <c r="E8" s="23">
        <v>30000</v>
      </c>
      <c r="F8" s="24">
        <v>18</v>
      </c>
      <c r="G8" s="24">
        <v>18</v>
      </c>
      <c r="H8" s="24">
        <v>140.5</v>
      </c>
      <c r="I8" s="24">
        <v>140</v>
      </c>
      <c r="J8" s="24"/>
      <c r="K8" s="24">
        <v>2</v>
      </c>
      <c r="L8" s="24"/>
      <c r="M8" s="24">
        <v>30000</v>
      </c>
      <c r="N8" s="24"/>
      <c r="P8" s="31">
        <v>630000</v>
      </c>
      <c r="Q8" s="31">
        <v>63000</v>
      </c>
      <c r="R8" s="31">
        <v>600000</v>
      </c>
      <c r="S8" s="31">
        <v>561540</v>
      </c>
      <c r="T8" s="31"/>
      <c r="U8" s="31">
        <v>33060</v>
      </c>
      <c r="V8" s="31"/>
      <c r="W8" s="31"/>
      <c r="X8" s="31">
        <v>5400</v>
      </c>
      <c r="Y8" s="31"/>
      <c r="Z8" s="31"/>
      <c r="AA8" s="31"/>
      <c r="AB8" s="31"/>
      <c r="AC8" s="31">
        <v>50400</v>
      </c>
      <c r="AD8" s="31"/>
      <c r="AE8" s="31">
        <v>42600</v>
      </c>
    </row>
    <row r="9" spans="1:31">
      <c r="A9" s="24">
        <f t="shared" si="0"/>
        <v>7</v>
      </c>
      <c r="B9" s="26" t="s">
        <v>138</v>
      </c>
      <c r="C9" s="28">
        <v>630000</v>
      </c>
      <c r="D9" s="28">
        <v>570000</v>
      </c>
      <c r="E9" s="23">
        <v>30000</v>
      </c>
      <c r="F9" s="24">
        <v>19</v>
      </c>
      <c r="G9" s="24">
        <v>19</v>
      </c>
      <c r="H9" s="24">
        <v>189</v>
      </c>
      <c r="I9" s="24">
        <v>140</v>
      </c>
      <c r="J9" s="24"/>
      <c r="K9" s="24">
        <v>2</v>
      </c>
      <c r="L9" s="41"/>
      <c r="M9" s="24">
        <v>30000</v>
      </c>
      <c r="N9" s="24"/>
      <c r="P9" s="31">
        <v>630000</v>
      </c>
      <c r="Q9" s="31">
        <v>63000</v>
      </c>
      <c r="R9" s="31">
        <v>690000</v>
      </c>
      <c r="S9" s="31">
        <v>634190</v>
      </c>
      <c r="T9" s="31">
        <v>90000</v>
      </c>
      <c r="U9" s="31">
        <v>49600</v>
      </c>
      <c r="V9" s="31"/>
      <c r="W9" s="31"/>
      <c r="X9" s="31">
        <v>6210</v>
      </c>
      <c r="Y9" s="31"/>
      <c r="Z9" s="31"/>
      <c r="AA9" s="31"/>
      <c r="AB9" s="31"/>
      <c r="AC9" s="31">
        <v>50400</v>
      </c>
      <c r="AD9" s="31"/>
      <c r="AE9" s="31">
        <v>-47400</v>
      </c>
    </row>
    <row r="10" spans="1:31">
      <c r="A10" s="24">
        <f t="shared" si="0"/>
        <v>8</v>
      </c>
      <c r="B10" s="26" t="s">
        <v>139</v>
      </c>
      <c r="C10" s="28">
        <v>630000</v>
      </c>
      <c r="D10" s="28">
        <v>570000</v>
      </c>
      <c r="E10" s="23">
        <v>30000</v>
      </c>
      <c r="F10" s="24">
        <v>21</v>
      </c>
      <c r="G10" s="24">
        <v>19</v>
      </c>
      <c r="H10" s="24">
        <v>193</v>
      </c>
      <c r="I10" s="24">
        <v>140</v>
      </c>
      <c r="J10" s="24"/>
      <c r="K10" s="24">
        <v>2</v>
      </c>
      <c r="L10" s="24"/>
      <c r="M10" s="24">
        <v>30000</v>
      </c>
      <c r="N10" s="24"/>
      <c r="P10" s="31">
        <v>630000</v>
      </c>
      <c r="Q10" s="31">
        <v>63000</v>
      </c>
      <c r="R10" s="31">
        <v>600000</v>
      </c>
      <c r="S10" s="31">
        <v>561540</v>
      </c>
      <c r="T10" s="31"/>
      <c r="U10" s="31">
        <v>33060</v>
      </c>
      <c r="V10" s="31"/>
      <c r="W10" s="31"/>
      <c r="X10" s="31">
        <v>5400</v>
      </c>
      <c r="Y10" s="31"/>
      <c r="Z10" s="31"/>
      <c r="AA10" s="31"/>
      <c r="AB10" s="31"/>
      <c r="AC10" s="31">
        <v>50400</v>
      </c>
      <c r="AD10" s="31"/>
      <c r="AE10" s="31"/>
    </row>
    <row r="11" spans="1:31">
      <c r="A11" s="24">
        <f t="shared" si="0"/>
        <v>9</v>
      </c>
      <c r="B11" s="26" t="s">
        <v>140</v>
      </c>
      <c r="C11" s="31">
        <v>712250</v>
      </c>
      <c r="D11" s="28">
        <v>570000</v>
      </c>
      <c r="E11" s="23">
        <v>30000</v>
      </c>
      <c r="F11" s="57">
        <v>15</v>
      </c>
      <c r="G11" s="57">
        <v>15</v>
      </c>
      <c r="H11" s="24">
        <f>144+36+23.5</f>
        <v>203.5</v>
      </c>
      <c r="I11" s="24">
        <v>140</v>
      </c>
      <c r="J11" s="24">
        <v>180</v>
      </c>
      <c r="K11" s="24">
        <v>2</v>
      </c>
      <c r="L11" s="24"/>
      <c r="M11" s="24">
        <v>30000</v>
      </c>
      <c r="N11" s="24"/>
      <c r="P11" s="31">
        <v>712250</v>
      </c>
      <c r="Q11" s="31">
        <v>71225</v>
      </c>
      <c r="R11" s="31">
        <v>674417</v>
      </c>
      <c r="S11" s="31">
        <v>621507</v>
      </c>
      <c r="T11" s="31"/>
      <c r="U11" s="31">
        <v>46840</v>
      </c>
      <c r="V11" s="31"/>
      <c r="W11" s="31"/>
      <c r="X11" s="31">
        <v>6070</v>
      </c>
      <c r="Y11" s="31">
        <v>23.5</v>
      </c>
      <c r="Z11" s="31">
        <v>74417</v>
      </c>
      <c r="AA11" s="31"/>
      <c r="AB11" s="31"/>
      <c r="AC11" s="31">
        <v>56980</v>
      </c>
      <c r="AD11" s="31"/>
      <c r="AE11" s="31"/>
    </row>
    <row r="12" spans="1:31">
      <c r="A12" s="24">
        <f t="shared" si="0"/>
        <v>10</v>
      </c>
      <c r="B12" s="26" t="s">
        <v>141</v>
      </c>
      <c r="C12" s="31">
        <v>651875</v>
      </c>
      <c r="D12" s="28">
        <v>570000</v>
      </c>
      <c r="E12" s="23">
        <v>30000</v>
      </c>
      <c r="F12" s="24">
        <v>20</v>
      </c>
      <c r="G12" s="24">
        <v>21</v>
      </c>
      <c r="H12" s="24">
        <v>186.25</v>
      </c>
      <c r="I12" s="24">
        <v>140</v>
      </c>
      <c r="J12" s="24">
        <v>180</v>
      </c>
      <c r="K12" s="24">
        <v>2</v>
      </c>
      <c r="L12" s="24"/>
      <c r="M12" s="24">
        <v>30000</v>
      </c>
      <c r="N12" s="24"/>
      <c r="P12" s="31">
        <v>651875</v>
      </c>
      <c r="Q12" s="31">
        <v>65188</v>
      </c>
      <c r="R12" s="31">
        <v>619792</v>
      </c>
      <c r="S12" s="31">
        <v>577294</v>
      </c>
      <c r="T12" s="31"/>
      <c r="U12" s="31">
        <v>36920</v>
      </c>
      <c r="V12" s="31"/>
      <c r="W12" s="31"/>
      <c r="X12" s="31">
        <v>5578</v>
      </c>
      <c r="Y12" s="31">
        <v>6.25</v>
      </c>
      <c r="Z12" s="31">
        <v>19792</v>
      </c>
      <c r="AA12" s="31"/>
      <c r="AB12" s="31"/>
      <c r="AC12" s="31">
        <v>52150</v>
      </c>
      <c r="AD12" s="31"/>
      <c r="AE12" s="31"/>
    </row>
    <row r="13" spans="1:31">
      <c r="A13" s="24">
        <f t="shared" si="0"/>
        <v>11</v>
      </c>
      <c r="B13" s="26" t="s">
        <v>142</v>
      </c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</row>
    <row r="14" spans="1:31">
      <c r="A14" s="24">
        <f t="shared" si="0"/>
        <v>12</v>
      </c>
      <c r="B14" s="26" t="s">
        <v>143</v>
      </c>
      <c r="C14" s="24">
        <v>550000</v>
      </c>
      <c r="D14" s="24">
        <v>520000</v>
      </c>
      <c r="E14" s="24">
        <v>30000</v>
      </c>
      <c r="F14" s="24">
        <v>19</v>
      </c>
      <c r="G14" s="24">
        <v>19</v>
      </c>
      <c r="H14" s="24">
        <v>152.75</v>
      </c>
      <c r="I14" s="24">
        <v>140</v>
      </c>
      <c r="J14" s="24">
        <v>180</v>
      </c>
      <c r="K14" s="24">
        <v>2</v>
      </c>
      <c r="L14" s="24"/>
      <c r="M14" s="24">
        <v>0</v>
      </c>
      <c r="N14" s="24"/>
      <c r="P14" s="31">
        <v>550000</v>
      </c>
      <c r="Q14" s="31">
        <v>55000</v>
      </c>
      <c r="R14" s="31">
        <v>550000</v>
      </c>
      <c r="S14" s="31">
        <v>520740</v>
      </c>
      <c r="T14" s="31"/>
      <c r="U14" s="31">
        <v>24310</v>
      </c>
      <c r="V14" s="31"/>
      <c r="W14" s="31"/>
      <c r="X14" s="31">
        <v>4950</v>
      </c>
      <c r="Y14" s="31"/>
      <c r="Z14" s="31"/>
      <c r="AA14" s="31"/>
      <c r="AB14" s="31"/>
      <c r="AC14" s="31">
        <v>44000</v>
      </c>
      <c r="AD14" s="31"/>
      <c r="AE14" s="31"/>
    </row>
    <row r="15" spans="1:31">
      <c r="A15" s="24">
        <f t="shared" si="0"/>
        <v>13</v>
      </c>
      <c r="B15" s="26" t="s">
        <v>144</v>
      </c>
      <c r="C15" s="24">
        <v>550000</v>
      </c>
      <c r="D15" s="24">
        <v>520000</v>
      </c>
      <c r="E15" s="24">
        <v>30000</v>
      </c>
      <c r="F15" s="24">
        <v>19</v>
      </c>
      <c r="G15" s="24">
        <v>19</v>
      </c>
      <c r="H15" s="24">
        <v>157.25</v>
      </c>
      <c r="I15" s="24">
        <v>140</v>
      </c>
      <c r="J15" s="24">
        <v>180</v>
      </c>
      <c r="K15" s="24">
        <v>2</v>
      </c>
      <c r="L15" s="24"/>
      <c r="M15" s="24">
        <v>0</v>
      </c>
      <c r="N15" s="24"/>
      <c r="P15" s="31">
        <v>550000</v>
      </c>
      <c r="Q15" s="31">
        <v>55000</v>
      </c>
      <c r="R15" s="31">
        <v>640000</v>
      </c>
      <c r="S15" s="31">
        <v>594010</v>
      </c>
      <c r="T15" s="31">
        <v>90000</v>
      </c>
      <c r="U15" s="31">
        <v>40230</v>
      </c>
      <c r="V15" s="31"/>
      <c r="W15" s="31"/>
      <c r="X15" s="31">
        <v>5760</v>
      </c>
      <c r="Y15" s="31"/>
      <c r="Z15" s="31"/>
      <c r="AA15" s="31"/>
      <c r="AB15" s="31"/>
      <c r="AC15" s="31">
        <v>44000</v>
      </c>
      <c r="AD15" s="31"/>
      <c r="AE15" s="31"/>
    </row>
    <row r="16" spans="1:31">
      <c r="R16">
        <f>SUM(R4:R15)</f>
        <v>6774209</v>
      </c>
      <c r="AC16">
        <f>SUM(AC3:AC15)</f>
        <v>590730</v>
      </c>
      <c r="AD16">
        <f t="shared" ref="AD16" si="1">SUM(AC16)</f>
        <v>590730</v>
      </c>
    </row>
    <row r="17" spans="1:30">
      <c r="M17" t="s">
        <v>155</v>
      </c>
      <c r="S17" t="s">
        <v>233</v>
      </c>
      <c r="X17" t="s">
        <v>238</v>
      </c>
    </row>
    <row r="18" spans="1:30">
      <c r="B18" s="7">
        <f>SUM(C4:C15)</f>
        <v>6784125</v>
      </c>
      <c r="D18">
        <f>R16</f>
        <v>6774209</v>
      </c>
      <c r="AC18" t="s">
        <v>223</v>
      </c>
    </row>
    <row r="19" spans="1:30">
      <c r="A19" s="7" t="s">
        <v>239</v>
      </c>
      <c r="B19" s="126">
        <v>5834209</v>
      </c>
      <c r="L19" t="s">
        <v>162</v>
      </c>
      <c r="T19" t="s">
        <v>170</v>
      </c>
      <c r="AD19" s="51" t="s">
        <v>224</v>
      </c>
    </row>
  </sheetData>
  <mergeCells count="8">
    <mergeCell ref="AC1:AE1"/>
    <mergeCell ref="A1:A2"/>
    <mergeCell ref="B1:B2"/>
    <mergeCell ref="S1:X1"/>
    <mergeCell ref="Y1:AB1"/>
    <mergeCell ref="P1:Q1"/>
    <mergeCell ref="R1:R2"/>
    <mergeCell ref="C1:M1"/>
  </mergeCells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519F7-D2FD-46BB-9AF7-2730995FE333}">
  <sheetPr codeName="Sheet13"/>
  <dimension ref="A1:AE20"/>
  <sheetViews>
    <sheetView workbookViewId="0">
      <selection activeCell="C15" sqref="C15"/>
    </sheetView>
  </sheetViews>
  <sheetFormatPr defaultColWidth="8.875" defaultRowHeight="14.25"/>
  <cols>
    <col min="1" max="1" width="9" style="7"/>
    <col min="2" max="2" width="11.625" style="7" customWidth="1"/>
    <col min="6" max="8" width="9.625" bestFit="1" customWidth="1"/>
    <col min="10" max="10" width="9.625" bestFit="1" customWidth="1"/>
    <col min="12" max="12" width="11.875" bestFit="1" customWidth="1"/>
    <col min="13" max="14" width="11.125" customWidth="1"/>
    <col min="15" max="15" width="3.125" customWidth="1"/>
    <col min="16" max="16" width="9.625" bestFit="1" customWidth="1"/>
    <col min="19" max="19" width="9.625" bestFit="1" customWidth="1"/>
    <col min="21" max="23" width="9.625" bestFit="1" customWidth="1"/>
    <col min="24" max="24" width="11.125" bestFit="1" customWidth="1"/>
    <col min="25" max="27" width="11.125" customWidth="1"/>
    <col min="28" max="28" width="9.625" bestFit="1" customWidth="1"/>
    <col min="29" max="30" width="9.125" customWidth="1"/>
    <col min="31" max="31" width="9" bestFit="1" customWidth="1"/>
  </cols>
  <sheetData>
    <row r="1" spans="1:31" ht="15.75">
      <c r="A1" s="118" t="s">
        <v>0</v>
      </c>
      <c r="B1" s="118" t="s">
        <v>131</v>
      </c>
      <c r="C1" s="120" t="s">
        <v>127</v>
      </c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33" t="s">
        <v>225</v>
      </c>
      <c r="P1" s="113" t="s">
        <v>150</v>
      </c>
      <c r="Q1" s="122"/>
      <c r="R1" s="118" t="s">
        <v>219</v>
      </c>
      <c r="S1" s="123" t="s">
        <v>151</v>
      </c>
      <c r="T1" s="124"/>
      <c r="U1" s="124"/>
      <c r="V1" s="124"/>
      <c r="W1" s="124"/>
      <c r="X1" s="125"/>
      <c r="Y1" s="113" t="s">
        <v>215</v>
      </c>
      <c r="Z1" s="114"/>
      <c r="AA1" s="114"/>
      <c r="AB1" s="114"/>
      <c r="AC1" s="115" t="s">
        <v>160</v>
      </c>
      <c r="AD1" s="116"/>
      <c r="AE1" s="117"/>
    </row>
    <row r="2" spans="1:31" ht="15.75">
      <c r="A2" s="119"/>
      <c r="B2" s="119"/>
      <c r="C2" s="33" t="s">
        <v>121</v>
      </c>
      <c r="D2" s="33" t="s">
        <v>122</v>
      </c>
      <c r="E2" s="33" t="s">
        <v>130</v>
      </c>
      <c r="F2" s="33" t="s">
        <v>128</v>
      </c>
      <c r="G2" s="33" t="s">
        <v>129</v>
      </c>
      <c r="H2" s="33" t="s">
        <v>123</v>
      </c>
      <c r="I2" s="33" t="s">
        <v>124</v>
      </c>
      <c r="J2" s="33" t="s">
        <v>125</v>
      </c>
      <c r="K2" s="33" t="s">
        <v>126</v>
      </c>
      <c r="L2" s="33" t="s">
        <v>161</v>
      </c>
      <c r="M2" s="33" t="s">
        <v>145</v>
      </c>
      <c r="N2" s="33" t="s">
        <v>127</v>
      </c>
      <c r="P2" s="29" t="s">
        <v>149</v>
      </c>
      <c r="Q2" s="29" t="s">
        <v>146</v>
      </c>
      <c r="R2" s="119"/>
      <c r="S2" s="29" t="s">
        <v>220</v>
      </c>
      <c r="T2" s="29" t="s">
        <v>154</v>
      </c>
      <c r="U2" s="29" t="s">
        <v>152</v>
      </c>
      <c r="V2" s="29" t="s">
        <v>147</v>
      </c>
      <c r="W2" s="29" t="s">
        <v>153</v>
      </c>
      <c r="X2" s="29" t="s">
        <v>148</v>
      </c>
      <c r="Y2" s="29" t="s">
        <v>217</v>
      </c>
      <c r="Z2" s="29" t="s">
        <v>218</v>
      </c>
      <c r="AA2" s="29" t="s">
        <v>214</v>
      </c>
      <c r="AB2" s="29" t="s">
        <v>216</v>
      </c>
      <c r="AC2" s="30" t="s">
        <v>156</v>
      </c>
      <c r="AD2" s="30" t="s">
        <v>157</v>
      </c>
      <c r="AE2" s="30" t="s">
        <v>222</v>
      </c>
    </row>
    <row r="3" spans="1:31">
      <c r="A3" s="24">
        <f>ROW()-2</f>
        <v>1</v>
      </c>
      <c r="B3" s="26" t="s">
        <v>132</v>
      </c>
      <c r="C3" s="28"/>
      <c r="D3" s="28"/>
      <c r="E3" s="23"/>
      <c r="F3" s="23"/>
      <c r="G3" s="23"/>
      <c r="H3" s="24"/>
      <c r="I3" s="24"/>
      <c r="J3" s="24"/>
      <c r="K3" s="24"/>
      <c r="L3" s="24"/>
      <c r="M3" s="24"/>
      <c r="N3" s="24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</row>
    <row r="4" spans="1:31">
      <c r="A4" s="24">
        <f>ROW()-2</f>
        <v>2</v>
      </c>
      <c r="B4" s="26" t="s">
        <v>133</v>
      </c>
      <c r="C4" s="28"/>
      <c r="D4" s="28"/>
      <c r="E4" s="23"/>
      <c r="F4" s="23"/>
      <c r="G4" s="23"/>
      <c r="H4" s="24"/>
      <c r="I4" s="24"/>
      <c r="J4" s="24"/>
      <c r="K4" s="24"/>
      <c r="L4" s="24"/>
      <c r="M4" s="24"/>
      <c r="N4" s="24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</row>
    <row r="5" spans="1:31">
      <c r="A5" s="24">
        <f t="shared" ref="A5:A15" si="0">ROW()-2</f>
        <v>3</v>
      </c>
      <c r="B5" s="26" t="s">
        <v>134</v>
      </c>
      <c r="C5" s="28"/>
      <c r="D5" s="28"/>
      <c r="E5" s="23"/>
      <c r="F5" s="23"/>
      <c r="G5" s="23"/>
      <c r="H5" s="24"/>
      <c r="I5" s="24"/>
      <c r="J5" s="24"/>
      <c r="K5" s="24"/>
      <c r="L5" s="24"/>
      <c r="M5" s="24"/>
      <c r="N5" s="24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</row>
    <row r="6" spans="1:31">
      <c r="A6" s="24">
        <f t="shared" si="0"/>
        <v>4</v>
      </c>
      <c r="B6" s="26" t="s">
        <v>135</v>
      </c>
      <c r="C6" s="28">
        <v>400000</v>
      </c>
      <c r="D6" s="28">
        <v>300000</v>
      </c>
      <c r="E6" s="23">
        <v>0</v>
      </c>
      <c r="F6" s="25"/>
      <c r="G6" s="23"/>
      <c r="H6" s="24"/>
      <c r="I6" s="24"/>
      <c r="J6" s="24"/>
      <c r="K6" s="24"/>
      <c r="L6" s="24"/>
      <c r="M6" s="24">
        <v>60000</v>
      </c>
      <c r="N6" s="24"/>
      <c r="P6" s="31">
        <v>400000</v>
      </c>
      <c r="Q6" s="31">
        <v>40000</v>
      </c>
      <c r="R6" s="31">
        <v>300000</v>
      </c>
      <c r="S6" s="31">
        <v>289050</v>
      </c>
      <c r="T6" s="31"/>
      <c r="U6" s="31">
        <v>8250</v>
      </c>
      <c r="V6" s="31"/>
      <c r="W6" s="31"/>
      <c r="X6" s="31">
        <v>2700</v>
      </c>
      <c r="Y6" s="31"/>
      <c r="Z6" s="31"/>
      <c r="AA6" s="31"/>
      <c r="AB6" s="31"/>
      <c r="AC6" s="31">
        <v>32000</v>
      </c>
      <c r="AD6" s="31"/>
      <c r="AE6" s="31">
        <v>108000</v>
      </c>
    </row>
    <row r="7" spans="1:31">
      <c r="A7" s="24">
        <f t="shared" si="0"/>
        <v>5</v>
      </c>
      <c r="B7" s="26" t="s">
        <v>136</v>
      </c>
      <c r="C7" s="28">
        <v>400000</v>
      </c>
      <c r="D7" s="28">
        <v>300000</v>
      </c>
      <c r="E7" s="23">
        <v>0</v>
      </c>
      <c r="F7" s="23"/>
      <c r="G7" s="24"/>
      <c r="H7" s="24"/>
      <c r="I7" s="24"/>
      <c r="J7" s="24"/>
      <c r="K7" s="24"/>
      <c r="L7" s="24"/>
      <c r="M7" s="24">
        <v>60000</v>
      </c>
      <c r="N7" s="24"/>
      <c r="P7" s="31">
        <v>400000</v>
      </c>
      <c r="Q7" s="31">
        <v>40000</v>
      </c>
      <c r="R7" s="31">
        <v>300000</v>
      </c>
      <c r="S7" s="31">
        <v>289050</v>
      </c>
      <c r="T7" s="31"/>
      <c r="U7" s="31">
        <v>8250</v>
      </c>
      <c r="V7" s="31"/>
      <c r="W7" s="31"/>
      <c r="X7" s="31">
        <v>2700</v>
      </c>
      <c r="Y7" s="31"/>
      <c r="Z7" s="31"/>
      <c r="AA7" s="31"/>
      <c r="AB7" s="31"/>
      <c r="AC7" s="31">
        <v>32000</v>
      </c>
      <c r="AD7" s="31"/>
      <c r="AE7" s="31">
        <v>108000</v>
      </c>
    </row>
    <row r="8" spans="1:31">
      <c r="A8" s="24">
        <f t="shared" si="0"/>
        <v>6</v>
      </c>
      <c r="B8" s="26" t="s">
        <v>137</v>
      </c>
      <c r="C8" s="28">
        <v>400000</v>
      </c>
      <c r="D8" s="28">
        <v>300000</v>
      </c>
      <c r="E8" s="23">
        <v>0</v>
      </c>
      <c r="F8" s="24">
        <v>17</v>
      </c>
      <c r="G8" s="24">
        <v>17</v>
      </c>
      <c r="H8" s="24">
        <v>137.75</v>
      </c>
      <c r="I8" s="24">
        <v>155</v>
      </c>
      <c r="J8" s="24">
        <v>180</v>
      </c>
      <c r="K8" s="24"/>
      <c r="L8" s="24"/>
      <c r="M8" s="24">
        <v>60000</v>
      </c>
      <c r="N8" s="24"/>
      <c r="P8" s="31">
        <v>355484</v>
      </c>
      <c r="Q8" s="31">
        <v>35548</v>
      </c>
      <c r="R8" s="31">
        <v>266613</v>
      </c>
      <c r="S8" s="31">
        <v>257143</v>
      </c>
      <c r="T8" s="31"/>
      <c r="U8" s="31">
        <v>7070</v>
      </c>
      <c r="V8" s="31"/>
      <c r="W8" s="31"/>
      <c r="X8" s="31">
        <v>2400</v>
      </c>
      <c r="Y8" s="31"/>
      <c r="Z8" s="31"/>
      <c r="AA8" s="31">
        <v>17.25</v>
      </c>
      <c r="AB8" s="31">
        <v>33387</v>
      </c>
      <c r="AC8" s="31">
        <v>28439</v>
      </c>
      <c r="AD8" s="31"/>
      <c r="AE8" s="31">
        <v>95980</v>
      </c>
    </row>
    <row r="9" spans="1:31">
      <c r="A9" s="24">
        <f t="shared" si="0"/>
        <v>7</v>
      </c>
      <c r="B9" s="26" t="s">
        <v>138</v>
      </c>
      <c r="C9" s="28">
        <v>400000</v>
      </c>
      <c r="D9" s="28">
        <v>300000</v>
      </c>
      <c r="E9" s="23">
        <v>0</v>
      </c>
      <c r="F9" s="24">
        <v>22</v>
      </c>
      <c r="G9" s="24">
        <v>22</v>
      </c>
      <c r="H9" s="24">
        <v>162.75</v>
      </c>
      <c r="I9" s="24">
        <v>155</v>
      </c>
      <c r="J9" s="24">
        <v>180</v>
      </c>
      <c r="K9" s="24"/>
      <c r="L9" s="41"/>
      <c r="M9" s="24">
        <v>60000</v>
      </c>
      <c r="N9" s="24"/>
      <c r="P9" s="31">
        <v>400000</v>
      </c>
      <c r="Q9" s="31">
        <v>40000</v>
      </c>
      <c r="R9" s="31">
        <v>540000</v>
      </c>
      <c r="S9" s="31">
        <v>499850</v>
      </c>
      <c r="T9" s="31">
        <v>240000</v>
      </c>
      <c r="U9" s="31">
        <v>35290</v>
      </c>
      <c r="V9" s="31"/>
      <c r="W9" s="31"/>
      <c r="X9" s="31">
        <v>4860</v>
      </c>
      <c r="Y9" s="31"/>
      <c r="Z9" s="31"/>
      <c r="AA9" s="31"/>
      <c r="AB9" s="31"/>
      <c r="AC9" s="31">
        <v>32000</v>
      </c>
      <c r="AD9" s="31"/>
      <c r="AE9" s="31">
        <v>-132000</v>
      </c>
    </row>
    <row r="10" spans="1:31">
      <c r="A10" s="24">
        <f t="shared" si="0"/>
        <v>8</v>
      </c>
      <c r="B10" s="26" t="s">
        <v>139</v>
      </c>
      <c r="C10" s="28">
        <v>400000</v>
      </c>
      <c r="D10" s="28">
        <v>300000</v>
      </c>
      <c r="E10" s="24">
        <v>0</v>
      </c>
      <c r="F10" s="24">
        <v>21</v>
      </c>
      <c r="G10" s="24">
        <v>21</v>
      </c>
      <c r="H10" s="24">
        <v>155</v>
      </c>
      <c r="I10" s="24">
        <v>155</v>
      </c>
      <c r="J10" s="24">
        <v>180</v>
      </c>
      <c r="K10" s="24"/>
      <c r="L10" s="24"/>
      <c r="M10" s="24">
        <v>60000</v>
      </c>
      <c r="N10" s="24"/>
      <c r="P10" s="31">
        <v>400000</v>
      </c>
      <c r="Q10" s="31">
        <v>40000</v>
      </c>
      <c r="R10" s="31">
        <v>300000</v>
      </c>
      <c r="S10" s="31">
        <v>289050</v>
      </c>
      <c r="T10" s="31"/>
      <c r="U10" s="31">
        <v>8250</v>
      </c>
      <c r="V10" s="31"/>
      <c r="W10" s="31"/>
      <c r="X10" s="31">
        <v>2700</v>
      </c>
      <c r="Y10" s="31"/>
      <c r="Z10" s="31"/>
      <c r="AA10" s="31"/>
      <c r="AB10" s="31"/>
      <c r="AC10" s="31">
        <v>32000</v>
      </c>
      <c r="AD10" s="31"/>
      <c r="AE10" s="31"/>
    </row>
    <row r="11" spans="1:31">
      <c r="A11" s="24">
        <f t="shared" si="0"/>
        <v>9</v>
      </c>
      <c r="B11" s="26" t="s">
        <v>140</v>
      </c>
      <c r="C11" s="28">
        <v>400000</v>
      </c>
      <c r="D11" s="28">
        <v>300000</v>
      </c>
      <c r="E11" s="24">
        <v>0</v>
      </c>
      <c r="F11" s="24">
        <v>20</v>
      </c>
      <c r="G11" s="24">
        <v>20</v>
      </c>
      <c r="H11" s="24">
        <v>155</v>
      </c>
      <c r="I11" s="24">
        <v>155</v>
      </c>
      <c r="J11" s="24">
        <v>180</v>
      </c>
      <c r="K11" s="24"/>
      <c r="L11" s="24"/>
      <c r="M11" s="24">
        <v>60000</v>
      </c>
      <c r="N11" s="24"/>
      <c r="P11" s="31">
        <v>400000</v>
      </c>
      <c r="Q11" s="31">
        <v>40000</v>
      </c>
      <c r="R11" s="31">
        <v>300000</v>
      </c>
      <c r="S11" s="31">
        <v>289050</v>
      </c>
      <c r="T11" s="31"/>
      <c r="U11" s="31">
        <v>8250</v>
      </c>
      <c r="V11" s="31"/>
      <c r="W11" s="31"/>
      <c r="X11" s="31">
        <v>2700</v>
      </c>
      <c r="Y11" s="31"/>
      <c r="Z11" s="31"/>
      <c r="AA11" s="31"/>
      <c r="AB11" s="31"/>
      <c r="AC11" s="31">
        <v>32000</v>
      </c>
      <c r="AD11" s="31"/>
      <c r="AE11" s="31"/>
    </row>
    <row r="12" spans="1:31" ht="15.75">
      <c r="A12" s="24">
        <f t="shared" si="0"/>
        <v>10</v>
      </c>
      <c r="B12" s="26" t="s">
        <v>141</v>
      </c>
      <c r="C12" s="28">
        <v>400000</v>
      </c>
      <c r="D12" s="28">
        <v>300000</v>
      </c>
      <c r="E12" s="24"/>
      <c r="F12" s="24">
        <v>20</v>
      </c>
      <c r="G12" s="58">
        <v>20</v>
      </c>
      <c r="H12" s="58">
        <v>158.25</v>
      </c>
      <c r="I12" s="24">
        <v>155</v>
      </c>
      <c r="J12" s="24">
        <v>180</v>
      </c>
      <c r="K12" s="24"/>
      <c r="L12" s="24"/>
      <c r="M12" s="24">
        <v>60000</v>
      </c>
      <c r="N12" s="24"/>
      <c r="P12" s="31">
        <v>400000</v>
      </c>
      <c r="Q12" s="31">
        <v>40000</v>
      </c>
      <c r="R12" s="31">
        <v>300000</v>
      </c>
      <c r="S12" s="31">
        <v>289050</v>
      </c>
      <c r="T12" s="31"/>
      <c r="U12" s="31">
        <v>8250</v>
      </c>
      <c r="V12" s="31"/>
      <c r="W12" s="31"/>
      <c r="X12" s="31">
        <v>2700</v>
      </c>
      <c r="Y12" s="31"/>
      <c r="Z12" s="31"/>
      <c r="AA12" s="31"/>
      <c r="AB12" s="31"/>
      <c r="AC12" s="31">
        <v>32000</v>
      </c>
      <c r="AD12" s="31"/>
      <c r="AE12" s="31"/>
    </row>
    <row r="13" spans="1:31">
      <c r="A13" s="24">
        <f t="shared" si="0"/>
        <v>11</v>
      </c>
      <c r="B13" s="26" t="s">
        <v>142</v>
      </c>
      <c r="C13" s="28">
        <v>400000</v>
      </c>
      <c r="D13" s="28">
        <v>300000</v>
      </c>
      <c r="E13" s="24"/>
      <c r="F13" s="24">
        <v>22</v>
      </c>
      <c r="G13" s="24">
        <v>20</v>
      </c>
      <c r="H13" s="24">
        <v>176.5</v>
      </c>
      <c r="I13" s="24">
        <v>155</v>
      </c>
      <c r="J13" s="24">
        <v>180</v>
      </c>
      <c r="K13" s="24"/>
      <c r="L13" s="24"/>
      <c r="M13" s="24">
        <v>60000</v>
      </c>
      <c r="N13" s="24"/>
      <c r="P13" s="31">
        <v>400000</v>
      </c>
      <c r="Q13" s="31">
        <v>40000</v>
      </c>
      <c r="R13" s="31">
        <v>300000</v>
      </c>
      <c r="S13" s="31">
        <v>289050</v>
      </c>
      <c r="T13" s="31"/>
      <c r="U13" s="31">
        <v>8250</v>
      </c>
      <c r="V13" s="31"/>
      <c r="W13" s="31"/>
      <c r="X13" s="31">
        <v>2700</v>
      </c>
      <c r="Y13" s="31"/>
      <c r="Z13" s="31"/>
      <c r="AA13" s="31"/>
      <c r="AB13" s="31"/>
      <c r="AC13" s="31">
        <v>32000</v>
      </c>
      <c r="AD13" s="31"/>
      <c r="AE13" s="31"/>
    </row>
    <row r="14" spans="1:31">
      <c r="A14" s="24">
        <f t="shared" si="0"/>
        <v>12</v>
      </c>
      <c r="B14" s="26" t="s">
        <v>143</v>
      </c>
      <c r="C14" s="31">
        <v>443333</v>
      </c>
      <c r="D14" s="28">
        <v>300000</v>
      </c>
      <c r="E14" s="24"/>
      <c r="F14" s="24">
        <v>20</v>
      </c>
      <c r="G14" s="24">
        <v>20</v>
      </c>
      <c r="H14" s="24">
        <v>199.5</v>
      </c>
      <c r="I14" s="24">
        <v>155</v>
      </c>
      <c r="J14" s="24">
        <v>180</v>
      </c>
      <c r="K14" s="24"/>
      <c r="L14" s="24"/>
      <c r="M14" s="24">
        <v>60000</v>
      </c>
      <c r="N14" s="24"/>
      <c r="P14" s="31">
        <v>443333</v>
      </c>
      <c r="Q14" s="31">
        <v>44333</v>
      </c>
      <c r="R14" s="31">
        <v>332500</v>
      </c>
      <c r="S14" s="31">
        <v>318638</v>
      </c>
      <c r="T14" s="31"/>
      <c r="U14" s="31">
        <v>10870</v>
      </c>
      <c r="V14" s="31"/>
      <c r="W14" s="31"/>
      <c r="X14" s="31">
        <v>2992</v>
      </c>
      <c r="Y14" s="31">
        <v>19.5</v>
      </c>
      <c r="Z14" s="31">
        <v>32500</v>
      </c>
      <c r="AA14" s="31"/>
      <c r="AB14" s="31"/>
      <c r="AC14" s="31">
        <v>35467</v>
      </c>
      <c r="AD14" s="31"/>
      <c r="AE14" s="31"/>
    </row>
    <row r="15" spans="1:31">
      <c r="A15" s="24">
        <f t="shared" si="0"/>
        <v>13</v>
      </c>
      <c r="B15" s="26" t="s">
        <v>144</v>
      </c>
      <c r="C15" s="28">
        <v>400000</v>
      </c>
      <c r="D15" s="28">
        <v>300000</v>
      </c>
      <c r="E15" s="24"/>
      <c r="F15" s="24">
        <v>19</v>
      </c>
      <c r="G15" s="24">
        <v>18</v>
      </c>
      <c r="H15" s="24">
        <v>160.5</v>
      </c>
      <c r="I15" s="24">
        <v>155</v>
      </c>
      <c r="J15" s="24">
        <v>180</v>
      </c>
      <c r="K15" s="24"/>
      <c r="L15" s="24"/>
      <c r="M15" s="24">
        <v>60000</v>
      </c>
      <c r="N15" s="24"/>
      <c r="P15" s="31">
        <v>400000</v>
      </c>
      <c r="Q15" s="31">
        <v>40000</v>
      </c>
      <c r="R15" s="31">
        <v>660000</v>
      </c>
      <c r="S15" s="31">
        <v>597040</v>
      </c>
      <c r="T15" s="31">
        <v>360000</v>
      </c>
      <c r="U15" s="31">
        <v>57020</v>
      </c>
      <c r="V15" s="31"/>
      <c r="W15" s="31"/>
      <c r="X15" s="31">
        <v>5940</v>
      </c>
      <c r="Y15" s="31"/>
      <c r="Z15" s="31"/>
      <c r="AA15" s="31"/>
      <c r="AB15" s="31"/>
      <c r="AC15" s="31">
        <v>32000</v>
      </c>
      <c r="AD15" s="31"/>
      <c r="AE15" s="31"/>
    </row>
    <row r="16" spans="1:31">
      <c r="R16">
        <f>SUM(R3:R15)</f>
        <v>3599113</v>
      </c>
      <c r="AC16">
        <f>SUM(AC3:AC15)</f>
        <v>319906</v>
      </c>
    </row>
    <row r="17" spans="1:30">
      <c r="C17">
        <f>B18*0.9</f>
        <v>3638999.7</v>
      </c>
      <c r="M17" t="s">
        <v>155</v>
      </c>
    </row>
    <row r="18" spans="1:30">
      <c r="B18" s="7">
        <f>SUM(C3:C15)</f>
        <v>4043333</v>
      </c>
      <c r="D18">
        <f>R16</f>
        <v>3599113</v>
      </c>
      <c r="M18" s="59">
        <v>0.9</v>
      </c>
      <c r="AC18" t="s">
        <v>223</v>
      </c>
    </row>
    <row r="19" spans="1:30">
      <c r="A19" s="7" t="s">
        <v>239</v>
      </c>
      <c r="B19" s="126">
        <v>2639863</v>
      </c>
      <c r="L19" t="s">
        <v>162</v>
      </c>
      <c r="T19" t="s">
        <v>170</v>
      </c>
      <c r="AD19" s="51" t="s">
        <v>224</v>
      </c>
    </row>
    <row r="20" spans="1:30">
      <c r="A20" s="7">
        <f>SUM(B5:B17)</f>
        <v>0</v>
      </c>
    </row>
  </sheetData>
  <mergeCells count="8">
    <mergeCell ref="Y1:AB1"/>
    <mergeCell ref="AC1:AE1"/>
    <mergeCell ref="A1:A2"/>
    <mergeCell ref="B1:B2"/>
    <mergeCell ref="C1:M1"/>
    <mergeCell ref="P1:Q1"/>
    <mergeCell ref="R1:R2"/>
    <mergeCell ref="S1:X1"/>
  </mergeCells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8A4EC-F4EC-4606-9DEA-F2E3BD6E300D}">
  <sheetPr codeName="Sheet10"/>
  <dimension ref="A1:AE19"/>
  <sheetViews>
    <sheetView workbookViewId="0">
      <selection activeCell="R17" sqref="R17"/>
    </sheetView>
  </sheetViews>
  <sheetFormatPr defaultColWidth="8.875" defaultRowHeight="14.25"/>
  <cols>
    <col min="1" max="1" width="9" style="7"/>
    <col min="2" max="2" width="11.625" style="7" customWidth="1"/>
    <col min="6" max="8" width="9.625" bestFit="1" customWidth="1"/>
    <col min="10" max="10" width="9.625" bestFit="1" customWidth="1"/>
    <col min="12" max="12" width="11.875" bestFit="1" customWidth="1"/>
    <col min="13" max="14" width="11.125" customWidth="1"/>
    <col min="15" max="15" width="3.125" customWidth="1"/>
    <col min="16" max="16" width="9.625" bestFit="1" customWidth="1"/>
    <col min="19" max="19" width="9.625" bestFit="1" customWidth="1"/>
    <col min="21" max="23" width="9.625" bestFit="1" customWidth="1"/>
    <col min="24" max="24" width="11.125" bestFit="1" customWidth="1"/>
    <col min="25" max="27" width="11.125" customWidth="1"/>
    <col min="28" max="28" width="9.625" bestFit="1" customWidth="1"/>
    <col min="29" max="30" width="9.125" customWidth="1"/>
    <col min="31" max="31" width="9" bestFit="1" customWidth="1"/>
  </cols>
  <sheetData>
    <row r="1" spans="1:31" ht="15.75">
      <c r="A1" s="118" t="s">
        <v>0</v>
      </c>
      <c r="B1" s="118" t="s">
        <v>131</v>
      </c>
      <c r="C1" s="120" t="s">
        <v>127</v>
      </c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33" t="s">
        <v>225</v>
      </c>
      <c r="P1" s="113" t="s">
        <v>150</v>
      </c>
      <c r="Q1" s="122"/>
      <c r="R1" s="118" t="s">
        <v>219</v>
      </c>
      <c r="S1" s="123" t="s">
        <v>151</v>
      </c>
      <c r="T1" s="124"/>
      <c r="U1" s="124"/>
      <c r="V1" s="124"/>
      <c r="W1" s="124"/>
      <c r="X1" s="125"/>
      <c r="Y1" s="113" t="s">
        <v>215</v>
      </c>
      <c r="Z1" s="114"/>
      <c r="AA1" s="114"/>
      <c r="AB1" s="114"/>
      <c r="AC1" s="115" t="s">
        <v>160</v>
      </c>
      <c r="AD1" s="116"/>
      <c r="AE1" s="117"/>
    </row>
    <row r="2" spans="1:31" ht="15.75">
      <c r="A2" s="119"/>
      <c r="B2" s="119"/>
      <c r="C2" s="33" t="s">
        <v>121</v>
      </c>
      <c r="D2" s="33" t="s">
        <v>122</v>
      </c>
      <c r="E2" s="33" t="s">
        <v>130</v>
      </c>
      <c r="F2" s="33" t="s">
        <v>128</v>
      </c>
      <c r="G2" s="33" t="s">
        <v>129</v>
      </c>
      <c r="H2" s="33" t="s">
        <v>123</v>
      </c>
      <c r="I2" s="33" t="s">
        <v>124</v>
      </c>
      <c r="J2" s="33" t="s">
        <v>125</v>
      </c>
      <c r="K2" s="33" t="s">
        <v>126</v>
      </c>
      <c r="L2" s="33" t="s">
        <v>161</v>
      </c>
      <c r="M2" s="33" t="s">
        <v>145</v>
      </c>
      <c r="N2" s="33" t="s">
        <v>127</v>
      </c>
      <c r="P2" s="29" t="s">
        <v>149</v>
      </c>
      <c r="Q2" s="29" t="s">
        <v>146</v>
      </c>
      <c r="R2" s="119"/>
      <c r="S2" s="29" t="s">
        <v>220</v>
      </c>
      <c r="T2" s="29" t="s">
        <v>154</v>
      </c>
      <c r="U2" s="29" t="s">
        <v>152</v>
      </c>
      <c r="V2" s="29" t="s">
        <v>147</v>
      </c>
      <c r="W2" s="29" t="s">
        <v>153</v>
      </c>
      <c r="X2" s="29" t="s">
        <v>148</v>
      </c>
      <c r="Y2" s="29" t="s">
        <v>217</v>
      </c>
      <c r="Z2" s="29" t="s">
        <v>218</v>
      </c>
      <c r="AA2" s="29" t="s">
        <v>214</v>
      </c>
      <c r="AB2" s="29" t="s">
        <v>216</v>
      </c>
      <c r="AC2" s="30" t="s">
        <v>156</v>
      </c>
      <c r="AD2" s="30" t="s">
        <v>157</v>
      </c>
      <c r="AE2" s="30" t="s">
        <v>222</v>
      </c>
    </row>
    <row r="3" spans="1:31">
      <c r="A3" s="24">
        <f>ROW()-2</f>
        <v>1</v>
      </c>
      <c r="B3" s="26" t="s">
        <v>132</v>
      </c>
      <c r="C3" s="28"/>
      <c r="D3" s="28"/>
      <c r="E3" s="23"/>
      <c r="F3" s="23"/>
      <c r="G3" s="23"/>
      <c r="H3" s="24"/>
      <c r="I3" s="24"/>
      <c r="J3" s="24"/>
      <c r="K3" s="24"/>
      <c r="L3" s="24"/>
      <c r="M3" s="24"/>
      <c r="N3" s="24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</row>
    <row r="4" spans="1:31">
      <c r="A4" s="24">
        <f>ROW()-2</f>
        <v>2</v>
      </c>
      <c r="B4" s="26" t="s">
        <v>133</v>
      </c>
      <c r="C4" s="28">
        <v>590000</v>
      </c>
      <c r="D4" s="28">
        <v>420000</v>
      </c>
      <c r="E4" s="24">
        <v>28390</v>
      </c>
      <c r="F4" s="23"/>
      <c r="G4" s="23"/>
      <c r="H4" s="24"/>
      <c r="I4" s="24"/>
      <c r="J4" s="24"/>
      <c r="K4" s="24"/>
      <c r="L4" s="24"/>
      <c r="M4" s="24"/>
      <c r="N4" s="24"/>
      <c r="P4" s="31">
        <v>590000</v>
      </c>
      <c r="Q4" s="31">
        <v>59000</v>
      </c>
      <c r="R4" s="31">
        <v>448390</v>
      </c>
      <c r="S4" s="31">
        <v>423774</v>
      </c>
      <c r="T4" s="31"/>
      <c r="U4" s="31">
        <v>20580</v>
      </c>
      <c r="V4" s="31"/>
      <c r="W4" s="31"/>
      <c r="X4" s="31">
        <v>4036</v>
      </c>
      <c r="Y4" s="31"/>
      <c r="Z4" s="31"/>
      <c r="AA4" s="31"/>
      <c r="AB4" s="31"/>
      <c r="AC4" s="31">
        <v>47200</v>
      </c>
      <c r="AD4" s="31">
        <v>28322</v>
      </c>
      <c r="AE4" s="31">
        <v>125088</v>
      </c>
    </row>
    <row r="5" spans="1:31">
      <c r="A5" s="24">
        <f t="shared" ref="A5:A15" si="0">ROW()-2</f>
        <v>3</v>
      </c>
      <c r="B5" s="26" t="s">
        <v>134</v>
      </c>
      <c r="C5" s="28">
        <v>590000</v>
      </c>
      <c r="D5" s="28">
        <v>420000</v>
      </c>
      <c r="E5" s="24">
        <v>28390</v>
      </c>
      <c r="F5" s="23"/>
      <c r="G5" s="23"/>
      <c r="H5" s="24"/>
      <c r="I5" s="24"/>
      <c r="J5" s="24"/>
      <c r="K5" s="24"/>
      <c r="L5" s="24"/>
      <c r="M5" s="24"/>
      <c r="N5" s="24"/>
      <c r="P5" s="31">
        <v>590000</v>
      </c>
      <c r="Q5" s="31">
        <v>59000</v>
      </c>
      <c r="R5" s="31">
        <v>448390</v>
      </c>
      <c r="S5" s="31">
        <v>423774</v>
      </c>
      <c r="T5" s="31"/>
      <c r="U5" s="31">
        <v>20580</v>
      </c>
      <c r="V5" s="31"/>
      <c r="W5" s="31"/>
      <c r="X5" s="31">
        <v>4036</v>
      </c>
      <c r="Y5" s="31"/>
      <c r="Z5" s="31"/>
      <c r="AA5" s="31"/>
      <c r="AB5" s="31"/>
      <c r="AC5" s="31">
        <v>47200</v>
      </c>
      <c r="AD5" s="31">
        <v>28322</v>
      </c>
      <c r="AE5" s="31">
        <v>125088</v>
      </c>
    </row>
    <row r="6" spans="1:31">
      <c r="A6" s="24">
        <f t="shared" si="0"/>
        <v>4</v>
      </c>
      <c r="B6" s="26" t="s">
        <v>135</v>
      </c>
      <c r="C6" s="28">
        <v>590000</v>
      </c>
      <c r="D6" s="28">
        <v>420000</v>
      </c>
      <c r="E6" s="24">
        <v>28390</v>
      </c>
      <c r="F6" s="25"/>
      <c r="G6" s="23"/>
      <c r="H6" s="24"/>
      <c r="I6" s="24"/>
      <c r="J6" s="24"/>
      <c r="K6" s="24"/>
      <c r="L6" s="24"/>
      <c r="M6" s="24"/>
      <c r="N6" s="24"/>
      <c r="P6" s="31">
        <v>590000</v>
      </c>
      <c r="Q6" s="31">
        <v>59000</v>
      </c>
      <c r="R6" s="31">
        <v>448390</v>
      </c>
      <c r="S6" s="31">
        <v>423774</v>
      </c>
      <c r="T6" s="31"/>
      <c r="U6" s="31">
        <v>20580</v>
      </c>
      <c r="V6" s="31"/>
      <c r="W6" s="31"/>
      <c r="X6" s="31">
        <v>4036</v>
      </c>
      <c r="Y6" s="31"/>
      <c r="Z6" s="31"/>
      <c r="AA6" s="31"/>
      <c r="AB6" s="31"/>
      <c r="AC6" s="31">
        <v>47200</v>
      </c>
      <c r="AD6" s="31">
        <v>28322</v>
      </c>
      <c r="AE6" s="31">
        <v>125088</v>
      </c>
    </row>
    <row r="7" spans="1:31">
      <c r="A7" s="24">
        <f t="shared" si="0"/>
        <v>5</v>
      </c>
      <c r="B7" s="26" t="s">
        <v>136</v>
      </c>
      <c r="C7" s="28">
        <v>540000</v>
      </c>
      <c r="D7" s="28">
        <v>420000</v>
      </c>
      <c r="E7" s="24">
        <v>28390</v>
      </c>
      <c r="F7" s="23"/>
      <c r="G7" s="24"/>
      <c r="H7" s="24"/>
      <c r="I7" s="24"/>
      <c r="J7" s="24"/>
      <c r="K7" s="24"/>
      <c r="L7" s="24"/>
      <c r="M7" s="24"/>
      <c r="N7" s="24"/>
      <c r="P7" s="31">
        <v>590000</v>
      </c>
      <c r="Q7" s="31">
        <v>59000</v>
      </c>
      <c r="R7" s="31">
        <v>448390</v>
      </c>
      <c r="S7" s="31">
        <v>423774</v>
      </c>
      <c r="T7" s="31"/>
      <c r="U7" s="31">
        <v>20580</v>
      </c>
      <c r="V7" s="31"/>
      <c r="W7" s="31"/>
      <c r="X7" s="31">
        <v>4036</v>
      </c>
      <c r="Y7" s="31"/>
      <c r="Z7" s="31"/>
      <c r="AA7" s="31"/>
      <c r="AB7" s="31"/>
      <c r="AC7" s="31">
        <v>47200</v>
      </c>
      <c r="AD7" s="31">
        <v>28322</v>
      </c>
      <c r="AE7" s="31">
        <v>125088</v>
      </c>
    </row>
    <row r="8" spans="1:31">
      <c r="A8" s="24">
        <f t="shared" si="0"/>
        <v>6</v>
      </c>
      <c r="B8" s="26" t="s">
        <v>137</v>
      </c>
      <c r="C8" s="28">
        <v>540000</v>
      </c>
      <c r="D8" s="28">
        <v>420000</v>
      </c>
      <c r="E8" s="24">
        <v>28390</v>
      </c>
      <c r="F8" s="24">
        <v>18</v>
      </c>
      <c r="G8" s="24">
        <v>18</v>
      </c>
      <c r="H8" s="24">
        <v>140</v>
      </c>
      <c r="I8" s="24">
        <v>140</v>
      </c>
      <c r="J8" s="24">
        <v>180</v>
      </c>
      <c r="K8" s="24"/>
      <c r="L8" s="24"/>
      <c r="M8" s="24"/>
      <c r="N8" s="24"/>
      <c r="P8" s="31">
        <v>590000</v>
      </c>
      <c r="Q8" s="31">
        <v>59000</v>
      </c>
      <c r="R8" s="31">
        <v>448390</v>
      </c>
      <c r="S8" s="31">
        <v>423774</v>
      </c>
      <c r="T8" s="31"/>
      <c r="U8" s="31">
        <v>20580</v>
      </c>
      <c r="V8" s="31"/>
      <c r="W8" s="31"/>
      <c r="X8" s="31">
        <v>4036</v>
      </c>
      <c r="Y8" s="31"/>
      <c r="Z8" s="31"/>
      <c r="AA8" s="31"/>
      <c r="AB8" s="31"/>
      <c r="AC8" s="31">
        <v>47200</v>
      </c>
      <c r="AD8" s="31">
        <v>28322</v>
      </c>
      <c r="AE8" s="31">
        <v>125088</v>
      </c>
    </row>
    <row r="9" spans="1:31">
      <c r="A9" s="24">
        <f t="shared" si="0"/>
        <v>7</v>
      </c>
      <c r="B9" s="26" t="s">
        <v>138</v>
      </c>
      <c r="C9" s="28">
        <v>540000</v>
      </c>
      <c r="D9" s="28">
        <v>420000</v>
      </c>
      <c r="E9" s="28">
        <v>5568</v>
      </c>
      <c r="F9" s="24">
        <v>22</v>
      </c>
      <c r="G9" s="24">
        <v>22</v>
      </c>
      <c r="H9" s="24">
        <v>165</v>
      </c>
      <c r="I9" s="24">
        <v>140</v>
      </c>
      <c r="J9" s="24">
        <v>180</v>
      </c>
      <c r="K9" s="24"/>
      <c r="L9" s="41"/>
      <c r="M9" s="24"/>
      <c r="N9" s="24"/>
      <c r="P9" s="31">
        <v>540000</v>
      </c>
      <c r="Q9" s="31">
        <v>54000</v>
      </c>
      <c r="R9" s="31">
        <v>425568</v>
      </c>
      <c r="S9" s="31">
        <v>403518</v>
      </c>
      <c r="T9" s="31"/>
      <c r="U9" s="31">
        <v>18220</v>
      </c>
      <c r="V9" s="31"/>
      <c r="W9" s="31"/>
      <c r="X9" s="31">
        <v>3830</v>
      </c>
      <c r="Y9" s="31"/>
      <c r="Z9" s="31"/>
      <c r="AA9" s="31"/>
      <c r="AB9" s="31"/>
      <c r="AC9" s="31">
        <v>43200</v>
      </c>
      <c r="AD9" s="31">
        <v>22886</v>
      </c>
      <c r="AE9" s="31">
        <v>102346</v>
      </c>
    </row>
    <row r="10" spans="1:31">
      <c r="A10" s="24">
        <f t="shared" si="0"/>
        <v>8</v>
      </c>
      <c r="B10" s="26" t="s">
        <v>139</v>
      </c>
      <c r="C10" s="28">
        <v>540000</v>
      </c>
      <c r="D10" s="28">
        <v>420000</v>
      </c>
      <c r="E10" s="24">
        <v>3712</v>
      </c>
      <c r="F10" s="24">
        <v>21</v>
      </c>
      <c r="G10" s="24">
        <v>21</v>
      </c>
      <c r="H10" s="24">
        <v>162</v>
      </c>
      <c r="I10" s="24">
        <v>140</v>
      </c>
      <c r="J10" s="24">
        <v>180</v>
      </c>
      <c r="K10" s="24"/>
      <c r="L10" s="24"/>
      <c r="M10" s="24"/>
      <c r="N10" s="24"/>
      <c r="P10" s="31">
        <v>540000</v>
      </c>
      <c r="Q10" s="31">
        <v>54000</v>
      </c>
      <c r="R10" s="31">
        <v>423712</v>
      </c>
      <c r="S10" s="31">
        <v>401679</v>
      </c>
      <c r="T10" s="31"/>
      <c r="U10" s="31">
        <v>18220</v>
      </c>
      <c r="V10" s="31"/>
      <c r="W10" s="31"/>
      <c r="X10" s="31">
        <v>3813</v>
      </c>
      <c r="Y10" s="31"/>
      <c r="Z10" s="31"/>
      <c r="AA10" s="31"/>
      <c r="AB10" s="31"/>
      <c r="AC10" s="31">
        <v>43200</v>
      </c>
      <c r="AD10" s="31"/>
      <c r="AE10" s="31"/>
    </row>
    <row r="11" spans="1:31">
      <c r="A11" s="24">
        <f t="shared" si="0"/>
        <v>9</v>
      </c>
      <c r="B11" s="26" t="s">
        <v>140</v>
      </c>
      <c r="C11" s="28">
        <v>540000</v>
      </c>
      <c r="D11" s="28">
        <v>420000</v>
      </c>
      <c r="E11" s="24">
        <v>22272</v>
      </c>
      <c r="F11" s="24">
        <v>20</v>
      </c>
      <c r="G11" s="24">
        <v>20</v>
      </c>
      <c r="H11" s="24">
        <v>169</v>
      </c>
      <c r="I11" s="24">
        <v>140</v>
      </c>
      <c r="J11" s="24">
        <v>180</v>
      </c>
      <c r="K11" s="24"/>
      <c r="L11" s="24"/>
      <c r="M11" s="24"/>
      <c r="N11" s="24"/>
      <c r="P11" s="31">
        <v>540000</v>
      </c>
      <c r="Q11" s="31">
        <v>54000</v>
      </c>
      <c r="R11" s="31">
        <v>442272</v>
      </c>
      <c r="S11" s="31">
        <v>418592</v>
      </c>
      <c r="T11" s="31"/>
      <c r="U11" s="31">
        <v>19700</v>
      </c>
      <c r="V11" s="31"/>
      <c r="W11" s="31"/>
      <c r="X11" s="31">
        <v>3980</v>
      </c>
      <c r="Y11" s="31"/>
      <c r="Z11" s="31"/>
      <c r="AA11" s="31"/>
      <c r="AB11" s="31"/>
      <c r="AC11" s="31">
        <v>43200</v>
      </c>
      <c r="AD11" s="31"/>
      <c r="AE11" s="31"/>
    </row>
    <row r="12" spans="1:31">
      <c r="A12" s="24">
        <f t="shared" si="0"/>
        <v>10</v>
      </c>
      <c r="B12" s="26" t="s">
        <v>141</v>
      </c>
      <c r="C12" s="28">
        <v>540000</v>
      </c>
      <c r="D12" s="28">
        <v>420000</v>
      </c>
      <c r="E12" s="24">
        <v>31020</v>
      </c>
      <c r="F12" s="24">
        <v>20</v>
      </c>
      <c r="G12" s="24">
        <v>19</v>
      </c>
      <c r="H12" s="24">
        <v>180</v>
      </c>
      <c r="I12" s="24">
        <v>140</v>
      </c>
      <c r="J12" s="24">
        <v>180</v>
      </c>
      <c r="K12" s="24"/>
      <c r="L12" s="24"/>
      <c r="M12" s="24"/>
      <c r="N12" s="24"/>
      <c r="P12" s="31">
        <v>540000</v>
      </c>
      <c r="Q12" s="31">
        <v>54000</v>
      </c>
      <c r="R12" s="31">
        <v>451020</v>
      </c>
      <c r="S12" s="31">
        <v>425891</v>
      </c>
      <c r="T12" s="31"/>
      <c r="U12" s="31">
        <v>21070</v>
      </c>
      <c r="V12" s="31"/>
      <c r="W12" s="31"/>
      <c r="X12" s="31">
        <v>4059</v>
      </c>
      <c r="Y12" s="31"/>
      <c r="Z12" s="31"/>
      <c r="AA12" s="31"/>
      <c r="AB12" s="31"/>
      <c r="AC12" s="31">
        <v>43200</v>
      </c>
      <c r="AD12" s="31"/>
      <c r="AE12" s="31"/>
    </row>
    <row r="13" spans="1:31">
      <c r="A13" s="24">
        <f t="shared" si="0"/>
        <v>11</v>
      </c>
      <c r="B13" s="26" t="s">
        <v>142</v>
      </c>
      <c r="C13" s="28">
        <v>540000</v>
      </c>
      <c r="D13" s="28">
        <v>430000</v>
      </c>
      <c r="E13" s="24">
        <v>31020</v>
      </c>
      <c r="F13" s="24">
        <v>22</v>
      </c>
      <c r="G13" s="24">
        <v>21</v>
      </c>
      <c r="H13" s="24">
        <v>161.5</v>
      </c>
      <c r="I13" s="24">
        <v>140</v>
      </c>
      <c r="J13" s="24">
        <v>180</v>
      </c>
      <c r="K13" s="24"/>
      <c r="L13" s="24"/>
      <c r="M13" s="24"/>
      <c r="N13" s="24"/>
      <c r="P13" s="31">
        <v>540000</v>
      </c>
      <c r="Q13" s="31">
        <v>54000</v>
      </c>
      <c r="R13" s="31">
        <v>451020</v>
      </c>
      <c r="S13" s="31">
        <v>425891</v>
      </c>
      <c r="T13" s="31"/>
      <c r="U13" s="31">
        <v>21070</v>
      </c>
      <c r="V13" s="31"/>
      <c r="W13" s="31"/>
      <c r="X13" s="31">
        <v>4059</v>
      </c>
      <c r="Y13" s="31"/>
      <c r="Z13" s="31"/>
      <c r="AA13" s="31"/>
      <c r="AB13" s="31"/>
      <c r="AC13" s="31">
        <v>43200</v>
      </c>
      <c r="AD13" s="31"/>
      <c r="AE13" s="31"/>
    </row>
    <row r="14" spans="1:31">
      <c r="A14" s="24">
        <f t="shared" si="0"/>
        <v>12</v>
      </c>
      <c r="B14" s="26" t="s">
        <v>143</v>
      </c>
      <c r="C14" s="28">
        <v>540000</v>
      </c>
      <c r="D14" s="28">
        <v>430000</v>
      </c>
      <c r="E14" s="24">
        <v>11136</v>
      </c>
      <c r="F14" s="24">
        <v>20</v>
      </c>
      <c r="G14" s="24">
        <v>20</v>
      </c>
      <c r="H14" s="24">
        <v>191.5</v>
      </c>
      <c r="I14" s="24">
        <v>155</v>
      </c>
      <c r="J14" s="24">
        <v>180</v>
      </c>
      <c r="K14" s="24"/>
      <c r="L14" s="24"/>
      <c r="M14" s="24"/>
      <c r="N14" s="24"/>
      <c r="P14" s="31">
        <v>574500</v>
      </c>
      <c r="Q14" s="31">
        <v>57450</v>
      </c>
      <c r="R14" s="31">
        <v>468608</v>
      </c>
      <c r="S14" s="31">
        <v>440381</v>
      </c>
      <c r="T14" s="31"/>
      <c r="U14" s="31">
        <v>24010</v>
      </c>
      <c r="V14" s="31"/>
      <c r="W14" s="31"/>
      <c r="X14" s="31">
        <v>4217</v>
      </c>
      <c r="Y14" s="31">
        <v>11.5</v>
      </c>
      <c r="Z14" s="31">
        <v>27472</v>
      </c>
      <c r="AA14" s="31"/>
      <c r="AB14" s="31"/>
      <c r="AC14" s="31">
        <v>45960</v>
      </c>
      <c r="AD14" s="31"/>
      <c r="AE14" s="31"/>
    </row>
    <row r="15" spans="1:31">
      <c r="A15" s="24">
        <f t="shared" si="0"/>
        <v>13</v>
      </c>
      <c r="B15" s="26" t="s">
        <v>144</v>
      </c>
      <c r="C15" s="28">
        <v>540000</v>
      </c>
      <c r="D15" s="28">
        <v>450000</v>
      </c>
      <c r="E15" s="24">
        <v>1856</v>
      </c>
      <c r="F15" s="24">
        <v>19</v>
      </c>
      <c r="G15" s="24">
        <v>21</v>
      </c>
      <c r="H15" s="24">
        <v>195</v>
      </c>
      <c r="I15" s="24">
        <v>155</v>
      </c>
      <c r="J15" s="24">
        <v>180</v>
      </c>
      <c r="K15" s="24"/>
      <c r="L15" s="24"/>
      <c r="M15" s="24"/>
      <c r="N15" s="24"/>
      <c r="P15" s="31">
        <v>585000</v>
      </c>
      <c r="Q15" s="31">
        <v>58500</v>
      </c>
      <c r="R15" s="31">
        <v>489356</v>
      </c>
      <c r="S15" s="31">
        <v>458002</v>
      </c>
      <c r="T15" s="31"/>
      <c r="U15" s="31">
        <v>26950</v>
      </c>
      <c r="V15" s="31"/>
      <c r="W15" s="31"/>
      <c r="X15" s="31">
        <v>4404</v>
      </c>
      <c r="Y15" s="31">
        <v>15</v>
      </c>
      <c r="Z15" s="31">
        <v>37500</v>
      </c>
      <c r="AA15" s="31"/>
      <c r="AB15" s="31"/>
      <c r="AC15" s="31">
        <v>46800</v>
      </c>
      <c r="AD15" s="31"/>
      <c r="AE15" s="31"/>
    </row>
    <row r="16" spans="1:31">
      <c r="R16">
        <f>SUM(R4:R15)</f>
        <v>5393506</v>
      </c>
      <c r="AC16">
        <f>SUM(AC3:AC15)</f>
        <v>544760</v>
      </c>
      <c r="AD16">
        <f>SUM(AD3:AD15)</f>
        <v>164496</v>
      </c>
    </row>
    <row r="17" spans="1:30">
      <c r="H17" s="60"/>
      <c r="M17" t="s">
        <v>155</v>
      </c>
    </row>
    <row r="18" spans="1:30">
      <c r="B18" s="7">
        <f>SUM(C3:C15)</f>
        <v>6630000</v>
      </c>
      <c r="D18">
        <f>R16</f>
        <v>5393506</v>
      </c>
      <c r="AC18" t="s">
        <v>223</v>
      </c>
    </row>
    <row r="19" spans="1:30">
      <c r="A19" s="7" t="s">
        <v>239</v>
      </c>
      <c r="B19" s="126">
        <v>5073395</v>
      </c>
      <c r="L19" t="s">
        <v>162</v>
      </c>
      <c r="T19" t="s">
        <v>170</v>
      </c>
      <c r="AD19" s="51" t="s">
        <v>224</v>
      </c>
    </row>
  </sheetData>
  <mergeCells count="8">
    <mergeCell ref="Y1:AB1"/>
    <mergeCell ref="AC1:AE1"/>
    <mergeCell ref="A1:A2"/>
    <mergeCell ref="B1:B2"/>
    <mergeCell ref="C1:M1"/>
    <mergeCell ref="P1:Q1"/>
    <mergeCell ref="R1:R2"/>
    <mergeCell ref="S1:X1"/>
  </mergeCells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51F33-609E-4408-8479-CB2B1969A4CA}">
  <sheetPr codeName="Sheet9"/>
  <dimension ref="A1:AE19"/>
  <sheetViews>
    <sheetView workbookViewId="0">
      <selection activeCell="R17" sqref="R17"/>
    </sheetView>
  </sheetViews>
  <sheetFormatPr defaultColWidth="8.875" defaultRowHeight="14.25"/>
  <cols>
    <col min="1" max="1" width="9" style="7"/>
    <col min="2" max="2" width="11.625" style="7" customWidth="1"/>
    <col min="6" max="8" width="9.625" bestFit="1" customWidth="1"/>
    <col min="10" max="10" width="9.625" bestFit="1" customWidth="1"/>
    <col min="12" max="12" width="11.875" bestFit="1" customWidth="1"/>
    <col min="13" max="14" width="11.125" customWidth="1"/>
    <col min="15" max="15" width="3.125" customWidth="1"/>
    <col min="16" max="16" width="9.625" bestFit="1" customWidth="1"/>
    <col min="19" max="19" width="9.625" bestFit="1" customWidth="1"/>
    <col min="21" max="23" width="9.625" bestFit="1" customWidth="1"/>
    <col min="24" max="24" width="11.125" bestFit="1" customWidth="1"/>
    <col min="25" max="27" width="11.125" customWidth="1"/>
    <col min="28" max="28" width="9.625" bestFit="1" customWidth="1"/>
    <col min="29" max="30" width="9.125" customWidth="1"/>
    <col min="31" max="31" width="9" bestFit="1" customWidth="1"/>
  </cols>
  <sheetData>
    <row r="1" spans="1:31" ht="15.75">
      <c r="A1" s="118" t="s">
        <v>0</v>
      </c>
      <c r="B1" s="118" t="s">
        <v>131</v>
      </c>
      <c r="C1" s="120" t="s">
        <v>127</v>
      </c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33" t="s">
        <v>225</v>
      </c>
      <c r="P1" s="113" t="s">
        <v>150</v>
      </c>
      <c r="Q1" s="122"/>
      <c r="R1" s="118" t="s">
        <v>219</v>
      </c>
      <c r="S1" s="123" t="s">
        <v>151</v>
      </c>
      <c r="T1" s="124"/>
      <c r="U1" s="124"/>
      <c r="V1" s="124"/>
      <c r="W1" s="124"/>
      <c r="X1" s="125"/>
      <c r="Y1" s="113" t="s">
        <v>215</v>
      </c>
      <c r="Z1" s="114"/>
      <c r="AA1" s="114"/>
      <c r="AB1" s="114"/>
      <c r="AC1" s="115" t="s">
        <v>160</v>
      </c>
      <c r="AD1" s="116"/>
      <c r="AE1" s="117"/>
    </row>
    <row r="2" spans="1:31" ht="15.75">
      <c r="A2" s="119"/>
      <c r="B2" s="119"/>
      <c r="C2" s="33" t="s">
        <v>121</v>
      </c>
      <c r="D2" s="33" t="s">
        <v>122</v>
      </c>
      <c r="E2" s="33" t="s">
        <v>130</v>
      </c>
      <c r="F2" s="33" t="s">
        <v>128</v>
      </c>
      <c r="G2" s="33" t="s">
        <v>129</v>
      </c>
      <c r="H2" s="33" t="s">
        <v>123</v>
      </c>
      <c r="I2" s="33" t="s">
        <v>124</v>
      </c>
      <c r="J2" s="33" t="s">
        <v>125</v>
      </c>
      <c r="K2" s="33" t="s">
        <v>126</v>
      </c>
      <c r="L2" s="33" t="s">
        <v>161</v>
      </c>
      <c r="M2" s="33" t="s">
        <v>145</v>
      </c>
      <c r="N2" s="33" t="s">
        <v>127</v>
      </c>
      <c r="P2" s="29" t="s">
        <v>149</v>
      </c>
      <c r="Q2" s="29" t="s">
        <v>146</v>
      </c>
      <c r="R2" s="119"/>
      <c r="S2" s="29" t="s">
        <v>220</v>
      </c>
      <c r="T2" s="29" t="s">
        <v>154</v>
      </c>
      <c r="U2" s="29" t="s">
        <v>152</v>
      </c>
      <c r="V2" s="29" t="s">
        <v>147</v>
      </c>
      <c r="W2" s="29" t="s">
        <v>153</v>
      </c>
      <c r="X2" s="29" t="s">
        <v>148</v>
      </c>
      <c r="Y2" s="29" t="s">
        <v>217</v>
      </c>
      <c r="Z2" s="29" t="s">
        <v>218</v>
      </c>
      <c r="AA2" s="29" t="s">
        <v>214</v>
      </c>
      <c r="AB2" s="29" t="s">
        <v>216</v>
      </c>
      <c r="AC2" s="30" t="s">
        <v>156</v>
      </c>
      <c r="AD2" s="30" t="s">
        <v>157</v>
      </c>
      <c r="AE2" s="30" t="s">
        <v>222</v>
      </c>
    </row>
    <row r="3" spans="1:31">
      <c r="A3" s="24">
        <f>ROW()-2</f>
        <v>1</v>
      </c>
      <c r="B3" s="26" t="s">
        <v>132</v>
      </c>
      <c r="C3" s="28"/>
      <c r="D3" s="28"/>
      <c r="E3" s="23"/>
      <c r="F3" s="23"/>
      <c r="G3" s="23"/>
      <c r="H3" s="24"/>
      <c r="I3" s="24"/>
      <c r="J3" s="24"/>
      <c r="K3" s="24"/>
      <c r="L3" s="24"/>
      <c r="M3" s="24"/>
      <c r="N3" s="24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</row>
    <row r="4" spans="1:31">
      <c r="A4" s="24">
        <f>ROW()-2</f>
        <v>2</v>
      </c>
      <c r="B4" s="26" t="s">
        <v>133</v>
      </c>
      <c r="C4" s="28"/>
      <c r="D4" s="28"/>
      <c r="E4" s="23"/>
      <c r="F4" s="23"/>
      <c r="G4" s="23"/>
      <c r="H4" s="24"/>
      <c r="I4" s="24"/>
      <c r="J4" s="24"/>
      <c r="K4" s="24"/>
      <c r="L4" s="24"/>
      <c r="M4" s="24"/>
      <c r="N4" s="24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</row>
    <row r="5" spans="1:31">
      <c r="A5" s="24">
        <f t="shared" ref="A5:A15" si="0">ROW()-2</f>
        <v>3</v>
      </c>
      <c r="B5" s="26" t="s">
        <v>134</v>
      </c>
      <c r="C5" s="28"/>
      <c r="D5" s="28"/>
      <c r="E5" s="23"/>
      <c r="F5" s="23"/>
      <c r="G5" s="23"/>
      <c r="H5" s="24"/>
      <c r="I5" s="24"/>
      <c r="J5" s="24"/>
      <c r="K5" s="24"/>
      <c r="L5" s="24"/>
      <c r="M5" s="24"/>
      <c r="N5" s="24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</row>
    <row r="6" spans="1:31">
      <c r="A6" s="24">
        <f t="shared" si="0"/>
        <v>4</v>
      </c>
      <c r="B6" s="26" t="s">
        <v>135</v>
      </c>
      <c r="C6" s="28"/>
      <c r="D6" s="28"/>
      <c r="E6" s="23"/>
      <c r="F6" s="25"/>
      <c r="G6" s="23"/>
      <c r="H6" s="24"/>
      <c r="I6" s="24"/>
      <c r="J6" s="24"/>
      <c r="K6" s="24"/>
      <c r="L6" s="24"/>
      <c r="M6" s="24"/>
      <c r="N6" s="24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</row>
    <row r="7" spans="1:31">
      <c r="A7" s="24">
        <f t="shared" si="0"/>
        <v>5</v>
      </c>
      <c r="B7" s="26" t="s">
        <v>136</v>
      </c>
      <c r="C7" s="28"/>
      <c r="D7" s="28"/>
      <c r="E7" s="23"/>
      <c r="F7" s="23"/>
      <c r="G7" s="24"/>
      <c r="H7" s="24"/>
      <c r="I7" s="24"/>
      <c r="J7" s="24"/>
      <c r="K7" s="24"/>
      <c r="L7" s="24"/>
      <c r="M7" s="24"/>
      <c r="N7" s="24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</row>
    <row r="8" spans="1:31">
      <c r="A8" s="24">
        <f t="shared" si="0"/>
        <v>6</v>
      </c>
      <c r="B8" s="26" t="s">
        <v>137</v>
      </c>
      <c r="C8" s="28"/>
      <c r="D8" s="28"/>
      <c r="E8" s="23"/>
      <c r="F8" s="24"/>
      <c r="G8" s="24"/>
      <c r="H8" s="24"/>
      <c r="I8" s="24"/>
      <c r="J8" s="24"/>
      <c r="K8" s="24"/>
      <c r="L8" s="24"/>
      <c r="M8" s="24"/>
      <c r="N8" s="24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</row>
    <row r="9" spans="1:31">
      <c r="A9" s="24">
        <f t="shared" si="0"/>
        <v>7</v>
      </c>
      <c r="B9" s="26" t="s">
        <v>138</v>
      </c>
      <c r="C9" s="28">
        <v>580000</v>
      </c>
      <c r="D9" s="28">
        <v>480000</v>
      </c>
      <c r="E9" s="23">
        <v>13350</v>
      </c>
      <c r="F9" s="24">
        <v>22</v>
      </c>
      <c r="G9" s="24">
        <v>22</v>
      </c>
      <c r="H9" s="24">
        <v>173.75</v>
      </c>
      <c r="I9" s="24">
        <v>150</v>
      </c>
      <c r="J9" s="24">
        <v>190</v>
      </c>
      <c r="K9" s="24"/>
      <c r="L9" s="41"/>
      <c r="M9" s="24"/>
      <c r="N9" s="24"/>
      <c r="P9" s="31">
        <v>580000</v>
      </c>
      <c r="Q9" s="31">
        <v>58000</v>
      </c>
      <c r="R9" s="31">
        <v>493350</v>
      </c>
      <c r="S9" s="31">
        <v>460980</v>
      </c>
      <c r="T9" s="31"/>
      <c r="U9" s="31">
        <v>27930</v>
      </c>
      <c r="V9" s="31"/>
      <c r="W9" s="31"/>
      <c r="X9" s="31">
        <v>4440</v>
      </c>
      <c r="Y9" s="31"/>
      <c r="Z9" s="31"/>
      <c r="AA9" s="31"/>
      <c r="AB9" s="31"/>
      <c r="AC9" s="31">
        <v>46400</v>
      </c>
      <c r="AD9" s="31">
        <v>17330</v>
      </c>
      <c r="AE9" s="31">
        <v>80920</v>
      </c>
    </row>
    <row r="10" spans="1:31">
      <c r="A10" s="24">
        <f t="shared" si="0"/>
        <v>8</v>
      </c>
      <c r="B10" s="26" t="s">
        <v>139</v>
      </c>
      <c r="C10" s="28">
        <v>580000</v>
      </c>
      <c r="D10" s="28">
        <v>480000</v>
      </c>
      <c r="E10" s="23">
        <v>13350</v>
      </c>
      <c r="F10" s="24">
        <v>21</v>
      </c>
      <c r="G10" s="24">
        <v>20</v>
      </c>
      <c r="H10" s="24">
        <v>159.5</v>
      </c>
      <c r="I10" s="24">
        <v>150</v>
      </c>
      <c r="J10" s="24">
        <v>190</v>
      </c>
      <c r="K10" s="24"/>
      <c r="L10" s="24"/>
      <c r="M10" s="24"/>
      <c r="N10" s="24"/>
      <c r="P10" s="31">
        <v>580000</v>
      </c>
      <c r="Q10" s="31">
        <v>58000</v>
      </c>
      <c r="R10" s="31">
        <v>493350</v>
      </c>
      <c r="S10" s="31">
        <v>460980</v>
      </c>
      <c r="T10" s="31"/>
      <c r="U10" s="31">
        <v>27930</v>
      </c>
      <c r="V10" s="31"/>
      <c r="W10" s="31"/>
      <c r="X10" s="31">
        <v>4440</v>
      </c>
      <c r="Y10" s="31"/>
      <c r="Z10" s="31"/>
      <c r="AA10" s="31"/>
      <c r="AB10" s="31"/>
      <c r="AC10" s="31">
        <v>46400</v>
      </c>
      <c r="AD10" s="31"/>
      <c r="AE10" s="31"/>
    </row>
    <row r="11" spans="1:31">
      <c r="A11" s="24">
        <f t="shared" si="0"/>
        <v>9</v>
      </c>
      <c r="B11" s="26" t="s">
        <v>140</v>
      </c>
      <c r="C11" s="28">
        <v>580000</v>
      </c>
      <c r="D11" s="28">
        <v>480000</v>
      </c>
      <c r="E11" s="28">
        <v>13350</v>
      </c>
      <c r="F11" s="24">
        <v>19</v>
      </c>
      <c r="G11" s="24">
        <v>19</v>
      </c>
      <c r="H11" s="24">
        <v>152</v>
      </c>
      <c r="I11" s="24">
        <v>150</v>
      </c>
      <c r="J11" s="24">
        <v>190</v>
      </c>
      <c r="K11" s="24"/>
      <c r="L11" s="24"/>
      <c r="M11" s="24"/>
      <c r="N11" s="24"/>
      <c r="P11" s="31">
        <v>580000</v>
      </c>
      <c r="Q11" s="31">
        <v>58000</v>
      </c>
      <c r="R11" s="31">
        <v>493350</v>
      </c>
      <c r="S11" s="31">
        <v>460980</v>
      </c>
      <c r="T11" s="31"/>
      <c r="U11" s="31">
        <v>27930</v>
      </c>
      <c r="V11" s="31"/>
      <c r="W11" s="31"/>
      <c r="X11" s="31">
        <v>4440</v>
      </c>
      <c r="Y11" s="31"/>
      <c r="Z11" s="31"/>
      <c r="AA11" s="31"/>
      <c r="AB11" s="31"/>
      <c r="AC11" s="31">
        <v>46400</v>
      </c>
      <c r="AD11" s="31"/>
      <c r="AE11" s="31"/>
    </row>
    <row r="12" spans="1:31">
      <c r="A12" s="24">
        <f t="shared" si="0"/>
        <v>10</v>
      </c>
      <c r="B12" s="26" t="s">
        <v>141</v>
      </c>
      <c r="C12" s="28">
        <v>580000</v>
      </c>
      <c r="D12" s="28">
        <v>480000</v>
      </c>
      <c r="E12" s="24">
        <v>20240</v>
      </c>
      <c r="F12" s="24">
        <v>20</v>
      </c>
      <c r="G12" s="24">
        <v>20</v>
      </c>
      <c r="H12" s="24">
        <v>171</v>
      </c>
      <c r="I12" s="24">
        <v>150</v>
      </c>
      <c r="J12" s="24">
        <v>190</v>
      </c>
      <c r="K12" s="24"/>
      <c r="L12" s="24"/>
      <c r="M12" s="24"/>
      <c r="N12" s="24"/>
      <c r="P12" s="31">
        <v>580000</v>
      </c>
      <c r="Q12" s="31">
        <v>58000</v>
      </c>
      <c r="R12" s="31">
        <v>500240</v>
      </c>
      <c r="S12" s="31">
        <v>466828</v>
      </c>
      <c r="T12" s="31"/>
      <c r="U12" s="31">
        <v>28910</v>
      </c>
      <c r="V12" s="31"/>
      <c r="W12" s="31"/>
      <c r="X12" s="31">
        <v>4502</v>
      </c>
      <c r="Y12" s="31"/>
      <c r="Z12" s="31"/>
      <c r="AA12" s="31"/>
      <c r="AB12" s="31"/>
      <c r="AC12" s="31">
        <v>46400</v>
      </c>
      <c r="AD12" s="31"/>
      <c r="AE12" s="31"/>
    </row>
    <row r="13" spans="1:31">
      <c r="A13" s="24">
        <f t="shared" si="0"/>
        <v>11</v>
      </c>
      <c r="B13" s="26" t="s">
        <v>142</v>
      </c>
      <c r="C13" s="28">
        <v>580000</v>
      </c>
      <c r="D13" s="28">
        <v>480000</v>
      </c>
      <c r="E13" s="24">
        <v>21600</v>
      </c>
      <c r="F13" s="24">
        <v>22</v>
      </c>
      <c r="G13" s="24">
        <v>22</v>
      </c>
      <c r="H13" s="24">
        <v>179</v>
      </c>
      <c r="I13" s="24">
        <v>150</v>
      </c>
      <c r="J13" s="24">
        <v>190</v>
      </c>
      <c r="K13" s="24"/>
      <c r="L13" s="24"/>
      <c r="M13" s="24"/>
      <c r="N13" s="24"/>
      <c r="P13" s="31">
        <v>580000</v>
      </c>
      <c r="Q13" s="31">
        <v>58000</v>
      </c>
      <c r="R13" s="31">
        <v>501600</v>
      </c>
      <c r="S13" s="31">
        <v>467686</v>
      </c>
      <c r="T13" s="31"/>
      <c r="U13" s="31">
        <v>29400</v>
      </c>
      <c r="V13" s="31"/>
      <c r="W13" s="31"/>
      <c r="X13" s="31">
        <v>4514</v>
      </c>
      <c r="Y13" s="31"/>
      <c r="Z13" s="31"/>
      <c r="AA13" s="31"/>
      <c r="AB13" s="31"/>
      <c r="AC13" s="31">
        <v>46400</v>
      </c>
      <c r="AD13" s="31"/>
      <c r="AE13" s="31"/>
    </row>
    <row r="14" spans="1:31">
      <c r="A14" s="24">
        <f t="shared" si="0"/>
        <v>12</v>
      </c>
      <c r="B14" s="26" t="s">
        <v>143</v>
      </c>
      <c r="C14" s="28">
        <v>580000</v>
      </c>
      <c r="D14" s="28">
        <v>480000</v>
      </c>
      <c r="E14" s="24">
        <v>21600</v>
      </c>
      <c r="F14" s="24">
        <v>19</v>
      </c>
      <c r="G14" s="24">
        <v>19</v>
      </c>
      <c r="H14" s="24">
        <v>178.25</v>
      </c>
      <c r="I14" s="24">
        <v>150</v>
      </c>
      <c r="J14" s="24">
        <v>190</v>
      </c>
      <c r="K14" s="24"/>
      <c r="L14" s="24"/>
      <c r="M14" s="24"/>
      <c r="N14" s="24"/>
      <c r="P14" s="31">
        <v>580000</v>
      </c>
      <c r="Q14" s="31">
        <v>58000</v>
      </c>
      <c r="R14" s="31">
        <v>501600</v>
      </c>
      <c r="S14" s="31">
        <v>467686</v>
      </c>
      <c r="T14" s="31"/>
      <c r="U14" s="31">
        <v>29400</v>
      </c>
      <c r="V14" s="31"/>
      <c r="W14" s="31"/>
      <c r="X14" s="31">
        <v>4514</v>
      </c>
      <c r="Y14" s="31"/>
      <c r="Z14" s="31"/>
      <c r="AA14" s="31"/>
      <c r="AB14" s="31"/>
      <c r="AC14" s="31">
        <v>46400</v>
      </c>
      <c r="AD14" s="31"/>
      <c r="AE14" s="31"/>
    </row>
    <row r="15" spans="1:31">
      <c r="A15" s="24">
        <f t="shared" si="0"/>
        <v>13</v>
      </c>
      <c r="B15" s="26" t="s">
        <v>144</v>
      </c>
      <c r="C15" s="28">
        <v>580000</v>
      </c>
      <c r="D15" s="28">
        <v>480000</v>
      </c>
      <c r="E15" s="24">
        <v>21600</v>
      </c>
      <c r="F15" s="24">
        <v>19</v>
      </c>
      <c r="G15" s="24">
        <v>18</v>
      </c>
      <c r="H15" s="24">
        <v>167.5</v>
      </c>
      <c r="I15" s="24">
        <v>150</v>
      </c>
      <c r="J15" s="24">
        <v>190</v>
      </c>
      <c r="K15" s="24"/>
      <c r="L15" s="24"/>
      <c r="M15" s="24"/>
      <c r="N15" s="24"/>
      <c r="P15" s="31">
        <v>580000</v>
      </c>
      <c r="Q15" s="31">
        <v>58000</v>
      </c>
      <c r="R15" s="31">
        <v>501600</v>
      </c>
      <c r="S15" s="31">
        <v>467686</v>
      </c>
      <c r="T15" s="31"/>
      <c r="U15" s="31">
        <v>29400</v>
      </c>
      <c r="V15" s="31"/>
      <c r="W15" s="31"/>
      <c r="X15" s="31">
        <v>4514</v>
      </c>
      <c r="Y15" s="31"/>
      <c r="Z15" s="31"/>
      <c r="AA15" s="31"/>
      <c r="AB15" s="31"/>
      <c r="AC15" s="31">
        <v>46400</v>
      </c>
      <c r="AD15" s="31"/>
      <c r="AE15" s="31"/>
    </row>
    <row r="16" spans="1:31">
      <c r="R16">
        <f>SUM(R9:R15)</f>
        <v>3485090</v>
      </c>
      <c r="AC16">
        <f>SUM(AC3:AC15)</f>
        <v>324800</v>
      </c>
      <c r="AD16">
        <f>SUM(AD3:AD15)</f>
        <v>17330</v>
      </c>
    </row>
    <row r="17" spans="1:30">
      <c r="M17" t="s">
        <v>155</v>
      </c>
    </row>
    <row r="18" spans="1:30">
      <c r="B18" s="7">
        <f>SUM(C3:C15)</f>
        <v>4060000</v>
      </c>
      <c r="D18">
        <f>R16</f>
        <v>3485090</v>
      </c>
      <c r="AC18" t="s">
        <v>223</v>
      </c>
    </row>
    <row r="19" spans="1:30" ht="15.75">
      <c r="A19" s="127" t="s">
        <v>239</v>
      </c>
      <c r="B19" s="126">
        <v>2400000</v>
      </c>
      <c r="L19" t="s">
        <v>162</v>
      </c>
      <c r="T19" t="s">
        <v>170</v>
      </c>
      <c r="AD19" s="51" t="s">
        <v>224</v>
      </c>
    </row>
  </sheetData>
  <mergeCells count="8">
    <mergeCell ref="Y1:AB1"/>
    <mergeCell ref="AC1:AE1"/>
    <mergeCell ref="A1:A2"/>
    <mergeCell ref="B1:B2"/>
    <mergeCell ref="C1:M1"/>
    <mergeCell ref="P1:Q1"/>
    <mergeCell ref="R1:R2"/>
    <mergeCell ref="S1:X1"/>
  </mergeCells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42A19-9545-46B9-812A-9CD5957E648A}">
  <sheetPr codeName="Sheet11"/>
  <dimension ref="A1:AE19"/>
  <sheetViews>
    <sheetView workbookViewId="0">
      <selection sqref="A1:A2"/>
    </sheetView>
  </sheetViews>
  <sheetFormatPr defaultColWidth="8.875" defaultRowHeight="14.25"/>
  <cols>
    <col min="1" max="1" width="9" style="7"/>
    <col min="2" max="2" width="11.625" style="7" customWidth="1"/>
    <col min="6" max="8" width="9.625" bestFit="1" customWidth="1"/>
    <col min="10" max="10" width="9.625" bestFit="1" customWidth="1"/>
    <col min="12" max="12" width="11.875" bestFit="1" customWidth="1"/>
    <col min="13" max="14" width="11.125" customWidth="1"/>
    <col min="15" max="15" width="3.125" customWidth="1"/>
    <col min="16" max="16" width="9.625" bestFit="1" customWidth="1"/>
    <col min="19" max="19" width="9.625" bestFit="1" customWidth="1"/>
    <col min="21" max="23" width="9.625" bestFit="1" customWidth="1"/>
    <col min="24" max="24" width="11.125" bestFit="1" customWidth="1"/>
    <col min="25" max="27" width="11.125" customWidth="1"/>
    <col min="28" max="28" width="9.625" bestFit="1" customWidth="1"/>
    <col min="29" max="30" width="9.125" customWidth="1"/>
    <col min="31" max="31" width="9" bestFit="1" customWidth="1"/>
  </cols>
  <sheetData>
    <row r="1" spans="1:31" ht="15.75">
      <c r="A1" s="118" t="s">
        <v>0</v>
      </c>
      <c r="B1" s="118" t="s">
        <v>131</v>
      </c>
      <c r="C1" s="120" t="s">
        <v>127</v>
      </c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33" t="s">
        <v>225</v>
      </c>
      <c r="P1" s="113" t="s">
        <v>150</v>
      </c>
      <c r="Q1" s="122"/>
      <c r="R1" s="118" t="s">
        <v>219</v>
      </c>
      <c r="S1" s="123" t="s">
        <v>151</v>
      </c>
      <c r="T1" s="124"/>
      <c r="U1" s="124"/>
      <c r="V1" s="124"/>
      <c r="W1" s="124"/>
      <c r="X1" s="125"/>
      <c r="Y1" s="113" t="s">
        <v>215</v>
      </c>
      <c r="Z1" s="114"/>
      <c r="AA1" s="114"/>
      <c r="AB1" s="114"/>
      <c r="AC1" s="115" t="s">
        <v>160</v>
      </c>
      <c r="AD1" s="116"/>
      <c r="AE1" s="117"/>
    </row>
    <row r="2" spans="1:31" ht="15.75">
      <c r="A2" s="119"/>
      <c r="B2" s="119"/>
      <c r="C2" s="33" t="s">
        <v>121</v>
      </c>
      <c r="D2" s="33" t="s">
        <v>122</v>
      </c>
      <c r="E2" s="33" t="s">
        <v>130</v>
      </c>
      <c r="F2" s="33" t="s">
        <v>128</v>
      </c>
      <c r="G2" s="33" t="s">
        <v>129</v>
      </c>
      <c r="H2" s="33" t="s">
        <v>123</v>
      </c>
      <c r="I2" s="33" t="s">
        <v>124</v>
      </c>
      <c r="J2" s="33" t="s">
        <v>125</v>
      </c>
      <c r="K2" s="33" t="s">
        <v>126</v>
      </c>
      <c r="L2" s="33" t="s">
        <v>161</v>
      </c>
      <c r="M2" s="33" t="s">
        <v>145</v>
      </c>
      <c r="N2" s="33" t="s">
        <v>127</v>
      </c>
      <c r="P2" s="29" t="s">
        <v>149</v>
      </c>
      <c r="Q2" s="29" t="s">
        <v>146</v>
      </c>
      <c r="R2" s="119"/>
      <c r="S2" s="29" t="s">
        <v>220</v>
      </c>
      <c r="T2" s="29" t="s">
        <v>154</v>
      </c>
      <c r="U2" s="29" t="s">
        <v>152</v>
      </c>
      <c r="V2" s="29" t="s">
        <v>147</v>
      </c>
      <c r="W2" s="29" t="s">
        <v>153</v>
      </c>
      <c r="X2" s="29" t="s">
        <v>148</v>
      </c>
      <c r="Y2" s="29" t="s">
        <v>217</v>
      </c>
      <c r="Z2" s="29" t="s">
        <v>218</v>
      </c>
      <c r="AA2" s="29" t="s">
        <v>214</v>
      </c>
      <c r="AB2" s="29" t="s">
        <v>216</v>
      </c>
      <c r="AC2" s="30" t="s">
        <v>156</v>
      </c>
      <c r="AD2" s="30" t="s">
        <v>157</v>
      </c>
      <c r="AE2" s="30" t="s">
        <v>222</v>
      </c>
    </row>
    <row r="3" spans="1:31">
      <c r="A3" s="24">
        <f>ROW()-2</f>
        <v>1</v>
      </c>
      <c r="B3" s="26" t="s">
        <v>132</v>
      </c>
      <c r="C3" s="28"/>
      <c r="D3" s="28"/>
      <c r="E3" s="23"/>
      <c r="F3" s="23"/>
      <c r="G3" s="23"/>
      <c r="H3" s="24"/>
      <c r="I3" s="24"/>
      <c r="J3" s="24"/>
      <c r="K3" s="24"/>
      <c r="L3" s="24"/>
      <c r="M3" s="24"/>
      <c r="N3" s="24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</row>
    <row r="4" spans="1:31">
      <c r="A4" s="24">
        <f>ROW()-2</f>
        <v>2</v>
      </c>
      <c r="B4" s="26" t="s">
        <v>133</v>
      </c>
      <c r="C4" s="28"/>
      <c r="D4" s="28"/>
      <c r="E4" s="23"/>
      <c r="F4" s="23"/>
      <c r="G4" s="23"/>
      <c r="H4" s="24"/>
      <c r="I4" s="24"/>
      <c r="J4" s="24"/>
      <c r="K4" s="24"/>
      <c r="L4" s="24"/>
      <c r="M4" s="24"/>
      <c r="N4" s="24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</row>
    <row r="5" spans="1:31" ht="15.75">
      <c r="A5" s="24">
        <f t="shared" ref="A5:A15" si="0">ROW()-2</f>
        <v>3</v>
      </c>
      <c r="B5" s="26" t="s">
        <v>134</v>
      </c>
      <c r="C5" s="28">
        <v>460000</v>
      </c>
      <c r="D5" s="28">
        <v>350000</v>
      </c>
      <c r="E5" s="24">
        <v>17220</v>
      </c>
      <c r="F5" s="23"/>
      <c r="G5" s="23"/>
      <c r="H5" s="24"/>
      <c r="I5" s="24"/>
      <c r="J5" s="24"/>
      <c r="K5" s="24"/>
      <c r="L5" s="24"/>
      <c r="M5" s="53">
        <v>31800</v>
      </c>
      <c r="N5" s="24"/>
      <c r="P5" s="31">
        <v>460000</v>
      </c>
      <c r="Q5" s="31">
        <v>46000</v>
      </c>
      <c r="R5" s="31">
        <v>367220</v>
      </c>
      <c r="S5" s="31">
        <v>350345</v>
      </c>
      <c r="T5" s="31"/>
      <c r="U5" s="31">
        <v>13570</v>
      </c>
      <c r="V5" s="31"/>
      <c r="W5" s="31"/>
      <c r="X5" s="31">
        <v>3305</v>
      </c>
      <c r="Y5" s="31"/>
      <c r="Z5" s="31"/>
      <c r="AA5" s="31"/>
      <c r="AB5" s="31"/>
      <c r="AC5" s="31">
        <v>36800</v>
      </c>
      <c r="AD5" s="31">
        <v>18556</v>
      </c>
      <c r="AE5" s="31">
        <v>83424</v>
      </c>
    </row>
    <row r="6" spans="1:31" ht="15.75">
      <c r="A6" s="24">
        <f t="shared" si="0"/>
        <v>4</v>
      </c>
      <c r="B6" s="26" t="s">
        <v>135</v>
      </c>
      <c r="C6" s="28">
        <v>460000</v>
      </c>
      <c r="D6" s="28">
        <v>350000</v>
      </c>
      <c r="E6" s="24">
        <v>17220</v>
      </c>
      <c r="F6" s="25"/>
      <c r="G6" s="23"/>
      <c r="H6" s="24"/>
      <c r="I6" s="24"/>
      <c r="J6" s="24"/>
      <c r="K6" s="24"/>
      <c r="L6" s="24"/>
      <c r="M6" s="53">
        <v>31800</v>
      </c>
      <c r="N6" s="24"/>
      <c r="P6" s="31">
        <v>460000</v>
      </c>
      <c r="Q6" s="31">
        <v>46000</v>
      </c>
      <c r="R6" s="31">
        <v>367220</v>
      </c>
      <c r="S6" s="31">
        <v>350345</v>
      </c>
      <c r="T6" s="31"/>
      <c r="U6" s="31">
        <v>13570</v>
      </c>
      <c r="V6" s="31"/>
      <c r="W6" s="31"/>
      <c r="X6" s="31">
        <v>3305</v>
      </c>
      <c r="Y6" s="31"/>
      <c r="Z6" s="31"/>
      <c r="AA6" s="31"/>
      <c r="AB6" s="31"/>
      <c r="AC6" s="31">
        <v>36800</v>
      </c>
      <c r="AD6" s="31">
        <v>18556</v>
      </c>
      <c r="AE6" s="31">
        <v>83424</v>
      </c>
    </row>
    <row r="7" spans="1:31" ht="15.75">
      <c r="A7" s="24">
        <f t="shared" si="0"/>
        <v>5</v>
      </c>
      <c r="B7" s="26" t="s">
        <v>136</v>
      </c>
      <c r="C7" s="28">
        <v>460000</v>
      </c>
      <c r="D7" s="28">
        <v>350000</v>
      </c>
      <c r="E7" s="24">
        <v>17220</v>
      </c>
      <c r="F7" s="23"/>
      <c r="G7" s="24"/>
      <c r="H7" s="24"/>
      <c r="I7" s="24"/>
      <c r="J7" s="24"/>
      <c r="K7" s="24"/>
      <c r="L7" s="24"/>
      <c r="M7" s="53">
        <v>31800</v>
      </c>
      <c r="N7" s="24"/>
      <c r="P7" s="31">
        <v>460000</v>
      </c>
      <c r="Q7" s="31">
        <v>46000</v>
      </c>
      <c r="R7" s="31">
        <v>367220</v>
      </c>
      <c r="S7" s="31">
        <v>350345</v>
      </c>
      <c r="T7" s="31"/>
      <c r="U7" s="31">
        <v>13570</v>
      </c>
      <c r="V7" s="31"/>
      <c r="W7" s="31"/>
      <c r="X7" s="31">
        <v>3305</v>
      </c>
      <c r="Y7" s="31"/>
      <c r="Z7" s="31"/>
      <c r="AA7" s="31"/>
      <c r="AB7" s="31"/>
      <c r="AC7" s="31">
        <v>36800</v>
      </c>
      <c r="AD7" s="31">
        <v>18556</v>
      </c>
      <c r="AE7" s="31">
        <v>83424</v>
      </c>
    </row>
    <row r="8" spans="1:31" ht="15.75">
      <c r="A8" s="24">
        <f t="shared" si="0"/>
        <v>6</v>
      </c>
      <c r="B8" s="26" t="s">
        <v>137</v>
      </c>
      <c r="C8" s="28">
        <v>460000</v>
      </c>
      <c r="D8" s="28">
        <v>350000</v>
      </c>
      <c r="E8" s="24">
        <v>17220</v>
      </c>
      <c r="F8" s="24">
        <v>18</v>
      </c>
      <c r="G8" s="24">
        <v>18</v>
      </c>
      <c r="H8" s="24">
        <v>141</v>
      </c>
      <c r="I8" s="24">
        <v>140</v>
      </c>
      <c r="J8" s="24">
        <v>180</v>
      </c>
      <c r="K8" s="24"/>
      <c r="L8" s="24"/>
      <c r="M8" s="53">
        <v>31800</v>
      </c>
      <c r="N8" s="24"/>
      <c r="P8" s="31">
        <v>460000</v>
      </c>
      <c r="Q8" s="31">
        <v>46000</v>
      </c>
      <c r="R8" s="31">
        <v>367220</v>
      </c>
      <c r="S8" s="31">
        <v>350345</v>
      </c>
      <c r="T8" s="31"/>
      <c r="U8" s="31">
        <v>13570</v>
      </c>
      <c r="V8" s="31"/>
      <c r="W8" s="31"/>
      <c r="X8" s="31">
        <v>3305</v>
      </c>
      <c r="Y8" s="31"/>
      <c r="Z8" s="31"/>
      <c r="AA8" s="31"/>
      <c r="AB8" s="31"/>
      <c r="AC8" s="31">
        <v>36800</v>
      </c>
      <c r="AD8" s="31">
        <v>18556</v>
      </c>
      <c r="AE8" s="31">
        <v>83424</v>
      </c>
    </row>
    <row r="9" spans="1:31" ht="15.75">
      <c r="A9" s="24">
        <f t="shared" si="0"/>
        <v>7</v>
      </c>
      <c r="B9" s="26" t="s">
        <v>138</v>
      </c>
      <c r="C9" s="28">
        <v>460000</v>
      </c>
      <c r="D9" s="28">
        <v>350000</v>
      </c>
      <c r="E9" s="24">
        <v>0</v>
      </c>
      <c r="F9" s="24">
        <v>22</v>
      </c>
      <c r="G9" s="24">
        <v>22</v>
      </c>
      <c r="H9" s="24">
        <v>176</v>
      </c>
      <c r="I9" s="24">
        <v>140</v>
      </c>
      <c r="J9" s="24">
        <v>180</v>
      </c>
      <c r="K9" s="24"/>
      <c r="L9" s="41"/>
      <c r="M9" s="53">
        <v>31800</v>
      </c>
      <c r="N9" s="24"/>
      <c r="P9" s="31">
        <v>460000</v>
      </c>
      <c r="Q9" s="31">
        <v>46000</v>
      </c>
      <c r="R9" s="31">
        <v>509000</v>
      </c>
      <c r="S9" s="31">
        <v>474039</v>
      </c>
      <c r="T9" s="31">
        <v>159000</v>
      </c>
      <c r="U9" s="31">
        <v>30380</v>
      </c>
      <c r="V9" s="31"/>
      <c r="W9" s="31"/>
      <c r="X9" s="31">
        <v>4581</v>
      </c>
      <c r="Y9" s="31"/>
      <c r="Z9" s="31"/>
      <c r="AA9" s="31"/>
      <c r="AB9" s="31"/>
      <c r="AC9" s="31">
        <v>36800</v>
      </c>
      <c r="AD9" s="31">
        <v>-9800</v>
      </c>
      <c r="AE9" s="31">
        <v>-30000</v>
      </c>
    </row>
    <row r="10" spans="1:31" ht="15.75">
      <c r="A10" s="24">
        <f t="shared" si="0"/>
        <v>8</v>
      </c>
      <c r="B10" s="26" t="s">
        <v>139</v>
      </c>
      <c r="C10" s="28">
        <v>460000</v>
      </c>
      <c r="D10" s="28">
        <v>350000</v>
      </c>
      <c r="E10" s="24">
        <v>0</v>
      </c>
      <c r="F10" s="24">
        <v>21</v>
      </c>
      <c r="G10" s="24">
        <v>21</v>
      </c>
      <c r="H10" s="24">
        <v>163</v>
      </c>
      <c r="I10" s="24">
        <v>140</v>
      </c>
      <c r="J10" s="24">
        <v>180</v>
      </c>
      <c r="K10" s="24"/>
      <c r="L10" s="24"/>
      <c r="M10" s="53">
        <v>31800</v>
      </c>
      <c r="N10" s="24"/>
      <c r="P10" s="31">
        <v>460000</v>
      </c>
      <c r="Q10" s="31">
        <v>46000</v>
      </c>
      <c r="R10" s="31">
        <v>350000</v>
      </c>
      <c r="S10" s="31">
        <v>334750</v>
      </c>
      <c r="T10" s="31"/>
      <c r="U10" s="31">
        <v>12100</v>
      </c>
      <c r="V10" s="31"/>
      <c r="W10" s="31"/>
      <c r="X10" s="31">
        <v>3150</v>
      </c>
      <c r="Y10" s="31"/>
      <c r="Z10" s="31"/>
      <c r="AA10" s="31"/>
      <c r="AB10" s="31"/>
      <c r="AC10" s="31">
        <v>36800</v>
      </c>
      <c r="AD10" s="31"/>
      <c r="AE10" s="31"/>
    </row>
    <row r="11" spans="1:31" ht="15.75">
      <c r="A11" s="24">
        <f t="shared" si="0"/>
        <v>9</v>
      </c>
      <c r="B11" s="26" t="s">
        <v>140</v>
      </c>
      <c r="C11" s="28">
        <v>460000</v>
      </c>
      <c r="D11" s="28">
        <v>350000</v>
      </c>
      <c r="E11" s="24">
        <v>0</v>
      </c>
      <c r="F11" s="24">
        <v>20</v>
      </c>
      <c r="G11" s="24">
        <v>20</v>
      </c>
      <c r="H11" s="57">
        <v>173.5</v>
      </c>
      <c r="I11" s="24">
        <v>140</v>
      </c>
      <c r="J11" s="24">
        <v>180</v>
      </c>
      <c r="K11" s="24"/>
      <c r="L11" s="24"/>
      <c r="M11" s="53">
        <v>31800</v>
      </c>
      <c r="N11" s="24"/>
      <c r="P11" s="31">
        <v>460000</v>
      </c>
      <c r="Q11" s="31">
        <v>46000</v>
      </c>
      <c r="R11" s="31">
        <v>350000</v>
      </c>
      <c r="S11" s="31">
        <v>334750</v>
      </c>
      <c r="T11" s="31"/>
      <c r="U11" s="31">
        <v>12100</v>
      </c>
      <c r="V11" s="31"/>
      <c r="W11" s="31"/>
      <c r="X11" s="31">
        <v>3150</v>
      </c>
      <c r="Y11" s="31"/>
      <c r="Z11" s="31"/>
      <c r="AA11" s="31"/>
      <c r="AB11" s="31"/>
      <c r="AC11" s="31">
        <v>36800</v>
      </c>
      <c r="AD11" s="31"/>
      <c r="AE11" s="31"/>
    </row>
    <row r="12" spans="1:31" ht="15.75">
      <c r="A12" s="24">
        <f t="shared" si="0"/>
        <v>10</v>
      </c>
      <c r="B12" s="26" t="s">
        <v>141</v>
      </c>
      <c r="C12" s="28">
        <v>460000</v>
      </c>
      <c r="D12" s="28">
        <v>350000</v>
      </c>
      <c r="E12" s="24"/>
      <c r="F12" s="24">
        <v>20</v>
      </c>
      <c r="G12" s="24">
        <v>17</v>
      </c>
      <c r="H12" s="24">
        <v>136</v>
      </c>
      <c r="I12" s="24">
        <v>140</v>
      </c>
      <c r="J12" s="24">
        <v>180</v>
      </c>
      <c r="K12" s="24"/>
      <c r="L12" s="24"/>
      <c r="M12" s="53">
        <f>31800-908</f>
        <v>30892</v>
      </c>
      <c r="N12" s="24"/>
      <c r="P12" s="31">
        <v>446857</v>
      </c>
      <c r="Q12" s="31">
        <v>44686</v>
      </c>
      <c r="R12" s="31">
        <v>340000</v>
      </c>
      <c r="S12" s="31">
        <v>325580</v>
      </c>
      <c r="T12" s="31"/>
      <c r="U12" s="31">
        <v>11360</v>
      </c>
      <c r="V12" s="31"/>
      <c r="W12" s="31"/>
      <c r="X12" s="31">
        <v>3060</v>
      </c>
      <c r="Y12" s="31"/>
      <c r="Z12" s="31"/>
      <c r="AA12" s="31">
        <v>4</v>
      </c>
      <c r="AB12" s="31">
        <v>10000</v>
      </c>
      <c r="AC12" s="31">
        <v>35749</v>
      </c>
      <c r="AD12" s="31"/>
      <c r="AE12" s="31"/>
    </row>
    <row r="13" spans="1:31" ht="15.75">
      <c r="A13" s="24">
        <f t="shared" si="0"/>
        <v>11</v>
      </c>
      <c r="B13" s="26" t="s">
        <v>142</v>
      </c>
      <c r="C13" s="28">
        <v>460000</v>
      </c>
      <c r="D13" s="28">
        <v>350000</v>
      </c>
      <c r="E13" s="24"/>
      <c r="F13" s="24">
        <v>22</v>
      </c>
      <c r="G13" s="24">
        <v>22</v>
      </c>
      <c r="H13" s="24">
        <v>176</v>
      </c>
      <c r="I13" s="24">
        <v>140</v>
      </c>
      <c r="J13" s="24">
        <v>180</v>
      </c>
      <c r="K13" s="24"/>
      <c r="L13" s="24"/>
      <c r="M13" s="53">
        <v>31800</v>
      </c>
      <c r="N13" s="24"/>
      <c r="P13" s="31">
        <v>460000</v>
      </c>
      <c r="Q13" s="31">
        <v>46000</v>
      </c>
      <c r="R13" s="31">
        <v>350000</v>
      </c>
      <c r="S13" s="31">
        <v>334750</v>
      </c>
      <c r="T13" s="31"/>
      <c r="U13" s="31">
        <v>12100</v>
      </c>
      <c r="V13" s="31"/>
      <c r="W13" s="31"/>
      <c r="X13" s="31">
        <v>3150</v>
      </c>
      <c r="Y13" s="31"/>
      <c r="Z13" s="31"/>
      <c r="AA13" s="31"/>
      <c r="AB13" s="31"/>
      <c r="AC13" s="31">
        <v>36800</v>
      </c>
      <c r="AD13" s="31"/>
      <c r="AE13" s="31"/>
    </row>
    <row r="14" spans="1:31" ht="15.75">
      <c r="A14" s="24">
        <f t="shared" si="0"/>
        <v>12</v>
      </c>
      <c r="B14" s="26" t="s">
        <v>143</v>
      </c>
      <c r="C14" s="28">
        <v>460000</v>
      </c>
      <c r="D14" s="28">
        <v>350000</v>
      </c>
      <c r="E14" s="24"/>
      <c r="F14" s="24">
        <v>18</v>
      </c>
      <c r="G14" s="24">
        <v>18</v>
      </c>
      <c r="H14" s="24">
        <v>146</v>
      </c>
      <c r="I14" s="24">
        <v>140</v>
      </c>
      <c r="J14" s="24">
        <v>180</v>
      </c>
      <c r="K14" s="24"/>
      <c r="L14" s="24"/>
      <c r="M14" s="53">
        <v>31800</v>
      </c>
      <c r="N14" s="24"/>
      <c r="P14" s="31">
        <v>460000</v>
      </c>
      <c r="Q14" s="31">
        <v>46000</v>
      </c>
      <c r="R14" s="31">
        <v>350000</v>
      </c>
      <c r="S14" s="31">
        <v>334750</v>
      </c>
      <c r="T14" s="31"/>
      <c r="U14" s="31">
        <v>12100</v>
      </c>
      <c r="V14" s="31"/>
      <c r="W14" s="31"/>
      <c r="X14" s="31">
        <v>3150</v>
      </c>
      <c r="Y14" s="31"/>
      <c r="Z14" s="31"/>
      <c r="AA14" s="31"/>
      <c r="AB14" s="31"/>
      <c r="AC14" s="31">
        <v>36800</v>
      </c>
      <c r="AD14" s="31"/>
      <c r="AE14" s="31"/>
    </row>
    <row r="15" spans="1:31" ht="15.75">
      <c r="A15" s="24">
        <f t="shared" si="0"/>
        <v>13</v>
      </c>
      <c r="B15" s="26" t="s">
        <v>144</v>
      </c>
      <c r="C15" s="28">
        <v>460000</v>
      </c>
      <c r="D15" s="28">
        <v>350000</v>
      </c>
      <c r="E15" s="24"/>
      <c r="F15" s="24">
        <v>19</v>
      </c>
      <c r="G15" s="24">
        <v>19</v>
      </c>
      <c r="H15" s="24">
        <v>151</v>
      </c>
      <c r="I15" s="24">
        <v>140</v>
      </c>
      <c r="J15" s="24">
        <v>180</v>
      </c>
      <c r="K15" s="24"/>
      <c r="L15" s="24"/>
      <c r="M15" s="53">
        <v>31800</v>
      </c>
      <c r="N15" s="24"/>
      <c r="P15" s="31">
        <v>460000</v>
      </c>
      <c r="Q15" s="31">
        <v>46000</v>
      </c>
      <c r="R15" s="31">
        <v>539892</v>
      </c>
      <c r="S15" s="31">
        <v>499743</v>
      </c>
      <c r="T15" s="31">
        <v>189892</v>
      </c>
      <c r="U15" s="31">
        <v>35290</v>
      </c>
      <c r="V15" s="31"/>
      <c r="W15" s="31"/>
      <c r="X15" s="31">
        <v>4859</v>
      </c>
      <c r="Y15" s="31"/>
      <c r="Z15" s="31"/>
      <c r="AA15" s="31"/>
      <c r="AB15" s="31"/>
      <c r="AC15" s="31">
        <v>36800</v>
      </c>
      <c r="AD15" s="31"/>
      <c r="AE15" s="31"/>
    </row>
    <row r="16" spans="1:31">
      <c r="R16">
        <f>SUM(R3:R15)</f>
        <v>4257772</v>
      </c>
      <c r="AC16">
        <f>SUM(AC3:AC15)</f>
        <v>403749</v>
      </c>
      <c r="AD16">
        <f>SUM(AD3:AD15)</f>
        <v>64424</v>
      </c>
    </row>
    <row r="17" spans="1:30">
      <c r="C17">
        <f>B18*0.83</f>
        <v>4199800</v>
      </c>
      <c r="M17" t="s">
        <v>155</v>
      </c>
    </row>
    <row r="18" spans="1:30">
      <c r="B18" s="7">
        <f>SUM(C3:C15)</f>
        <v>5060000</v>
      </c>
      <c r="D18">
        <f>R16</f>
        <v>4257772</v>
      </c>
      <c r="M18" s="59">
        <v>0.83</v>
      </c>
      <c r="AC18" t="s">
        <v>223</v>
      </c>
    </row>
    <row r="19" spans="1:30">
      <c r="A19" s="7" t="s">
        <v>239</v>
      </c>
      <c r="B19" s="126">
        <v>3659000</v>
      </c>
      <c r="L19" t="s">
        <v>162</v>
      </c>
      <c r="T19" t="s">
        <v>170</v>
      </c>
      <c r="AD19" s="51" t="s">
        <v>224</v>
      </c>
    </row>
  </sheetData>
  <mergeCells count="8">
    <mergeCell ref="Y1:AB1"/>
    <mergeCell ref="AC1:AE1"/>
    <mergeCell ref="A1:A2"/>
    <mergeCell ref="B1:B2"/>
    <mergeCell ref="C1:M1"/>
    <mergeCell ref="P1:Q1"/>
    <mergeCell ref="R1:R2"/>
    <mergeCell ref="S1:X1"/>
  </mergeCells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58F8E-904F-4C70-9CAC-BD3716850D51}">
  <sheetPr codeName="Sheet14"/>
  <dimension ref="A1:AE19"/>
  <sheetViews>
    <sheetView workbookViewId="0">
      <selection activeCell="Q16" sqref="Q16"/>
    </sheetView>
  </sheetViews>
  <sheetFormatPr defaultColWidth="8.875" defaultRowHeight="14.25"/>
  <cols>
    <col min="1" max="1" width="9" style="7"/>
    <col min="2" max="2" width="11.625" style="7" customWidth="1"/>
    <col min="6" max="8" width="9.625" bestFit="1" customWidth="1"/>
    <col min="10" max="10" width="9.625" bestFit="1" customWidth="1"/>
    <col min="12" max="12" width="11.875" bestFit="1" customWidth="1"/>
    <col min="13" max="14" width="11.125" customWidth="1"/>
    <col min="15" max="15" width="3.125" customWidth="1"/>
    <col min="16" max="16" width="9.625" bestFit="1" customWidth="1"/>
    <col min="19" max="19" width="9.625" bestFit="1" customWidth="1"/>
    <col min="21" max="23" width="9.625" bestFit="1" customWidth="1"/>
    <col min="24" max="24" width="11.125" bestFit="1" customWidth="1"/>
    <col min="25" max="27" width="11.125" customWidth="1"/>
    <col min="28" max="28" width="9.625" bestFit="1" customWidth="1"/>
    <col min="29" max="30" width="9.125" customWidth="1"/>
    <col min="31" max="31" width="9" bestFit="1" customWidth="1"/>
  </cols>
  <sheetData>
    <row r="1" spans="1:31" ht="15.75">
      <c r="A1" s="118" t="s">
        <v>0</v>
      </c>
      <c r="B1" s="118" t="s">
        <v>131</v>
      </c>
      <c r="C1" s="120" t="s">
        <v>127</v>
      </c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33" t="s">
        <v>225</v>
      </c>
      <c r="P1" s="113" t="s">
        <v>150</v>
      </c>
      <c r="Q1" s="122"/>
      <c r="R1" s="118" t="s">
        <v>219</v>
      </c>
      <c r="S1" s="123" t="s">
        <v>151</v>
      </c>
      <c r="T1" s="124"/>
      <c r="U1" s="124"/>
      <c r="V1" s="124"/>
      <c r="W1" s="124"/>
      <c r="X1" s="125"/>
      <c r="Y1" s="113" t="s">
        <v>215</v>
      </c>
      <c r="Z1" s="114"/>
      <c r="AA1" s="114"/>
      <c r="AB1" s="114"/>
      <c r="AC1" s="115" t="s">
        <v>160</v>
      </c>
      <c r="AD1" s="116"/>
      <c r="AE1" s="117"/>
    </row>
    <row r="2" spans="1:31" ht="15.75">
      <c r="A2" s="119"/>
      <c r="B2" s="119"/>
      <c r="C2" s="33" t="s">
        <v>121</v>
      </c>
      <c r="D2" s="33" t="s">
        <v>122</v>
      </c>
      <c r="E2" s="33" t="s">
        <v>130</v>
      </c>
      <c r="F2" s="33" t="s">
        <v>128</v>
      </c>
      <c r="G2" s="33" t="s">
        <v>129</v>
      </c>
      <c r="H2" s="33" t="s">
        <v>123</v>
      </c>
      <c r="I2" s="33" t="s">
        <v>124</v>
      </c>
      <c r="J2" s="33" t="s">
        <v>125</v>
      </c>
      <c r="K2" s="33" t="s">
        <v>126</v>
      </c>
      <c r="L2" s="33" t="s">
        <v>161</v>
      </c>
      <c r="M2" s="33" t="s">
        <v>145</v>
      </c>
      <c r="N2" s="33" t="s">
        <v>127</v>
      </c>
      <c r="P2" s="29" t="s">
        <v>149</v>
      </c>
      <c r="Q2" s="29" t="s">
        <v>146</v>
      </c>
      <c r="R2" s="119"/>
      <c r="S2" s="29" t="s">
        <v>220</v>
      </c>
      <c r="T2" s="29" t="s">
        <v>227</v>
      </c>
      <c r="U2" s="29" t="s">
        <v>152</v>
      </c>
      <c r="V2" s="29" t="s">
        <v>147</v>
      </c>
      <c r="W2" s="29" t="s">
        <v>153</v>
      </c>
      <c r="X2" s="29" t="s">
        <v>148</v>
      </c>
      <c r="Y2" s="29" t="s">
        <v>217</v>
      </c>
      <c r="Z2" s="29" t="s">
        <v>218</v>
      </c>
      <c r="AA2" s="29" t="s">
        <v>214</v>
      </c>
      <c r="AB2" s="29" t="s">
        <v>216</v>
      </c>
      <c r="AC2" s="30" t="s">
        <v>156</v>
      </c>
      <c r="AD2" s="30" t="s">
        <v>157</v>
      </c>
      <c r="AE2" s="30" t="s">
        <v>222</v>
      </c>
    </row>
    <row r="3" spans="1:31">
      <c r="A3" s="24">
        <f>ROW()-2</f>
        <v>1</v>
      </c>
      <c r="B3" s="26" t="s">
        <v>132</v>
      </c>
      <c r="C3" s="28"/>
      <c r="D3" s="28"/>
      <c r="E3" s="23"/>
      <c r="F3" s="23"/>
      <c r="G3" s="23"/>
      <c r="H3" s="24"/>
      <c r="I3" s="24"/>
      <c r="J3" s="24"/>
      <c r="K3" s="24"/>
      <c r="L3" s="24"/>
      <c r="M3" s="24"/>
      <c r="N3" s="24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</row>
    <row r="4" spans="1:31">
      <c r="A4" s="24">
        <f>ROW()-2</f>
        <v>2</v>
      </c>
      <c r="B4" s="26" t="s">
        <v>133</v>
      </c>
      <c r="C4" s="28"/>
      <c r="D4" s="28"/>
      <c r="E4" s="23"/>
      <c r="F4" s="23"/>
      <c r="G4" s="23"/>
      <c r="H4" s="24"/>
      <c r="I4" s="24"/>
      <c r="J4" s="24"/>
      <c r="K4" s="24"/>
      <c r="L4" s="24"/>
      <c r="M4" s="24"/>
      <c r="N4" s="24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</row>
    <row r="5" spans="1:31">
      <c r="A5" s="24">
        <f t="shared" ref="A5:A15" si="0">ROW()-2</f>
        <v>3</v>
      </c>
      <c r="B5" s="26" t="s">
        <v>134</v>
      </c>
      <c r="C5" s="28"/>
      <c r="D5" s="28"/>
      <c r="E5" s="23"/>
      <c r="F5" s="23"/>
      <c r="G5" s="23"/>
      <c r="H5" s="24"/>
      <c r="I5" s="24"/>
      <c r="J5" s="24"/>
      <c r="K5" s="24"/>
      <c r="L5" s="24"/>
      <c r="M5" s="24"/>
      <c r="N5" s="24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</row>
    <row r="6" spans="1:31">
      <c r="A6" s="24">
        <f t="shared" si="0"/>
        <v>4</v>
      </c>
      <c r="B6" s="26" t="s">
        <v>135</v>
      </c>
      <c r="C6" s="28">
        <v>410000</v>
      </c>
      <c r="D6" s="28">
        <v>340000</v>
      </c>
      <c r="E6" s="24">
        <v>10100</v>
      </c>
      <c r="F6" s="25"/>
      <c r="G6" s="23"/>
      <c r="H6" s="24"/>
      <c r="I6" s="24"/>
      <c r="J6" s="24"/>
      <c r="K6" s="24"/>
      <c r="L6" s="52">
        <v>0.4</v>
      </c>
      <c r="M6" s="24"/>
      <c r="N6" s="24"/>
      <c r="P6" s="31">
        <v>410000</v>
      </c>
      <c r="Q6" s="31">
        <v>41000</v>
      </c>
      <c r="R6" s="31">
        <v>369780</v>
      </c>
      <c r="S6" s="31">
        <v>352642</v>
      </c>
      <c r="T6" s="31">
        <v>19680</v>
      </c>
      <c r="U6" s="31">
        <v>13810</v>
      </c>
      <c r="V6" s="31"/>
      <c r="W6" s="31"/>
      <c r="X6" s="31">
        <v>3328</v>
      </c>
      <c r="Y6" s="31"/>
      <c r="Z6" s="31"/>
      <c r="AA6" s="31"/>
      <c r="AB6" s="31"/>
      <c r="AC6" s="31">
        <v>13120</v>
      </c>
      <c r="AD6" s="31">
        <v>8044</v>
      </c>
      <c r="AE6" s="31">
        <v>60056</v>
      </c>
    </row>
    <row r="7" spans="1:31">
      <c r="A7" s="24">
        <f t="shared" si="0"/>
        <v>5</v>
      </c>
      <c r="B7" s="26" t="s">
        <v>136</v>
      </c>
      <c r="C7" s="28">
        <v>410000</v>
      </c>
      <c r="D7" s="28">
        <v>340000</v>
      </c>
      <c r="E7" s="24">
        <v>10100</v>
      </c>
      <c r="F7" s="23"/>
      <c r="G7" s="24"/>
      <c r="H7" s="24"/>
      <c r="I7" s="24"/>
      <c r="J7" s="24"/>
      <c r="K7" s="24"/>
      <c r="L7" s="52">
        <v>0.4</v>
      </c>
      <c r="M7" s="24"/>
      <c r="N7" s="24"/>
      <c r="P7" s="31">
        <v>410000</v>
      </c>
      <c r="Q7" s="31">
        <v>41000</v>
      </c>
      <c r="R7" s="31">
        <v>369780</v>
      </c>
      <c r="S7" s="31">
        <v>352642</v>
      </c>
      <c r="T7" s="31">
        <v>19680</v>
      </c>
      <c r="U7" s="31">
        <v>13810</v>
      </c>
      <c r="V7" s="31"/>
      <c r="W7" s="31"/>
      <c r="X7" s="31">
        <v>3328</v>
      </c>
      <c r="Y7" s="31"/>
      <c r="Z7" s="31"/>
      <c r="AA7" s="31"/>
      <c r="AB7" s="31"/>
      <c r="AC7" s="31">
        <v>13120</v>
      </c>
      <c r="AD7" s="31">
        <v>8044</v>
      </c>
      <c r="AE7" s="31">
        <v>60056</v>
      </c>
    </row>
    <row r="8" spans="1:31">
      <c r="A8" s="24">
        <f t="shared" si="0"/>
        <v>6</v>
      </c>
      <c r="B8" s="26" t="s">
        <v>137</v>
      </c>
      <c r="C8" s="28">
        <v>410000</v>
      </c>
      <c r="D8" s="28">
        <v>340000</v>
      </c>
      <c r="E8" s="28"/>
      <c r="F8" s="24">
        <v>18</v>
      </c>
      <c r="G8" s="24">
        <v>18</v>
      </c>
      <c r="H8" s="24">
        <v>181</v>
      </c>
      <c r="I8" s="24">
        <v>140</v>
      </c>
      <c r="J8" s="24">
        <v>200</v>
      </c>
      <c r="K8" s="24"/>
      <c r="L8" s="52">
        <v>0.4</v>
      </c>
      <c r="M8" s="24"/>
      <c r="N8" s="24"/>
      <c r="P8" s="31">
        <v>410000</v>
      </c>
      <c r="Q8" s="31">
        <v>41000</v>
      </c>
      <c r="R8" s="31">
        <v>369780</v>
      </c>
      <c r="S8" s="31">
        <v>352642</v>
      </c>
      <c r="T8" s="31">
        <v>19680</v>
      </c>
      <c r="U8" s="31">
        <v>13810</v>
      </c>
      <c r="V8" s="31"/>
      <c r="W8" s="31"/>
      <c r="X8" s="31">
        <v>3328</v>
      </c>
      <c r="Y8" s="31"/>
      <c r="Z8" s="31"/>
      <c r="AA8" s="31"/>
      <c r="AB8" s="31"/>
      <c r="AC8" s="31">
        <v>13120</v>
      </c>
      <c r="AD8" s="31">
        <v>8044</v>
      </c>
      <c r="AE8" s="31">
        <v>60056</v>
      </c>
    </row>
    <row r="9" spans="1:31">
      <c r="A9" s="24">
        <f t="shared" si="0"/>
        <v>7</v>
      </c>
      <c r="B9" s="26" t="s">
        <v>138</v>
      </c>
      <c r="C9" s="28">
        <v>410000</v>
      </c>
      <c r="D9" s="28">
        <v>340000</v>
      </c>
      <c r="E9" s="28"/>
      <c r="F9" s="24">
        <v>22</v>
      </c>
      <c r="G9" s="24">
        <v>22</v>
      </c>
      <c r="H9" s="24">
        <v>231.5</v>
      </c>
      <c r="I9" s="24">
        <v>140</v>
      </c>
      <c r="J9" s="24">
        <v>200</v>
      </c>
      <c r="K9" s="24"/>
      <c r="L9" s="52">
        <v>0.4</v>
      </c>
      <c r="M9" s="24"/>
      <c r="N9" s="24"/>
      <c r="P9" s="31">
        <v>474575</v>
      </c>
      <c r="Q9" s="31">
        <v>47458</v>
      </c>
      <c r="R9" s="31">
        <v>416330</v>
      </c>
      <c r="S9" s="31">
        <v>395093</v>
      </c>
      <c r="T9" s="31">
        <v>22780</v>
      </c>
      <c r="U9" s="31">
        <v>17490</v>
      </c>
      <c r="V9" s="31"/>
      <c r="W9" s="31"/>
      <c r="X9" s="31">
        <v>3747</v>
      </c>
      <c r="Y9" s="31">
        <v>31.5</v>
      </c>
      <c r="Z9" s="31">
        <v>53550</v>
      </c>
      <c r="AA9" s="31"/>
      <c r="AB9" s="31"/>
      <c r="AC9" s="31">
        <v>15186</v>
      </c>
      <c r="AD9" s="31">
        <v>11649</v>
      </c>
      <c r="AE9" s="31">
        <v>78868</v>
      </c>
    </row>
    <row r="10" spans="1:31">
      <c r="A10" s="24">
        <f t="shared" si="0"/>
        <v>8</v>
      </c>
      <c r="B10" s="26" t="s">
        <v>139</v>
      </c>
      <c r="C10" s="28">
        <v>410000</v>
      </c>
      <c r="D10" s="28">
        <v>340000</v>
      </c>
      <c r="E10" s="24"/>
      <c r="F10" s="24">
        <v>21</v>
      </c>
      <c r="G10" s="24">
        <v>21</v>
      </c>
      <c r="H10" s="24">
        <v>185.75</v>
      </c>
      <c r="I10" s="24">
        <v>140</v>
      </c>
      <c r="J10" s="24">
        <v>200</v>
      </c>
      <c r="K10" s="24"/>
      <c r="L10" s="52">
        <v>0.4</v>
      </c>
      <c r="M10" s="24"/>
      <c r="N10" s="24"/>
      <c r="P10" s="31">
        <v>410000</v>
      </c>
      <c r="Q10" s="31">
        <v>41000</v>
      </c>
      <c r="R10" s="31">
        <v>359680</v>
      </c>
      <c r="S10" s="31">
        <v>343363</v>
      </c>
      <c r="T10" s="31">
        <v>19680</v>
      </c>
      <c r="U10" s="31">
        <v>13080</v>
      </c>
      <c r="V10" s="31"/>
      <c r="W10" s="31"/>
      <c r="X10" s="31">
        <v>3237</v>
      </c>
      <c r="Y10" s="31"/>
      <c r="Z10" s="31"/>
      <c r="AA10" s="31"/>
      <c r="AB10" s="31"/>
      <c r="AC10" s="31">
        <v>13120</v>
      </c>
      <c r="AD10" s="31"/>
      <c r="AE10" s="31"/>
    </row>
    <row r="11" spans="1:31">
      <c r="A11" s="24">
        <f t="shared" si="0"/>
        <v>9</v>
      </c>
      <c r="B11" s="26" t="s">
        <v>140</v>
      </c>
      <c r="C11" s="28">
        <v>410000</v>
      </c>
      <c r="D11" s="28">
        <v>340000</v>
      </c>
      <c r="E11" s="24"/>
      <c r="F11" s="24">
        <v>18</v>
      </c>
      <c r="G11" s="24">
        <v>18</v>
      </c>
      <c r="H11" s="24">
        <v>162.75</v>
      </c>
      <c r="I11" s="24">
        <v>140</v>
      </c>
      <c r="J11" s="24">
        <v>200</v>
      </c>
      <c r="K11" s="24"/>
      <c r="L11" s="52">
        <v>0.4</v>
      </c>
      <c r="M11" s="24"/>
      <c r="N11" s="24"/>
      <c r="P11" s="31">
        <v>410000</v>
      </c>
      <c r="Q11" s="31">
        <v>41000</v>
      </c>
      <c r="R11" s="31">
        <v>359680</v>
      </c>
      <c r="S11" s="31">
        <v>343363</v>
      </c>
      <c r="T11" s="31">
        <v>19680</v>
      </c>
      <c r="U11" s="31">
        <v>13080</v>
      </c>
      <c r="V11" s="31"/>
      <c r="W11" s="31"/>
      <c r="X11" s="31">
        <v>3237</v>
      </c>
      <c r="Y11" s="31"/>
      <c r="Z11" s="31"/>
      <c r="AA11" s="31"/>
      <c r="AB11" s="31"/>
      <c r="AC11" s="31">
        <v>13120</v>
      </c>
      <c r="AD11" s="31"/>
      <c r="AE11" s="31"/>
    </row>
    <row r="12" spans="1:31">
      <c r="A12" s="24">
        <f t="shared" si="0"/>
        <v>10</v>
      </c>
      <c r="B12" s="26" t="s">
        <v>141</v>
      </c>
      <c r="C12" s="28">
        <v>410000</v>
      </c>
      <c r="D12" s="28">
        <v>340000</v>
      </c>
      <c r="E12" s="24"/>
      <c r="F12" s="24">
        <v>20</v>
      </c>
      <c r="G12" s="24">
        <v>17</v>
      </c>
      <c r="H12" s="24">
        <v>165.5</v>
      </c>
      <c r="I12" s="24">
        <v>140</v>
      </c>
      <c r="J12" s="24">
        <v>200</v>
      </c>
      <c r="K12" s="24"/>
      <c r="L12" s="52">
        <v>0.4</v>
      </c>
      <c r="M12" s="24"/>
      <c r="N12" s="24"/>
      <c r="P12" s="31">
        <v>410000</v>
      </c>
      <c r="Q12" s="31">
        <v>41000</v>
      </c>
      <c r="R12" s="31">
        <v>359680</v>
      </c>
      <c r="S12" s="31">
        <v>343363</v>
      </c>
      <c r="T12" s="31">
        <v>19680</v>
      </c>
      <c r="U12" s="31">
        <v>13080</v>
      </c>
      <c r="V12" s="31"/>
      <c r="W12" s="31"/>
      <c r="X12" s="31">
        <v>3237</v>
      </c>
      <c r="Y12" s="31"/>
      <c r="Z12" s="31"/>
      <c r="AA12" s="31"/>
      <c r="AB12" s="31"/>
      <c r="AC12" s="31">
        <v>13120</v>
      </c>
      <c r="AD12" s="31"/>
      <c r="AE12" s="31"/>
    </row>
    <row r="13" spans="1:31">
      <c r="A13" s="24">
        <f t="shared" si="0"/>
        <v>11</v>
      </c>
      <c r="B13" s="26" t="s">
        <v>142</v>
      </c>
      <c r="C13" s="28">
        <v>410000</v>
      </c>
      <c r="D13" s="28">
        <v>340000</v>
      </c>
      <c r="E13" s="24"/>
      <c r="F13" s="24">
        <v>22</v>
      </c>
      <c r="G13" s="24">
        <v>21</v>
      </c>
      <c r="H13" s="24">
        <v>182</v>
      </c>
      <c r="I13" s="24">
        <v>140</v>
      </c>
      <c r="J13" s="24">
        <v>200</v>
      </c>
      <c r="K13" s="24"/>
      <c r="L13" s="52">
        <v>0.4</v>
      </c>
      <c r="M13" s="24"/>
      <c r="N13" s="24"/>
      <c r="P13" s="31">
        <v>410000</v>
      </c>
      <c r="Q13" s="31">
        <v>41000</v>
      </c>
      <c r="R13" s="31">
        <v>359680</v>
      </c>
      <c r="S13" s="31">
        <v>343363</v>
      </c>
      <c r="T13" s="31">
        <v>19680</v>
      </c>
      <c r="U13" s="31">
        <v>13080</v>
      </c>
      <c r="V13" s="31"/>
      <c r="W13" s="31"/>
      <c r="X13" s="31">
        <v>3237</v>
      </c>
      <c r="Y13" s="31"/>
      <c r="Z13" s="31"/>
      <c r="AA13" s="31"/>
      <c r="AB13" s="31"/>
      <c r="AC13" s="31">
        <v>13120</v>
      </c>
      <c r="AD13" s="31"/>
      <c r="AE13" s="31"/>
    </row>
    <row r="14" spans="1:31">
      <c r="A14" s="24">
        <f t="shared" si="0"/>
        <v>12</v>
      </c>
      <c r="B14" s="26" t="s">
        <v>143</v>
      </c>
      <c r="C14" s="28">
        <v>410000</v>
      </c>
      <c r="D14" s="28">
        <v>340000</v>
      </c>
      <c r="E14" s="24"/>
      <c r="F14" s="24">
        <v>19</v>
      </c>
      <c r="G14" s="24">
        <v>19</v>
      </c>
      <c r="H14" s="24">
        <v>161.5</v>
      </c>
      <c r="I14" s="24">
        <v>140</v>
      </c>
      <c r="J14" s="24">
        <v>200</v>
      </c>
      <c r="K14" s="24"/>
      <c r="L14" s="52">
        <v>0.4</v>
      </c>
      <c r="M14" s="24"/>
      <c r="N14" s="24"/>
      <c r="P14" s="31">
        <v>410000</v>
      </c>
      <c r="Q14" s="31">
        <v>41000</v>
      </c>
      <c r="R14" s="31">
        <v>359680</v>
      </c>
      <c r="S14" s="31">
        <v>343363</v>
      </c>
      <c r="T14" s="31">
        <v>19680</v>
      </c>
      <c r="U14" s="31">
        <v>13080</v>
      </c>
      <c r="V14" s="31"/>
      <c r="W14" s="31"/>
      <c r="X14" s="31">
        <v>3237</v>
      </c>
      <c r="Y14" s="31"/>
      <c r="Z14" s="31"/>
      <c r="AA14" s="31"/>
      <c r="AB14" s="31"/>
      <c r="AC14" s="31">
        <v>13120</v>
      </c>
      <c r="AD14" s="31"/>
      <c r="AE14" s="31"/>
    </row>
    <row r="15" spans="1:31">
      <c r="A15" s="24">
        <f t="shared" si="0"/>
        <v>13</v>
      </c>
      <c r="B15" s="26" t="s">
        <v>144</v>
      </c>
      <c r="C15" s="28">
        <v>410000</v>
      </c>
      <c r="D15" s="28">
        <v>340000</v>
      </c>
      <c r="E15" s="24"/>
      <c r="F15" s="24">
        <v>19</v>
      </c>
      <c r="G15" s="24">
        <v>20</v>
      </c>
      <c r="H15" s="24">
        <v>170</v>
      </c>
      <c r="I15" s="24">
        <v>140</v>
      </c>
      <c r="J15" s="24">
        <v>200</v>
      </c>
      <c r="K15" s="24"/>
      <c r="L15" s="52">
        <v>0.4</v>
      </c>
      <c r="M15" s="24"/>
      <c r="N15" s="24"/>
      <c r="P15" s="31">
        <v>410000</v>
      </c>
      <c r="Q15" s="31">
        <v>41000</v>
      </c>
      <c r="R15" s="31">
        <v>359680</v>
      </c>
      <c r="S15" s="31">
        <v>343363</v>
      </c>
      <c r="T15" s="31">
        <v>19680</v>
      </c>
      <c r="U15" s="31">
        <v>13080</v>
      </c>
      <c r="V15" s="31"/>
      <c r="W15" s="31"/>
      <c r="X15" s="31">
        <v>3237</v>
      </c>
      <c r="Y15" s="31"/>
      <c r="Z15" s="31"/>
      <c r="AA15" s="31"/>
      <c r="AB15" s="31"/>
      <c r="AC15" s="31">
        <v>13120</v>
      </c>
      <c r="AD15" s="31"/>
      <c r="AE15" s="31"/>
    </row>
    <row r="16" spans="1:31">
      <c r="R16">
        <f>SUM(R3:R15)</f>
        <v>3683750</v>
      </c>
      <c r="AC16">
        <f>SUM(AC3:AC15)</f>
        <v>133266</v>
      </c>
      <c r="AD16">
        <f>SUM(AD3:AD15)</f>
        <v>35781</v>
      </c>
    </row>
    <row r="17" spans="1:30">
      <c r="C17">
        <f>B18*0.83</f>
        <v>3403000</v>
      </c>
      <c r="M17" t="s">
        <v>155</v>
      </c>
    </row>
    <row r="18" spans="1:30">
      <c r="B18" s="7">
        <f>SUM(C3:C15)</f>
        <v>4100000</v>
      </c>
      <c r="D18">
        <f>R16</f>
        <v>3683750</v>
      </c>
      <c r="AC18" t="s">
        <v>223</v>
      </c>
    </row>
    <row r="19" spans="1:30">
      <c r="A19" s="7" t="s">
        <v>239</v>
      </c>
      <c r="B19" s="126">
        <v>1798400</v>
      </c>
      <c r="L19" t="s">
        <v>162</v>
      </c>
      <c r="T19" t="s">
        <v>170</v>
      </c>
      <c r="AD19" s="51" t="s">
        <v>224</v>
      </c>
    </row>
  </sheetData>
  <mergeCells count="8">
    <mergeCell ref="Y1:AB1"/>
    <mergeCell ref="AC1:AE1"/>
    <mergeCell ref="A1:A2"/>
    <mergeCell ref="B1:B2"/>
    <mergeCell ref="C1:M1"/>
    <mergeCell ref="P1:Q1"/>
    <mergeCell ref="R1:R2"/>
    <mergeCell ref="S1:X1"/>
  </mergeCells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56CD8-E186-4210-9514-F6E70757D965}">
  <sheetPr codeName="Sheet12"/>
  <dimension ref="A1:AE19"/>
  <sheetViews>
    <sheetView tabSelected="1" workbookViewId="0">
      <selection sqref="A1:A2"/>
    </sheetView>
  </sheetViews>
  <sheetFormatPr defaultColWidth="8.875" defaultRowHeight="14.25"/>
  <cols>
    <col min="1" max="1" width="9" style="7"/>
    <col min="2" max="2" width="11.625" style="7" customWidth="1"/>
    <col min="6" max="8" width="9.625" bestFit="1" customWidth="1"/>
    <col min="10" max="10" width="9.625" bestFit="1" customWidth="1"/>
    <col min="12" max="12" width="11.875" bestFit="1" customWidth="1"/>
    <col min="13" max="14" width="11.125" customWidth="1"/>
    <col min="15" max="15" width="3.125" customWidth="1"/>
    <col min="16" max="16" width="9.625" bestFit="1" customWidth="1"/>
    <col min="19" max="19" width="9.625" bestFit="1" customWidth="1"/>
    <col min="21" max="23" width="9.625" bestFit="1" customWidth="1"/>
    <col min="24" max="24" width="11.125" bestFit="1" customWidth="1"/>
    <col min="25" max="27" width="11.125" customWidth="1"/>
    <col min="28" max="28" width="9.625" bestFit="1" customWidth="1"/>
    <col min="29" max="30" width="9.125" customWidth="1"/>
    <col min="31" max="31" width="9" bestFit="1" customWidth="1"/>
  </cols>
  <sheetData>
    <row r="1" spans="1:31" ht="15.75">
      <c r="A1" s="118" t="s">
        <v>0</v>
      </c>
      <c r="B1" s="118" t="s">
        <v>131</v>
      </c>
      <c r="C1" s="120" t="s">
        <v>127</v>
      </c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33" t="s">
        <v>225</v>
      </c>
      <c r="P1" s="113" t="s">
        <v>150</v>
      </c>
      <c r="Q1" s="122"/>
      <c r="R1" s="118" t="s">
        <v>219</v>
      </c>
      <c r="S1" s="123" t="s">
        <v>151</v>
      </c>
      <c r="T1" s="124"/>
      <c r="U1" s="124"/>
      <c r="V1" s="124"/>
      <c r="W1" s="124"/>
      <c r="X1" s="125"/>
      <c r="Y1" s="113" t="s">
        <v>215</v>
      </c>
      <c r="Z1" s="114"/>
      <c r="AA1" s="114"/>
      <c r="AB1" s="114"/>
      <c r="AC1" s="115" t="s">
        <v>160</v>
      </c>
      <c r="AD1" s="116"/>
      <c r="AE1" s="117"/>
    </row>
    <row r="2" spans="1:31" ht="15.75">
      <c r="A2" s="119"/>
      <c r="B2" s="119"/>
      <c r="C2" s="33" t="s">
        <v>121</v>
      </c>
      <c r="D2" s="33" t="s">
        <v>122</v>
      </c>
      <c r="E2" s="33" t="s">
        <v>130</v>
      </c>
      <c r="F2" s="33" t="s">
        <v>128</v>
      </c>
      <c r="G2" s="33" t="s">
        <v>129</v>
      </c>
      <c r="H2" s="33" t="s">
        <v>123</v>
      </c>
      <c r="I2" s="33" t="s">
        <v>124</v>
      </c>
      <c r="J2" s="33" t="s">
        <v>125</v>
      </c>
      <c r="K2" s="33" t="s">
        <v>126</v>
      </c>
      <c r="L2" s="33" t="s">
        <v>161</v>
      </c>
      <c r="M2" s="33" t="s">
        <v>145</v>
      </c>
      <c r="N2" s="33" t="s">
        <v>127</v>
      </c>
      <c r="P2" s="29" t="s">
        <v>149</v>
      </c>
      <c r="Q2" s="29" t="s">
        <v>146</v>
      </c>
      <c r="R2" s="119"/>
      <c r="S2" s="29" t="s">
        <v>220</v>
      </c>
      <c r="T2" s="29" t="s">
        <v>154</v>
      </c>
      <c r="U2" s="29" t="s">
        <v>152</v>
      </c>
      <c r="V2" s="29" t="s">
        <v>147</v>
      </c>
      <c r="W2" s="29" t="s">
        <v>153</v>
      </c>
      <c r="X2" s="29" t="s">
        <v>148</v>
      </c>
      <c r="Y2" s="29" t="s">
        <v>217</v>
      </c>
      <c r="Z2" s="29" t="s">
        <v>218</v>
      </c>
      <c r="AA2" s="29" t="s">
        <v>214</v>
      </c>
      <c r="AB2" s="29" t="s">
        <v>216</v>
      </c>
      <c r="AC2" s="30" t="s">
        <v>156</v>
      </c>
      <c r="AD2" s="30" t="s">
        <v>157</v>
      </c>
      <c r="AE2" s="30" t="s">
        <v>222</v>
      </c>
    </row>
    <row r="3" spans="1:31">
      <c r="A3" s="24">
        <f>ROW()-2</f>
        <v>1</v>
      </c>
      <c r="B3" s="26" t="s">
        <v>132</v>
      </c>
      <c r="C3" s="28"/>
      <c r="D3" s="28"/>
      <c r="E3" s="23"/>
      <c r="F3" s="23"/>
      <c r="G3" s="23"/>
      <c r="H3" s="24"/>
      <c r="I3" s="24"/>
      <c r="J3" s="24"/>
      <c r="K3" s="24"/>
      <c r="L3" s="24"/>
      <c r="M3" s="24"/>
      <c r="N3" s="24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</row>
    <row r="4" spans="1:31">
      <c r="A4" s="24">
        <f>ROW()-2</f>
        <v>2</v>
      </c>
      <c r="B4" s="26" t="s">
        <v>133</v>
      </c>
      <c r="C4" s="28"/>
      <c r="D4" s="28"/>
      <c r="E4" s="23"/>
      <c r="F4" s="23"/>
      <c r="G4" s="23"/>
      <c r="H4" s="24"/>
      <c r="I4" s="24"/>
      <c r="J4" s="24"/>
      <c r="K4" s="24"/>
      <c r="L4" s="24"/>
      <c r="M4" s="24"/>
      <c r="N4" s="24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</row>
    <row r="5" spans="1:31">
      <c r="A5" s="24">
        <f t="shared" ref="A5:A15" si="0">ROW()-2</f>
        <v>3</v>
      </c>
      <c r="B5" s="26" t="s">
        <v>134</v>
      </c>
      <c r="C5" s="28"/>
      <c r="D5" s="28"/>
      <c r="E5" s="23"/>
      <c r="F5" s="23"/>
      <c r="G5" s="23"/>
      <c r="H5" s="24"/>
      <c r="I5" s="24"/>
      <c r="J5" s="24"/>
      <c r="K5" s="24"/>
      <c r="L5" s="24"/>
      <c r="M5" s="24"/>
      <c r="N5" s="24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</row>
    <row r="6" spans="1:31">
      <c r="A6" s="24">
        <f t="shared" si="0"/>
        <v>4</v>
      </c>
      <c r="B6" s="26" t="s">
        <v>135</v>
      </c>
      <c r="C6" s="28">
        <v>550000</v>
      </c>
      <c r="D6" s="28">
        <v>490000</v>
      </c>
      <c r="E6" s="23">
        <v>0</v>
      </c>
      <c r="F6" s="25"/>
      <c r="G6" s="23"/>
      <c r="H6" s="24"/>
      <c r="I6" s="24"/>
      <c r="J6" s="24"/>
      <c r="K6" s="24"/>
      <c r="L6" s="24"/>
      <c r="M6" s="24"/>
      <c r="N6" s="24"/>
      <c r="P6" s="31">
        <v>550000</v>
      </c>
      <c r="Q6" s="31">
        <v>55000</v>
      </c>
      <c r="R6" s="31">
        <v>490000</v>
      </c>
      <c r="S6" s="31">
        <v>458150</v>
      </c>
      <c r="T6" s="31"/>
      <c r="U6" s="31">
        <v>27440</v>
      </c>
      <c r="V6" s="31"/>
      <c r="W6" s="31"/>
      <c r="X6" s="31">
        <v>4410</v>
      </c>
      <c r="Y6" s="31"/>
      <c r="Z6" s="31"/>
      <c r="AA6" s="31"/>
      <c r="AB6" s="31"/>
      <c r="AC6" s="31">
        <v>44000</v>
      </c>
      <c r="AD6" s="31"/>
      <c r="AE6" s="31">
        <v>71000</v>
      </c>
    </row>
    <row r="7" spans="1:31">
      <c r="A7" s="24">
        <f t="shared" si="0"/>
        <v>5</v>
      </c>
      <c r="B7" s="26" t="s">
        <v>136</v>
      </c>
      <c r="C7" s="28">
        <v>550000</v>
      </c>
      <c r="D7" s="28">
        <v>490000</v>
      </c>
      <c r="E7" s="23">
        <v>0</v>
      </c>
      <c r="F7" s="23"/>
      <c r="G7" s="24"/>
      <c r="H7" s="24"/>
      <c r="I7" s="24"/>
      <c r="J7" s="24"/>
      <c r="K7" s="24"/>
      <c r="L7" s="24"/>
      <c r="M7" s="24"/>
      <c r="N7" s="24"/>
      <c r="P7" s="31">
        <v>550000</v>
      </c>
      <c r="Q7" s="31">
        <v>55000</v>
      </c>
      <c r="R7" s="31">
        <v>490000</v>
      </c>
      <c r="S7" s="31">
        <v>458150</v>
      </c>
      <c r="T7" s="31"/>
      <c r="U7" s="31">
        <v>27440</v>
      </c>
      <c r="V7" s="31"/>
      <c r="W7" s="31"/>
      <c r="X7" s="31">
        <v>4410</v>
      </c>
      <c r="Y7" s="31"/>
      <c r="Z7" s="31"/>
      <c r="AA7" s="31"/>
      <c r="AB7" s="31"/>
      <c r="AC7" s="31">
        <v>44000</v>
      </c>
      <c r="AD7" s="31"/>
      <c r="AE7" s="31">
        <v>71000</v>
      </c>
    </row>
    <row r="8" spans="1:31">
      <c r="A8" s="24">
        <f t="shared" si="0"/>
        <v>6</v>
      </c>
      <c r="B8" s="26" t="s">
        <v>137</v>
      </c>
      <c r="C8" s="28">
        <v>550000</v>
      </c>
      <c r="D8" s="28">
        <v>490000</v>
      </c>
      <c r="E8" s="23">
        <v>0</v>
      </c>
      <c r="F8" s="24">
        <v>17</v>
      </c>
      <c r="G8" s="24">
        <v>17</v>
      </c>
      <c r="H8" s="24">
        <v>147.25</v>
      </c>
      <c r="I8" s="24">
        <v>140</v>
      </c>
      <c r="J8" s="24">
        <v>180</v>
      </c>
      <c r="K8" s="24"/>
      <c r="L8" s="24"/>
      <c r="M8" s="24"/>
      <c r="N8" s="24"/>
      <c r="P8" s="31">
        <v>550000</v>
      </c>
      <c r="Q8" s="31">
        <v>55000</v>
      </c>
      <c r="R8" s="31">
        <v>490000</v>
      </c>
      <c r="S8" s="31">
        <v>458150</v>
      </c>
      <c r="T8" s="31"/>
      <c r="U8" s="31">
        <v>27440</v>
      </c>
      <c r="V8" s="31"/>
      <c r="W8" s="31"/>
      <c r="X8" s="31">
        <v>4410</v>
      </c>
      <c r="Y8" s="31"/>
      <c r="Z8" s="31"/>
      <c r="AA8" s="31"/>
      <c r="AB8" s="31"/>
      <c r="AC8" s="31">
        <v>44000</v>
      </c>
      <c r="AD8" s="31"/>
      <c r="AE8" s="31">
        <v>71000</v>
      </c>
    </row>
    <row r="9" spans="1:31">
      <c r="A9" s="24">
        <f t="shared" si="0"/>
        <v>7</v>
      </c>
      <c r="B9" s="26" t="s">
        <v>138</v>
      </c>
      <c r="C9" s="28">
        <v>525000</v>
      </c>
      <c r="D9" s="28">
        <v>450000</v>
      </c>
      <c r="E9" s="28">
        <v>0</v>
      </c>
      <c r="F9" s="28">
        <v>21</v>
      </c>
      <c r="G9" s="28">
        <v>21</v>
      </c>
      <c r="H9" s="28">
        <v>161</v>
      </c>
      <c r="I9" s="28">
        <v>140</v>
      </c>
      <c r="J9" s="28">
        <v>180</v>
      </c>
      <c r="K9" s="28"/>
      <c r="L9" s="54"/>
      <c r="M9" s="28">
        <v>20000</v>
      </c>
      <c r="N9" s="24"/>
      <c r="P9" s="31">
        <v>525000</v>
      </c>
      <c r="Q9" s="31">
        <v>52500</v>
      </c>
      <c r="R9" s="31">
        <v>470000</v>
      </c>
      <c r="S9" s="31">
        <v>441760</v>
      </c>
      <c r="T9" s="31">
        <v>20000</v>
      </c>
      <c r="U9" s="31">
        <v>24010</v>
      </c>
      <c r="V9" s="31"/>
      <c r="W9" s="31"/>
      <c r="X9" s="31">
        <v>4230</v>
      </c>
      <c r="Y9" s="31"/>
      <c r="Z9" s="31"/>
      <c r="AA9" s="31"/>
      <c r="AB9" s="31"/>
      <c r="AC9" s="31">
        <v>42000</v>
      </c>
      <c r="AD9" s="31"/>
      <c r="AE9" s="31">
        <v>65500</v>
      </c>
    </row>
    <row r="10" spans="1:31">
      <c r="A10" s="24">
        <f t="shared" si="0"/>
        <v>8</v>
      </c>
      <c r="B10" s="26" t="s">
        <v>139</v>
      </c>
      <c r="C10" s="24">
        <v>500000</v>
      </c>
      <c r="D10" s="28">
        <v>450000</v>
      </c>
      <c r="E10" s="24">
        <v>0</v>
      </c>
      <c r="F10" s="24">
        <v>21</v>
      </c>
      <c r="G10" s="24">
        <v>21</v>
      </c>
      <c r="H10" s="24">
        <v>192</v>
      </c>
      <c r="I10" s="28">
        <v>150</v>
      </c>
      <c r="J10" s="28"/>
      <c r="K10" s="24"/>
      <c r="L10" s="24"/>
      <c r="M10" s="24"/>
      <c r="N10" s="24"/>
      <c r="P10" s="31">
        <v>500000</v>
      </c>
      <c r="Q10" s="31">
        <v>50000</v>
      </c>
      <c r="R10" s="31">
        <v>450000</v>
      </c>
      <c r="S10" s="31">
        <v>425370</v>
      </c>
      <c r="T10" s="31"/>
      <c r="U10" s="31">
        <v>20580</v>
      </c>
      <c r="V10" s="31"/>
      <c r="W10" s="31"/>
      <c r="X10" s="31">
        <v>4050</v>
      </c>
      <c r="Y10" s="31"/>
      <c r="Z10" s="31"/>
      <c r="AA10" s="31"/>
      <c r="AB10" s="31"/>
      <c r="AC10" s="31">
        <v>40000</v>
      </c>
      <c r="AD10" s="31"/>
      <c r="AE10" s="31"/>
    </row>
    <row r="11" spans="1:31">
      <c r="A11" s="24">
        <f t="shared" si="0"/>
        <v>9</v>
      </c>
      <c r="B11" s="26" t="s">
        <v>140</v>
      </c>
      <c r="C11" s="24">
        <v>500000</v>
      </c>
      <c r="D11" s="28">
        <v>450000</v>
      </c>
      <c r="E11" s="24"/>
      <c r="F11" s="24">
        <v>22</v>
      </c>
      <c r="G11" s="24">
        <v>22</v>
      </c>
      <c r="H11" s="24">
        <v>192.5</v>
      </c>
      <c r="I11" s="28">
        <v>150</v>
      </c>
      <c r="J11" s="24"/>
      <c r="K11" s="24"/>
      <c r="L11" s="24"/>
      <c r="M11" s="24"/>
      <c r="N11" s="24"/>
      <c r="P11" s="31">
        <v>500000</v>
      </c>
      <c r="Q11" s="31">
        <v>50000</v>
      </c>
      <c r="R11" s="31">
        <v>450000</v>
      </c>
      <c r="S11" s="31">
        <v>425370</v>
      </c>
      <c r="T11" s="31"/>
      <c r="U11" s="31">
        <v>20580</v>
      </c>
      <c r="V11" s="31"/>
      <c r="W11" s="31"/>
      <c r="X11" s="31">
        <v>4050</v>
      </c>
      <c r="Y11" s="31"/>
      <c r="Z11" s="31"/>
      <c r="AA11" s="31"/>
      <c r="AB11" s="31"/>
      <c r="AC11" s="31">
        <v>40000</v>
      </c>
      <c r="AD11" s="31"/>
      <c r="AE11" s="31"/>
    </row>
    <row r="12" spans="1:31">
      <c r="A12" s="24">
        <f t="shared" si="0"/>
        <v>10</v>
      </c>
      <c r="B12" s="26" t="s">
        <v>141</v>
      </c>
      <c r="C12" s="24">
        <v>500000</v>
      </c>
      <c r="D12" s="28">
        <v>450000</v>
      </c>
      <c r="E12" s="24"/>
      <c r="F12" s="24">
        <v>20</v>
      </c>
      <c r="G12" s="24">
        <v>20</v>
      </c>
      <c r="H12" s="24">
        <v>177.75</v>
      </c>
      <c r="I12" s="24">
        <v>150</v>
      </c>
      <c r="J12" s="24"/>
      <c r="K12" s="24"/>
      <c r="L12" s="24"/>
      <c r="M12" s="24"/>
      <c r="N12" s="24"/>
      <c r="P12" s="31">
        <v>500000</v>
      </c>
      <c r="Q12" s="31">
        <v>50000</v>
      </c>
      <c r="R12" s="31">
        <v>450000</v>
      </c>
      <c r="S12" s="31">
        <v>425370</v>
      </c>
      <c r="T12" s="31"/>
      <c r="U12" s="31">
        <v>20580</v>
      </c>
      <c r="V12" s="31"/>
      <c r="W12" s="31"/>
      <c r="X12" s="31">
        <v>4050</v>
      </c>
      <c r="Y12" s="31"/>
      <c r="Z12" s="31"/>
      <c r="AA12" s="31"/>
      <c r="AB12" s="31"/>
      <c r="AC12" s="31">
        <v>40000</v>
      </c>
      <c r="AD12" s="31"/>
      <c r="AE12" s="31"/>
    </row>
    <row r="13" spans="1:31">
      <c r="A13" s="24">
        <f t="shared" si="0"/>
        <v>11</v>
      </c>
      <c r="B13" s="26" t="s">
        <v>142</v>
      </c>
      <c r="C13" s="24">
        <v>520000</v>
      </c>
      <c r="D13" s="28">
        <v>450000</v>
      </c>
      <c r="E13" s="24"/>
      <c r="F13" s="24">
        <v>22</v>
      </c>
      <c r="G13" s="24">
        <v>22</v>
      </c>
      <c r="H13" s="24">
        <v>178.25</v>
      </c>
      <c r="I13" s="24">
        <v>150</v>
      </c>
      <c r="J13" s="24"/>
      <c r="K13" s="24"/>
      <c r="L13" s="24"/>
      <c r="M13" s="24">
        <v>18000</v>
      </c>
      <c r="N13" s="24"/>
      <c r="P13" s="31">
        <v>520000</v>
      </c>
      <c r="Q13" s="31">
        <v>52000</v>
      </c>
      <c r="R13" s="31">
        <v>450000</v>
      </c>
      <c r="S13" s="31">
        <v>425370</v>
      </c>
      <c r="T13" s="31"/>
      <c r="U13" s="31">
        <v>20580</v>
      </c>
      <c r="V13" s="31"/>
      <c r="W13" s="31"/>
      <c r="X13" s="31">
        <v>4050</v>
      </c>
      <c r="Y13" s="31"/>
      <c r="Z13" s="31"/>
      <c r="AA13" s="31"/>
      <c r="AB13" s="31"/>
      <c r="AC13" s="31">
        <v>41600</v>
      </c>
      <c r="AD13" s="31"/>
      <c r="AE13" s="31"/>
    </row>
    <row r="14" spans="1:31">
      <c r="A14" s="24">
        <f t="shared" si="0"/>
        <v>12</v>
      </c>
      <c r="B14" s="26" t="s">
        <v>143</v>
      </c>
      <c r="C14" s="24">
        <v>520000</v>
      </c>
      <c r="D14" s="28">
        <v>450000</v>
      </c>
      <c r="E14" s="24"/>
      <c r="F14" s="24">
        <v>19</v>
      </c>
      <c r="G14" s="24">
        <v>19</v>
      </c>
      <c r="H14" s="24">
        <v>169.5</v>
      </c>
      <c r="I14" s="24">
        <v>150</v>
      </c>
      <c r="J14" s="24"/>
      <c r="K14" s="24"/>
      <c r="L14" s="24"/>
      <c r="M14" s="24">
        <v>18000</v>
      </c>
      <c r="N14" s="24"/>
      <c r="P14" s="31">
        <v>520000</v>
      </c>
      <c r="Q14" s="31">
        <v>52000</v>
      </c>
      <c r="R14" s="31">
        <v>450000</v>
      </c>
      <c r="S14" s="31">
        <v>425370</v>
      </c>
      <c r="T14" s="31"/>
      <c r="U14" s="31">
        <v>20580</v>
      </c>
      <c r="V14" s="31"/>
      <c r="W14" s="31"/>
      <c r="X14" s="31">
        <v>4050</v>
      </c>
      <c r="Y14" s="31"/>
      <c r="Z14" s="31"/>
      <c r="AA14" s="31"/>
      <c r="AB14" s="31"/>
      <c r="AC14" s="31">
        <v>41600</v>
      </c>
      <c r="AD14" s="31"/>
      <c r="AE14" s="31"/>
    </row>
    <row r="15" spans="1:31">
      <c r="A15" s="24">
        <f t="shared" si="0"/>
        <v>13</v>
      </c>
      <c r="B15" s="26" t="s">
        <v>144</v>
      </c>
      <c r="C15" s="24">
        <v>520000</v>
      </c>
      <c r="D15" s="28">
        <v>450000</v>
      </c>
      <c r="E15" s="24"/>
      <c r="F15" s="24">
        <v>19</v>
      </c>
      <c r="G15" s="24">
        <v>19</v>
      </c>
      <c r="H15" s="24">
        <v>183</v>
      </c>
      <c r="I15" s="24">
        <v>150</v>
      </c>
      <c r="J15" s="24">
        <v>190</v>
      </c>
      <c r="K15" s="24"/>
      <c r="L15" s="24"/>
      <c r="M15" s="24">
        <v>18000</v>
      </c>
      <c r="N15" s="24"/>
      <c r="P15" s="31">
        <v>520000</v>
      </c>
      <c r="Q15" s="31">
        <v>52000</v>
      </c>
      <c r="R15" s="31">
        <v>504000</v>
      </c>
      <c r="S15" s="31">
        <v>470064</v>
      </c>
      <c r="T15" s="31">
        <v>54000</v>
      </c>
      <c r="U15" s="31">
        <v>29400</v>
      </c>
      <c r="V15" s="31"/>
      <c r="W15" s="31"/>
      <c r="X15" s="31">
        <v>4536</v>
      </c>
      <c r="Y15" s="31"/>
      <c r="Z15" s="31"/>
      <c r="AA15" s="31"/>
      <c r="AB15" s="31"/>
      <c r="AC15" s="31">
        <v>41600</v>
      </c>
      <c r="AD15" s="31"/>
      <c r="AE15" s="31"/>
    </row>
    <row r="16" spans="1:31">
      <c r="R16">
        <f>SUM(R3:R15)</f>
        <v>4694000</v>
      </c>
      <c r="AC16">
        <f>SUM(AC3:AC15)</f>
        <v>418800</v>
      </c>
    </row>
    <row r="17" spans="1:30">
      <c r="C17">
        <f>B18*0.9</f>
        <v>4711500</v>
      </c>
      <c r="M17" t="s">
        <v>155</v>
      </c>
    </row>
    <row r="18" spans="1:30">
      <c r="B18" s="7">
        <f>SUM(C3:C15)</f>
        <v>5235000</v>
      </c>
      <c r="D18">
        <f>R16</f>
        <v>4694000</v>
      </c>
      <c r="AC18" t="s">
        <v>223</v>
      </c>
    </row>
    <row r="19" spans="1:30">
      <c r="A19" s="7" t="s">
        <v>239</v>
      </c>
      <c r="B19" s="126">
        <v>4160000</v>
      </c>
      <c r="L19" t="s">
        <v>162</v>
      </c>
      <c r="T19" t="s">
        <v>170</v>
      </c>
      <c r="AD19" s="51" t="s">
        <v>224</v>
      </c>
    </row>
  </sheetData>
  <mergeCells count="8">
    <mergeCell ref="Y1:AB1"/>
    <mergeCell ref="AC1:AE1"/>
    <mergeCell ref="A1:A2"/>
    <mergeCell ref="B1:B2"/>
    <mergeCell ref="C1:M1"/>
    <mergeCell ref="P1:Q1"/>
    <mergeCell ref="R1:R2"/>
    <mergeCell ref="S1:X1"/>
  </mergeCells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AF72E-F3D6-471F-AE7D-5C8D60124479}">
  <sheetPr codeName="Sheet15"/>
  <dimension ref="A1:AE25"/>
  <sheetViews>
    <sheetView workbookViewId="0">
      <selection activeCell="P11" sqref="P11"/>
    </sheetView>
  </sheetViews>
  <sheetFormatPr defaultColWidth="8.875" defaultRowHeight="14.25"/>
  <cols>
    <col min="1" max="1" width="9" style="7"/>
    <col min="2" max="2" width="11.625" style="7" customWidth="1"/>
    <col min="6" max="8" width="9.625" bestFit="1" customWidth="1"/>
    <col min="10" max="10" width="9.625" bestFit="1" customWidth="1"/>
    <col min="12" max="12" width="11.875" bestFit="1" customWidth="1"/>
    <col min="13" max="14" width="11.125" customWidth="1"/>
    <col min="15" max="15" width="3.125" customWidth="1"/>
    <col min="16" max="16" width="9.75" bestFit="1" customWidth="1"/>
    <col min="19" max="19" width="9.625" bestFit="1" customWidth="1"/>
    <col min="21" max="23" width="9.625" bestFit="1" customWidth="1"/>
    <col min="24" max="24" width="11.125" bestFit="1" customWidth="1"/>
    <col min="25" max="27" width="11.125" customWidth="1"/>
    <col min="28" max="28" width="9.625" bestFit="1" customWidth="1"/>
    <col min="29" max="30" width="9.125" customWidth="1"/>
    <col min="31" max="31" width="9" bestFit="1" customWidth="1"/>
  </cols>
  <sheetData>
    <row r="1" spans="1:31" ht="15.75">
      <c r="A1" s="118" t="s">
        <v>0</v>
      </c>
      <c r="B1" s="118" t="s">
        <v>131</v>
      </c>
      <c r="C1" s="120" t="s">
        <v>127</v>
      </c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33" t="s">
        <v>225</v>
      </c>
      <c r="P1" s="113" t="s">
        <v>150</v>
      </c>
      <c r="Q1" s="122"/>
      <c r="R1" s="118" t="s">
        <v>219</v>
      </c>
      <c r="S1" s="123" t="s">
        <v>151</v>
      </c>
      <c r="T1" s="124"/>
      <c r="U1" s="124"/>
      <c r="V1" s="124"/>
      <c r="W1" s="124"/>
      <c r="X1" s="125"/>
      <c r="Y1" s="113" t="s">
        <v>215</v>
      </c>
      <c r="Z1" s="114"/>
      <c r="AA1" s="114"/>
      <c r="AB1" s="114"/>
      <c r="AC1" s="115" t="s">
        <v>160</v>
      </c>
      <c r="AD1" s="116"/>
      <c r="AE1" s="117"/>
    </row>
    <row r="2" spans="1:31" ht="15.75">
      <c r="A2" s="119"/>
      <c r="B2" s="119"/>
      <c r="C2" s="33" t="s">
        <v>121</v>
      </c>
      <c r="D2" s="33" t="s">
        <v>122</v>
      </c>
      <c r="E2" s="33" t="s">
        <v>130</v>
      </c>
      <c r="F2" s="33" t="s">
        <v>128</v>
      </c>
      <c r="G2" s="33" t="s">
        <v>129</v>
      </c>
      <c r="H2" s="33" t="s">
        <v>123</v>
      </c>
      <c r="I2" s="33" t="s">
        <v>124</v>
      </c>
      <c r="J2" s="33" t="s">
        <v>125</v>
      </c>
      <c r="K2" s="33" t="s">
        <v>126</v>
      </c>
      <c r="L2" s="33" t="s">
        <v>161</v>
      </c>
      <c r="M2" s="33" t="s">
        <v>145</v>
      </c>
      <c r="N2" s="33" t="s">
        <v>127</v>
      </c>
      <c r="P2" s="29" t="s">
        <v>149</v>
      </c>
      <c r="Q2" s="29" t="s">
        <v>146</v>
      </c>
      <c r="R2" s="119"/>
      <c r="S2" s="29" t="s">
        <v>220</v>
      </c>
      <c r="T2" s="29" t="s">
        <v>154</v>
      </c>
      <c r="U2" s="29" t="s">
        <v>152</v>
      </c>
      <c r="V2" s="29" t="s">
        <v>147</v>
      </c>
      <c r="W2" s="29" t="s">
        <v>234</v>
      </c>
      <c r="X2" s="29" t="s">
        <v>148</v>
      </c>
      <c r="Y2" s="29" t="s">
        <v>217</v>
      </c>
      <c r="Z2" s="29" t="s">
        <v>218</v>
      </c>
      <c r="AA2" s="29" t="s">
        <v>214</v>
      </c>
      <c r="AB2" s="29" t="s">
        <v>216</v>
      </c>
      <c r="AC2" s="30" t="s">
        <v>156</v>
      </c>
      <c r="AD2" s="30" t="s">
        <v>157</v>
      </c>
      <c r="AE2" s="30" t="s">
        <v>222</v>
      </c>
    </row>
    <row r="3" spans="1:31">
      <c r="A3" s="24">
        <f>ROW()-2</f>
        <v>1</v>
      </c>
      <c r="B3" s="26" t="s">
        <v>132</v>
      </c>
      <c r="C3" s="28"/>
      <c r="D3" s="28"/>
      <c r="E3" s="23"/>
      <c r="F3" s="23"/>
      <c r="G3" s="23"/>
      <c r="H3" s="24"/>
      <c r="I3" s="24"/>
      <c r="J3" s="24"/>
      <c r="K3" s="24"/>
      <c r="L3" s="24"/>
      <c r="M3" s="24"/>
      <c r="N3" s="24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</row>
    <row r="4" spans="1:31">
      <c r="A4" s="24">
        <f>ROW()-2</f>
        <v>2</v>
      </c>
      <c r="B4" s="26" t="s">
        <v>133</v>
      </c>
      <c r="C4" s="28"/>
      <c r="D4" s="28"/>
      <c r="E4" s="23"/>
      <c r="F4" s="23"/>
      <c r="G4" s="23"/>
      <c r="H4" s="24"/>
      <c r="I4" s="24"/>
      <c r="J4" s="24"/>
      <c r="K4" s="24"/>
      <c r="L4" s="24"/>
      <c r="M4" s="24"/>
      <c r="N4" s="24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</row>
    <row r="5" spans="1:31">
      <c r="A5" s="24">
        <f t="shared" ref="A5:A15" si="0">ROW()-2</f>
        <v>3</v>
      </c>
      <c r="B5" s="26" t="s">
        <v>134</v>
      </c>
      <c r="C5" s="28"/>
      <c r="D5" s="28"/>
      <c r="E5" s="23"/>
      <c r="F5" s="23"/>
      <c r="G5" s="23"/>
      <c r="H5" s="24"/>
      <c r="I5" s="24"/>
      <c r="J5" s="24"/>
      <c r="K5" s="24"/>
      <c r="L5" s="24"/>
      <c r="M5" s="24"/>
      <c r="N5" s="24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</row>
    <row r="6" spans="1:31">
      <c r="A6" s="24">
        <f t="shared" si="0"/>
        <v>4</v>
      </c>
      <c r="B6" s="26" t="s">
        <v>135</v>
      </c>
      <c r="C6" s="28">
        <v>360000</v>
      </c>
      <c r="D6" s="28">
        <v>260000</v>
      </c>
      <c r="E6" s="23">
        <v>0</v>
      </c>
      <c r="F6" s="25"/>
      <c r="G6" s="23"/>
      <c r="H6" s="24"/>
      <c r="I6" s="24"/>
      <c r="J6" s="24"/>
      <c r="K6" s="24"/>
      <c r="L6" s="24"/>
      <c r="M6" s="24"/>
      <c r="N6" s="24">
        <v>220000</v>
      </c>
      <c r="P6" s="31">
        <v>360000</v>
      </c>
      <c r="Q6" s="31">
        <v>36000</v>
      </c>
      <c r="R6" s="31">
        <v>260000</v>
      </c>
      <c r="S6" s="31">
        <v>220960</v>
      </c>
      <c r="T6" s="31"/>
      <c r="U6" s="31">
        <v>5680</v>
      </c>
      <c r="V6" s="31">
        <v>10890</v>
      </c>
      <c r="W6" s="31">
        <v>20130</v>
      </c>
      <c r="X6" s="31">
        <v>2340</v>
      </c>
      <c r="Y6" s="31"/>
      <c r="Z6" s="31"/>
      <c r="AA6" s="31"/>
      <c r="AB6" s="31"/>
      <c r="AC6" s="31">
        <v>28800</v>
      </c>
      <c r="AD6" s="31"/>
      <c r="AE6" s="31">
        <v>107200</v>
      </c>
    </row>
    <row r="7" spans="1:31">
      <c r="A7" s="24">
        <f t="shared" si="0"/>
        <v>5</v>
      </c>
      <c r="B7" s="26" t="s">
        <v>136</v>
      </c>
      <c r="C7" s="28">
        <v>360000</v>
      </c>
      <c r="D7" s="28">
        <v>260000</v>
      </c>
      <c r="E7" s="23">
        <v>0</v>
      </c>
      <c r="F7" s="23"/>
      <c r="G7" s="24"/>
      <c r="H7" s="24"/>
      <c r="I7" s="24"/>
      <c r="J7" s="24"/>
      <c r="K7" s="24"/>
      <c r="L7" s="24"/>
      <c r="M7" s="24">
        <v>32980</v>
      </c>
      <c r="N7" s="24">
        <v>220000</v>
      </c>
      <c r="P7" s="31">
        <v>360000</v>
      </c>
      <c r="Q7" s="31">
        <v>36000</v>
      </c>
      <c r="R7" s="31">
        <v>260000</v>
      </c>
      <c r="S7" s="31">
        <v>220960</v>
      </c>
      <c r="T7" s="31"/>
      <c r="U7" s="31">
        <v>5680</v>
      </c>
      <c r="V7" s="31">
        <v>10890</v>
      </c>
      <c r="W7" s="31">
        <v>20130</v>
      </c>
      <c r="X7" s="31">
        <v>2340</v>
      </c>
      <c r="Y7" s="31"/>
      <c r="Z7" s="31"/>
      <c r="AA7" s="31"/>
      <c r="AB7" s="31"/>
      <c r="AC7" s="31">
        <v>28800</v>
      </c>
      <c r="AD7" s="31"/>
      <c r="AE7" s="31">
        <v>107200</v>
      </c>
    </row>
    <row r="8" spans="1:31">
      <c r="A8" s="24">
        <f t="shared" si="0"/>
        <v>6</v>
      </c>
      <c r="B8" s="26" t="s">
        <v>137</v>
      </c>
      <c r="C8" s="28">
        <v>360000</v>
      </c>
      <c r="D8" s="28">
        <v>260000</v>
      </c>
      <c r="E8" s="23">
        <v>0</v>
      </c>
      <c r="F8" s="24">
        <v>18</v>
      </c>
      <c r="G8" s="24">
        <v>18</v>
      </c>
      <c r="H8" s="24">
        <v>152</v>
      </c>
      <c r="I8" s="24"/>
      <c r="J8" s="24"/>
      <c r="K8" s="24"/>
      <c r="L8" s="24"/>
      <c r="M8" s="24">
        <v>32980</v>
      </c>
      <c r="N8" s="24">
        <v>220000</v>
      </c>
      <c r="P8" s="31">
        <v>360000</v>
      </c>
      <c r="Q8" s="31">
        <v>36000</v>
      </c>
      <c r="R8" s="31">
        <v>260000</v>
      </c>
      <c r="S8" s="31">
        <v>220960</v>
      </c>
      <c r="T8" s="31"/>
      <c r="U8" s="31">
        <v>5680</v>
      </c>
      <c r="V8" s="31">
        <v>10890</v>
      </c>
      <c r="W8" s="31">
        <v>20130</v>
      </c>
      <c r="X8" s="31">
        <v>2340</v>
      </c>
      <c r="Y8" s="31"/>
      <c r="Z8" s="31"/>
      <c r="AA8" s="31"/>
      <c r="AB8" s="31"/>
      <c r="AC8" s="31">
        <v>28800</v>
      </c>
      <c r="AD8" s="31"/>
      <c r="AE8" s="31">
        <v>107200</v>
      </c>
    </row>
    <row r="9" spans="1:31">
      <c r="A9" s="24">
        <f t="shared" si="0"/>
        <v>7</v>
      </c>
      <c r="B9" s="26" t="s">
        <v>138</v>
      </c>
      <c r="C9" s="28">
        <v>360000</v>
      </c>
      <c r="D9" s="28">
        <v>260000</v>
      </c>
      <c r="E9" s="23">
        <v>0</v>
      </c>
      <c r="F9" s="24">
        <v>21</v>
      </c>
      <c r="G9" s="24">
        <v>21</v>
      </c>
      <c r="H9" s="24">
        <v>156.5</v>
      </c>
      <c r="I9" s="24"/>
      <c r="J9" s="24"/>
      <c r="K9" s="24"/>
      <c r="L9" s="41"/>
      <c r="M9" s="24">
        <v>32980</v>
      </c>
      <c r="N9" s="24">
        <v>220000</v>
      </c>
      <c r="P9" s="31">
        <v>360000</v>
      </c>
      <c r="Q9" s="31">
        <v>36000</v>
      </c>
      <c r="R9" s="31">
        <v>358940</v>
      </c>
      <c r="S9" s="31">
        <v>314310</v>
      </c>
      <c r="T9" s="31">
        <v>98940</v>
      </c>
      <c r="U9" s="31">
        <v>10380</v>
      </c>
      <c r="V9" s="31">
        <v>10890</v>
      </c>
      <c r="W9" s="31">
        <v>20130</v>
      </c>
      <c r="X9" s="31">
        <v>3230</v>
      </c>
      <c r="Y9" s="31"/>
      <c r="Z9" s="31"/>
      <c r="AA9" s="31"/>
      <c r="AB9" s="31"/>
      <c r="AC9" s="31">
        <v>28800</v>
      </c>
      <c r="AD9" s="31"/>
      <c r="AE9" s="31">
        <v>8260</v>
      </c>
    </row>
    <row r="10" spans="1:31">
      <c r="A10" s="24">
        <f t="shared" si="0"/>
        <v>8</v>
      </c>
      <c r="B10" s="26" t="s">
        <v>139</v>
      </c>
      <c r="C10" s="128">
        <v>140869.5652173913</v>
      </c>
      <c r="D10" s="24">
        <v>260000</v>
      </c>
      <c r="E10" s="24"/>
      <c r="F10" s="24">
        <v>23</v>
      </c>
      <c r="G10" s="24">
        <v>9</v>
      </c>
      <c r="H10" s="24"/>
      <c r="I10" s="24"/>
      <c r="J10" s="24"/>
      <c r="K10" s="24"/>
      <c r="L10" s="24"/>
      <c r="M10" s="24"/>
      <c r="N10" s="24">
        <v>220000</v>
      </c>
      <c r="P10" s="55">
        <f>360000/F10*G10</f>
        <v>140869.5652173913</v>
      </c>
      <c r="Q10" s="31"/>
      <c r="R10" s="55">
        <f>D10/F10*G10</f>
        <v>101739.13043478261</v>
      </c>
      <c r="S10" s="55">
        <f>R10-V10-W10-X10</f>
        <v>68379.130434782608</v>
      </c>
      <c r="T10" s="31"/>
      <c r="U10" s="31"/>
      <c r="V10" s="31">
        <v>10890</v>
      </c>
      <c r="W10" s="31">
        <v>20130</v>
      </c>
      <c r="X10" s="31">
        <v>2340</v>
      </c>
      <c r="Y10" s="31"/>
      <c r="Z10" s="31"/>
      <c r="AA10" s="31"/>
      <c r="AB10" s="55">
        <f>D10-R10</f>
        <v>158260.86956521741</v>
      </c>
      <c r="AC10" s="31"/>
      <c r="AD10" s="31"/>
      <c r="AE10" s="31"/>
    </row>
    <row r="11" spans="1:31">
      <c r="A11" s="24">
        <f t="shared" si="0"/>
        <v>9</v>
      </c>
      <c r="B11" s="26" t="s">
        <v>140</v>
      </c>
      <c r="C11" s="128">
        <v>172173.91304347827</v>
      </c>
      <c r="D11" s="24">
        <v>260000</v>
      </c>
      <c r="E11" s="57">
        <v>6480</v>
      </c>
      <c r="F11" s="24">
        <v>23</v>
      </c>
      <c r="G11" s="24">
        <v>11</v>
      </c>
      <c r="H11" s="24"/>
      <c r="I11" s="24"/>
      <c r="J11" s="24"/>
      <c r="K11" s="24"/>
      <c r="L11" s="24"/>
      <c r="M11" s="24"/>
      <c r="N11" s="24">
        <v>220000</v>
      </c>
      <c r="P11" s="55">
        <f>360000/F11*G11</f>
        <v>172173.91304347827</v>
      </c>
      <c r="Q11" s="31"/>
      <c r="R11" s="55">
        <f>D11/F11*G11</f>
        <v>124347.82608695651</v>
      </c>
      <c r="S11" s="55">
        <f>R11-V11-W11-X11</f>
        <v>90987.826086956513</v>
      </c>
      <c r="T11" s="31"/>
      <c r="U11" s="31"/>
      <c r="V11" s="31">
        <v>10890</v>
      </c>
      <c r="W11" s="31">
        <v>20130</v>
      </c>
      <c r="X11" s="31">
        <v>2340</v>
      </c>
      <c r="Y11" s="31"/>
      <c r="Z11" s="31"/>
      <c r="AA11" s="31"/>
      <c r="AB11" s="55">
        <f>D11-R11</f>
        <v>135652.17391304349</v>
      </c>
      <c r="AC11" s="31"/>
      <c r="AD11" s="31"/>
      <c r="AE11" s="31"/>
    </row>
    <row r="12" spans="1:31">
      <c r="A12" s="24">
        <f t="shared" si="0"/>
        <v>10</v>
      </c>
      <c r="B12" s="26" t="s">
        <v>141</v>
      </c>
      <c r="C12" s="24">
        <v>450000</v>
      </c>
      <c r="D12" s="24">
        <v>260000</v>
      </c>
      <c r="E12" s="24"/>
      <c r="F12" s="24">
        <v>20</v>
      </c>
      <c r="G12" s="24">
        <v>20</v>
      </c>
      <c r="H12" s="24">
        <v>156</v>
      </c>
      <c r="I12" s="24"/>
      <c r="J12" s="24"/>
      <c r="K12" s="24"/>
      <c r="L12" s="24"/>
      <c r="M12" s="24">
        <v>113980</v>
      </c>
      <c r="N12" s="24">
        <v>220000</v>
      </c>
      <c r="P12" s="31">
        <v>450000</v>
      </c>
      <c r="Q12" s="31">
        <v>45000</v>
      </c>
      <c r="R12" s="31">
        <v>260000</v>
      </c>
      <c r="S12" s="31">
        <v>220960</v>
      </c>
      <c r="T12" s="31"/>
      <c r="U12" s="31">
        <v>5680</v>
      </c>
      <c r="V12" s="31">
        <v>10890</v>
      </c>
      <c r="W12" s="31">
        <v>20130</v>
      </c>
      <c r="X12" s="31">
        <v>2340</v>
      </c>
      <c r="Y12" s="31"/>
      <c r="Z12" s="31"/>
      <c r="AA12" s="31"/>
      <c r="AB12" s="31"/>
      <c r="AC12" s="31">
        <v>36000</v>
      </c>
      <c r="AD12" s="31"/>
      <c r="AE12" s="31"/>
    </row>
    <row r="13" spans="1:31">
      <c r="A13" s="24">
        <f t="shared" si="0"/>
        <v>11</v>
      </c>
      <c r="B13" s="26" t="s">
        <v>142</v>
      </c>
      <c r="C13" s="24">
        <v>450000</v>
      </c>
      <c r="D13" s="24">
        <v>260000</v>
      </c>
      <c r="E13" s="24">
        <v>11710</v>
      </c>
      <c r="F13" s="24">
        <v>22</v>
      </c>
      <c r="G13" s="24">
        <v>21</v>
      </c>
      <c r="H13" s="24">
        <v>161.75</v>
      </c>
      <c r="I13" s="24"/>
      <c r="J13" s="24"/>
      <c r="K13" s="24"/>
      <c r="L13" s="24"/>
      <c r="M13" s="24">
        <v>113980</v>
      </c>
      <c r="N13" s="24">
        <v>220000</v>
      </c>
      <c r="P13" s="31">
        <v>450000</v>
      </c>
      <c r="Q13" s="31">
        <v>45000</v>
      </c>
      <c r="R13" s="31">
        <v>271710</v>
      </c>
      <c r="S13" s="31">
        <v>232135</v>
      </c>
      <c r="T13" s="31"/>
      <c r="U13" s="31">
        <v>6110</v>
      </c>
      <c r="V13" s="31">
        <v>10890</v>
      </c>
      <c r="W13" s="31">
        <v>20130</v>
      </c>
      <c r="X13" s="31">
        <v>2445</v>
      </c>
      <c r="Y13" s="31"/>
      <c r="Z13" s="31"/>
      <c r="AA13" s="31"/>
      <c r="AB13" s="31"/>
      <c r="AC13" s="31">
        <v>36000</v>
      </c>
      <c r="AD13" s="31"/>
      <c r="AE13" s="31"/>
    </row>
    <row r="14" spans="1:31">
      <c r="A14" s="24">
        <f t="shared" si="0"/>
        <v>12</v>
      </c>
      <c r="B14" s="26" t="s">
        <v>143</v>
      </c>
      <c r="C14" s="24">
        <v>450000</v>
      </c>
      <c r="D14" s="24">
        <v>260000</v>
      </c>
      <c r="E14" s="24"/>
      <c r="F14" s="24">
        <v>18</v>
      </c>
      <c r="G14" s="24">
        <v>18</v>
      </c>
      <c r="H14" s="24">
        <v>153</v>
      </c>
      <c r="I14" s="24"/>
      <c r="J14" s="24"/>
      <c r="K14" s="24"/>
      <c r="L14" s="24"/>
      <c r="M14" s="24">
        <v>113980</v>
      </c>
      <c r="N14" s="24">
        <v>220000</v>
      </c>
      <c r="P14" s="31">
        <v>450000</v>
      </c>
      <c r="Q14" s="31">
        <v>45000</v>
      </c>
      <c r="R14" s="31">
        <v>260000</v>
      </c>
      <c r="S14" s="31">
        <v>220960</v>
      </c>
      <c r="T14" s="31"/>
      <c r="U14" s="31">
        <v>5680</v>
      </c>
      <c r="V14" s="31">
        <v>10890</v>
      </c>
      <c r="W14" s="31">
        <v>20130</v>
      </c>
      <c r="X14" s="31">
        <v>2340</v>
      </c>
      <c r="Y14" s="31"/>
      <c r="Z14" s="31"/>
      <c r="AA14" s="31"/>
      <c r="AB14" s="31"/>
      <c r="AC14" s="31">
        <v>36000</v>
      </c>
      <c r="AD14" s="31"/>
      <c r="AE14" s="31"/>
    </row>
    <row r="15" spans="1:31">
      <c r="A15" s="24">
        <f t="shared" si="0"/>
        <v>13</v>
      </c>
      <c r="B15" s="26" t="s">
        <v>144</v>
      </c>
      <c r="C15" s="24">
        <v>450000</v>
      </c>
      <c r="D15" s="24">
        <v>260000</v>
      </c>
      <c r="E15" s="24"/>
      <c r="F15" s="24">
        <v>19</v>
      </c>
      <c r="G15" s="24">
        <v>19</v>
      </c>
      <c r="H15" s="24">
        <v>153</v>
      </c>
      <c r="I15" s="24"/>
      <c r="J15" s="24"/>
      <c r="K15" s="24"/>
      <c r="L15" s="24"/>
      <c r="M15" s="24">
        <v>113980</v>
      </c>
      <c r="N15" s="24">
        <v>220000</v>
      </c>
      <c r="P15" s="31">
        <v>450000</v>
      </c>
      <c r="Q15" s="31">
        <v>45000</v>
      </c>
      <c r="R15" s="31">
        <v>715920</v>
      </c>
      <c r="S15" s="31">
        <v>617027</v>
      </c>
      <c r="T15" s="31">
        <v>455920</v>
      </c>
      <c r="U15" s="31">
        <v>61430</v>
      </c>
      <c r="V15" s="31">
        <v>10890</v>
      </c>
      <c r="W15" s="31">
        <v>20130</v>
      </c>
      <c r="X15" s="31">
        <v>6443</v>
      </c>
      <c r="Y15" s="31"/>
      <c r="Z15" s="31"/>
      <c r="AA15" s="31"/>
      <c r="AB15" s="31"/>
      <c r="AC15" s="31">
        <v>36000</v>
      </c>
      <c r="AD15" s="31"/>
      <c r="AE15" s="31"/>
    </row>
    <row r="16" spans="1:31">
      <c r="R16">
        <f>SUM(R3:R15)</f>
        <v>2872656.9565217393</v>
      </c>
      <c r="AB16">
        <f>SUM(AB4:AB15)</f>
        <v>293913.04347826086</v>
      </c>
      <c r="AC16">
        <f>SUM(AC3:AC15)</f>
        <v>259200</v>
      </c>
    </row>
    <row r="17" spans="1:30">
      <c r="C17">
        <f>B18*0.9</f>
        <v>3197739.1304347827</v>
      </c>
      <c r="M17" t="s">
        <v>155</v>
      </c>
      <c r="U17" t="s">
        <v>236</v>
      </c>
    </row>
    <row r="18" spans="1:30">
      <c r="B18" s="7">
        <f>SUM(C3:C15)</f>
        <v>3553043.4782608696</v>
      </c>
      <c r="D18">
        <f>R16</f>
        <v>2872656.9565217393</v>
      </c>
      <c r="AC18" t="s">
        <v>223</v>
      </c>
    </row>
    <row r="19" spans="1:30">
      <c r="A19" s="7" t="s">
        <v>239</v>
      </c>
      <c r="B19" s="126">
        <v>2311695</v>
      </c>
      <c r="L19" t="s">
        <v>162</v>
      </c>
      <c r="T19" t="s">
        <v>170</v>
      </c>
      <c r="AD19" s="51" t="s">
        <v>224</v>
      </c>
    </row>
    <row r="22" spans="1:30">
      <c r="M22" t="s">
        <v>235</v>
      </c>
    </row>
    <row r="25" spans="1:30">
      <c r="R25" s="56">
        <f>R10-V10-W10-X10</f>
        <v>68379.130434782608</v>
      </c>
    </row>
  </sheetData>
  <mergeCells count="8">
    <mergeCell ref="Y1:AB1"/>
    <mergeCell ref="AC1:AE1"/>
    <mergeCell ref="A1:A2"/>
    <mergeCell ref="B1:B2"/>
    <mergeCell ref="C1:M1"/>
    <mergeCell ref="P1:Q1"/>
    <mergeCell ref="R1:R2"/>
    <mergeCell ref="S1:X1"/>
  </mergeCells>
  <phoneticPr fontId="3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报表</vt:lpstr>
      <vt:lpstr>员工信息管理表</vt:lpstr>
      <vt:lpstr>所得税</vt:lpstr>
      <vt:lpstr>厚生年金</vt:lpstr>
      <vt:lpstr>給料明細</vt:lpstr>
      <vt:lpstr>営業賞金管理</vt:lpstr>
      <vt:lpstr>紀恒</vt:lpstr>
      <vt:lpstr>苗真杰</vt:lpstr>
      <vt:lpstr>李学强</vt:lpstr>
      <vt:lpstr>赵远</vt:lpstr>
      <vt:lpstr>马骏</vt:lpstr>
      <vt:lpstr>高明宇</vt:lpstr>
      <vt:lpstr>李婷</vt:lpstr>
      <vt:lpstr>尹嘉辉</vt:lpstr>
      <vt:lpstr>熊高升</vt:lpstr>
      <vt:lpstr>殷汉奇</vt:lpstr>
      <vt:lpstr>給料明細!Print_Area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2015-06-05T18:19:34Z</dcterms:created>
  <dcterms:modified xsi:type="dcterms:W3CDTF">2021-01-13T12:45:41Z</dcterms:modified>
</cp:coreProperties>
</file>