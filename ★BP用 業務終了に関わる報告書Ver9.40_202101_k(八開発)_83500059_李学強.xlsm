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10.177.108.23\fsyk50$\第八開発\pf60864\public\01_イオン電子マネー\03_PRIVATE_DTS\00_共通\10_勤怠\当月\フォレストソフト\"/>
    </mc:Choice>
  </mc:AlternateContent>
  <bookViews>
    <workbookView xWindow="0" yWindow="0" windowWidth="21570" windowHeight="9270" tabRatio="935"/>
  </bookViews>
  <sheets>
    <sheet name="入力シート" sheetId="9" r:id="rId1"/>
    <sheet name="計算シート" sheetId="1" state="hidden" r:id="rId2"/>
    <sheet name="提出用紙" sheetId="28" state="hidden" r:id="rId3"/>
    <sheet name="業務完了報告書" sheetId="25" state="hidden" r:id="rId4"/>
    <sheet name="稼働実績内訳書" sheetId="20" r:id="rId5"/>
    <sheet name="派遣先管理台帳（タイムシート）" sheetId="23" state="hidden" r:id="rId6"/>
    <sheet name="実費精算書" sheetId="27" r:id="rId7"/>
    <sheet name="交通費請求書兼精算書" sheetId="19" state="hidden" r:id="rId8"/>
    <sheet name="タイムテーブル" sheetId="8" state="hidden" r:id="rId9"/>
    <sheet name="詳細設定" sheetId="2" state="hidden" r:id="rId10"/>
    <sheet name="C-SUM" sheetId="10" state="hidden" r:id="rId11"/>
    <sheet name="FAQ" sheetId="6" state="hidden" r:id="rId12"/>
    <sheet name="変更履歴" sheetId="7" state="hidden" r:id="rId13"/>
  </sheets>
  <functionGroups builtInGroupCount="18"/>
  <externalReferences>
    <externalReference r:id="rId14"/>
    <externalReference r:id="rId15"/>
    <externalReference r:id="rId16"/>
    <externalReference r:id="rId17"/>
    <externalReference r:id="rId18"/>
  </externalReferences>
  <definedNames>
    <definedName name="_Key1" localSheetId="3" hidden="1">#REF!</definedName>
    <definedName name="_Key1" localSheetId="6" hidden="1">#REF!</definedName>
    <definedName name="_Key1" localSheetId="2" hidden="1">#REF!</definedName>
    <definedName name="_Key1" hidden="1">#REF!</definedName>
    <definedName name="_Key2" localSheetId="3" hidden="1">#REF!</definedName>
    <definedName name="_Key2" localSheetId="6" hidden="1">#REF!</definedName>
    <definedName name="_Key2" localSheetId="2" hidden="1">#REF!</definedName>
    <definedName name="_Key2" hidden="1">#REF!</definedName>
    <definedName name="_Order1" hidden="1">1</definedName>
    <definedName name="_Order2" hidden="1">255</definedName>
    <definedName name="_Sort" localSheetId="3" hidden="1">#REF!</definedName>
    <definedName name="_Sort" localSheetId="6" hidden="1">#REF!</definedName>
    <definedName name="_Sort" localSheetId="2" hidden="1">#REF!</definedName>
    <definedName name="_Sort" hidden="1">#REF!</definedName>
    <definedName name="\g">#REF!</definedName>
    <definedName name="\h">#REF!</definedName>
    <definedName name="\i">#REF!</definedName>
    <definedName name="\p">#N/A</definedName>
    <definedName name="aaa">#REF!</definedName>
    <definedName name="aaaa">#REF!</definedName>
    <definedName name="H12H">1</definedName>
    <definedName name="mask">[1]勤報!$C$5,[1]勤報!$C$5:$AA$35,[1]勤報!$AA$35,[1]勤報!$J$4,[1]勤報!$L$4,[1]勤報!$M$4,[1]勤報!$AA$4,[1]勤報!$L$1,[1]勤報!#REF!,[1]勤報!$AA$1</definedName>
    <definedName name="_xlnm.Print_Area" localSheetId="4">稼働実績内訳書!$B$2:$I$59</definedName>
    <definedName name="_xlnm.Print_Area" localSheetId="3">業務完了報告書!$A$1:$AP$42</definedName>
    <definedName name="_xlnm.Print_Area" localSheetId="1">計算シート!$B$2:$R$51</definedName>
    <definedName name="_xlnm.Print_Area" localSheetId="6">実費精算書!$B$1:$S$67</definedName>
    <definedName name="_xlnm.Print_Area" localSheetId="2">提出用紙!$A$1:$Y$53</definedName>
    <definedName name="_xlnm.Print_Area" localSheetId="0">入力シート!$A$1:$Y$53</definedName>
    <definedName name="_xlnm.Print_Area" localSheetId="5">'派遣先管理台帳（タイムシート）'!$A$1:$AT$76</definedName>
    <definedName name="_xlnm.Print_Titles" localSheetId="6">実費精算書!$27:$29</definedName>
    <definedName name="time">TIMEVALUE("0:15")</definedName>
    <definedName name="Ver">入力シート!#REF!</definedName>
    <definedName name="休日ＴＢＬ">#REF!</definedName>
    <definedName name="勤務">#REF!</definedName>
    <definedName name="月" localSheetId="6">[2]入力シート!$P$8</definedName>
    <definedName name="月" localSheetId="2">提出用紙!$P$8</definedName>
    <definedName name="月">入力シート!$P$8</definedName>
    <definedName name="月数">[3]基数!#REF!</definedName>
    <definedName name="祭日">[4]祭日!$D$5:$D$24</definedName>
    <definedName name="始業２">#REF!</definedName>
    <definedName name="始業３">#REF!</definedName>
    <definedName name="始業時刻">#REF!</definedName>
    <definedName name="氏名">[3]勤務表１!$C$10</definedName>
    <definedName name="時間２４" localSheetId="5">'派遣先管理台帳（タイムシート）'!$AU$53</definedName>
    <definedName name="時間２４">#REF!</definedName>
    <definedName name="時間外表示" localSheetId="6">[2]入力シート!$AF$14</definedName>
    <definedName name="時間外表示" localSheetId="2">[5]勤務報告書!$AF$14</definedName>
    <definedName name="時間外表示">入力シート!$AF$14</definedName>
    <definedName name="社員コード">[3]勤務表１!$C$9</definedName>
    <definedName name="終業２">#REF!</definedName>
    <definedName name="終業３">#REF!</definedName>
    <definedName name="終了時間">詳細設定!$D$8</definedName>
    <definedName name="所属">詳細設定!$AH$12</definedName>
    <definedName name="深夜">#REF!</definedName>
    <definedName name="深夜時間表示" localSheetId="6">[2]入力シート!$AG$14</definedName>
    <definedName name="深夜時間表示" localSheetId="2">[5]勤務報告書!$AG$14</definedName>
    <definedName name="深夜時間表示">入力シート!$AG$14</definedName>
    <definedName name="全体_">#N/A</definedName>
    <definedName name="担当氏名">詳細設定!$AH$11</definedName>
    <definedName name="端数">#REF!</definedName>
    <definedName name="調整１０">#REF!</definedName>
    <definedName name="調整１１">#REF!</definedName>
    <definedName name="調整１２">#REF!</definedName>
    <definedName name="調整１３">#REF!</definedName>
    <definedName name="調整２">[3]基数!#REF!</definedName>
    <definedName name="調整４">#REF!</definedName>
    <definedName name="調整５">#REF!</definedName>
    <definedName name="調整７">#REF!</definedName>
    <definedName name="調整８">#REF!</definedName>
    <definedName name="調整９">#REF!</definedName>
    <definedName name="通常">#REF!</definedName>
    <definedName name="日報Data">[1]Data_Sheet!#REF!</definedName>
    <definedName name="入力月">#REF!</definedName>
    <definedName name="入力年">#REF!</definedName>
    <definedName name="年" localSheetId="6">[2]入力シート!$N$8</definedName>
    <definedName name="年" localSheetId="2">提出用紙!$N$8</definedName>
    <definedName name="年" localSheetId="5">入力シート!$N$8</definedName>
    <definedName name="年">入力シート!$N$8</definedName>
    <definedName name="年月">計算シート!$G$5</definedName>
    <definedName name="範囲">#N/A</definedName>
    <definedName name="役職">詳細設定!$AH$10</definedName>
  </definedNames>
  <calcPr calcId="162913"/>
</workbook>
</file>

<file path=xl/calcChain.xml><?xml version="1.0" encoding="utf-8"?>
<calcChain xmlns="http://schemas.openxmlformats.org/spreadsheetml/2006/main">
  <c r="Q38" i="25" l="1"/>
  <c r="Q37" i="25"/>
  <c r="Q36" i="25"/>
  <c r="K25" i="27" l="1"/>
  <c r="K24" i="27"/>
  <c r="K23" i="27"/>
  <c r="I59" i="20" l="1"/>
  <c r="A31" i="27" l="1"/>
  <c r="A32" i="27"/>
  <c r="A33" i="27"/>
  <c r="A34" i="27"/>
  <c r="A35" i="27"/>
  <c r="A36" i="27"/>
  <c r="A37" i="27"/>
  <c r="A38" i="27"/>
  <c r="A39" i="27"/>
  <c r="A40" i="27"/>
  <c r="A41" i="27"/>
  <c r="A42" i="27"/>
  <c r="A43" i="27"/>
  <c r="A44" i="27"/>
  <c r="A45" i="27"/>
  <c r="A46" i="27"/>
  <c r="A47" i="27"/>
  <c r="A48" i="27"/>
  <c r="A49" i="27"/>
  <c r="A50" i="27"/>
  <c r="A51" i="27"/>
  <c r="A52" i="27"/>
  <c r="A53" i="27"/>
  <c r="A54" i="27"/>
  <c r="A55" i="27"/>
  <c r="A56" i="27"/>
  <c r="A57" i="27"/>
  <c r="A58" i="27"/>
  <c r="A59" i="27"/>
  <c r="A60" i="27"/>
  <c r="A61" i="27"/>
  <c r="A62" i="27"/>
  <c r="A63" i="27"/>
  <c r="A64" i="27"/>
  <c r="A65" i="27"/>
  <c r="A66" i="27"/>
  <c r="A67" i="27"/>
  <c r="A68" i="27"/>
  <c r="A69" i="27"/>
  <c r="A70" i="27"/>
  <c r="A71" i="27"/>
  <c r="A72" i="27"/>
  <c r="A73" i="27"/>
  <c r="A74" i="27"/>
  <c r="A75" i="27"/>
  <c r="A76" i="27"/>
  <c r="A77" i="27"/>
  <c r="A78" i="27"/>
  <c r="A79" i="27"/>
  <c r="A80" i="27"/>
  <c r="A81" i="27"/>
  <c r="A82" i="27"/>
  <c r="A83" i="27"/>
  <c r="A84" i="27"/>
  <c r="A85" i="27"/>
  <c r="A86" i="27"/>
  <c r="A87" i="27"/>
  <c r="A88" i="27"/>
  <c r="A89" i="27"/>
  <c r="A90" i="27"/>
  <c r="A91" i="27"/>
  <c r="A92" i="27"/>
  <c r="A93" i="27"/>
  <c r="A94" i="27"/>
  <c r="A95" i="27"/>
  <c r="A96" i="27"/>
  <c r="A97" i="27"/>
  <c r="A98" i="27"/>
  <c r="A99" i="27"/>
  <c r="A100" i="27"/>
  <c r="A101" i="27"/>
  <c r="A102" i="27"/>
  <c r="A103" i="27"/>
  <c r="A104" i="27"/>
  <c r="A105" i="27"/>
  <c r="A106" i="27"/>
  <c r="A107" i="27"/>
  <c r="A108" i="27"/>
  <c r="A109" i="27"/>
  <c r="A110" i="27"/>
  <c r="A111" i="27"/>
  <c r="A112" i="27"/>
  <c r="A113" i="27"/>
  <c r="A114" i="27"/>
  <c r="A115" i="27"/>
  <c r="A116" i="27"/>
  <c r="A117" i="27"/>
  <c r="A118" i="27"/>
  <c r="A119" i="27"/>
  <c r="A120" i="27"/>
  <c r="A121" i="27"/>
  <c r="A122" i="27"/>
  <c r="A123" i="27"/>
  <c r="A124" i="27"/>
  <c r="A125" i="27"/>
  <c r="A126" i="27"/>
  <c r="A127" i="27"/>
  <c r="A128" i="27"/>
  <c r="A129" i="27"/>
  <c r="A30" i="27"/>
  <c r="P43" i="1"/>
  <c r="O43" i="1"/>
  <c r="N43" i="1"/>
  <c r="M43" i="1"/>
  <c r="P42" i="1"/>
  <c r="O42" i="1"/>
  <c r="N42" i="1"/>
  <c r="M42" i="1"/>
  <c r="P41" i="1"/>
  <c r="O41" i="1"/>
  <c r="N41" i="1"/>
  <c r="M41" i="1"/>
  <c r="P40" i="1"/>
  <c r="O40" i="1"/>
  <c r="N40" i="1"/>
  <c r="M40" i="1"/>
  <c r="P39" i="1"/>
  <c r="O39" i="1"/>
  <c r="N39" i="1"/>
  <c r="M39" i="1"/>
  <c r="P38" i="1"/>
  <c r="O38" i="1"/>
  <c r="N38" i="1"/>
  <c r="M38" i="1"/>
  <c r="P37" i="1"/>
  <c r="O37" i="1"/>
  <c r="N37" i="1"/>
  <c r="M37" i="1"/>
  <c r="P36" i="1"/>
  <c r="O36" i="1"/>
  <c r="N36" i="1"/>
  <c r="M36" i="1"/>
  <c r="P35" i="1"/>
  <c r="O35" i="1"/>
  <c r="N35" i="1"/>
  <c r="M35" i="1"/>
  <c r="P34" i="1"/>
  <c r="O34" i="1"/>
  <c r="N34" i="1"/>
  <c r="M34" i="1"/>
  <c r="P33" i="1"/>
  <c r="O33" i="1"/>
  <c r="N33" i="1"/>
  <c r="M33" i="1"/>
  <c r="P32" i="1"/>
  <c r="O32" i="1"/>
  <c r="N32" i="1"/>
  <c r="M32" i="1"/>
  <c r="P31" i="1"/>
  <c r="O31" i="1"/>
  <c r="N31" i="1"/>
  <c r="M31" i="1"/>
  <c r="P30" i="1"/>
  <c r="O30" i="1"/>
  <c r="N30" i="1"/>
  <c r="M30" i="1"/>
  <c r="P29" i="1"/>
  <c r="O29" i="1"/>
  <c r="N29" i="1"/>
  <c r="M29" i="1"/>
  <c r="P28" i="1"/>
  <c r="O28" i="1"/>
  <c r="N28" i="1"/>
  <c r="M28" i="1"/>
  <c r="P27" i="1"/>
  <c r="O27" i="1"/>
  <c r="N27" i="1"/>
  <c r="M27" i="1"/>
  <c r="P26" i="1"/>
  <c r="O26" i="1"/>
  <c r="N26" i="1"/>
  <c r="M26" i="1"/>
  <c r="P25" i="1"/>
  <c r="O25" i="1"/>
  <c r="N25" i="1"/>
  <c r="M25" i="1"/>
  <c r="P24" i="1"/>
  <c r="O24" i="1"/>
  <c r="N24" i="1"/>
  <c r="M24" i="1"/>
  <c r="P23" i="1"/>
  <c r="O23" i="1"/>
  <c r="N23" i="1"/>
  <c r="M23" i="1"/>
  <c r="P22" i="1"/>
  <c r="O22" i="1"/>
  <c r="N22" i="1"/>
  <c r="M22" i="1"/>
  <c r="P21" i="1"/>
  <c r="O21" i="1"/>
  <c r="N21" i="1"/>
  <c r="M21" i="1"/>
  <c r="P20" i="1"/>
  <c r="O20" i="1"/>
  <c r="N20" i="1"/>
  <c r="M20" i="1"/>
  <c r="P19" i="1"/>
  <c r="O19" i="1"/>
  <c r="N19" i="1"/>
  <c r="M19" i="1"/>
  <c r="P18" i="1"/>
  <c r="O18" i="1"/>
  <c r="N18" i="1"/>
  <c r="M18" i="1"/>
  <c r="P17" i="1"/>
  <c r="O17" i="1"/>
  <c r="N17" i="1"/>
  <c r="M17" i="1"/>
  <c r="P16" i="1"/>
  <c r="O16" i="1"/>
  <c r="N16" i="1"/>
  <c r="M16" i="1"/>
  <c r="P15" i="1"/>
  <c r="O15" i="1"/>
  <c r="N15" i="1"/>
  <c r="M15" i="1"/>
  <c r="P14" i="1"/>
  <c r="O14" i="1"/>
  <c r="N14" i="1"/>
  <c r="M14" i="1"/>
  <c r="P13" i="1"/>
  <c r="O13" i="1"/>
  <c r="N13" i="1"/>
  <c r="M13" i="1"/>
  <c r="E48" i="20" l="1"/>
  <c r="F14" i="20"/>
  <c r="E14" i="20"/>
  <c r="D14" i="20"/>
  <c r="G14" i="20"/>
  <c r="H14" i="20"/>
  <c r="X9" i="25"/>
  <c r="AP42" i="25" l="1"/>
  <c r="M18" i="23" l="1"/>
  <c r="H18" i="23"/>
  <c r="W53" i="9" l="1"/>
  <c r="AS63" i="23"/>
  <c r="E50" i="20" l="1"/>
  <c r="C43" i="28" l="1"/>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A63" i="23" l="1"/>
  <c r="A62" i="23"/>
  <c r="A42" i="25"/>
  <c r="A41" i="25"/>
  <c r="A40" i="25"/>
  <c r="B11" i="27" l="1"/>
  <c r="N11" i="27"/>
  <c r="K11" i="27"/>
  <c r="R129" i="27"/>
  <c r="R128" i="27"/>
  <c r="R127" i="27"/>
  <c r="R126" i="27"/>
  <c r="R125" i="27"/>
  <c r="R124" i="27"/>
  <c r="R123" i="27"/>
  <c r="R122" i="27"/>
  <c r="R121" i="27"/>
  <c r="R120" i="27"/>
  <c r="R119" i="27"/>
  <c r="R118" i="27"/>
  <c r="R117" i="27"/>
  <c r="R116" i="27"/>
  <c r="R115" i="27"/>
  <c r="R114" i="27"/>
  <c r="R113" i="27"/>
  <c r="R112" i="27"/>
  <c r="R111" i="27"/>
  <c r="R110" i="27"/>
  <c r="R109" i="27"/>
  <c r="R108" i="27"/>
  <c r="R107" i="27"/>
  <c r="R106" i="27"/>
  <c r="R105" i="27"/>
  <c r="R104" i="27"/>
  <c r="R103" i="27"/>
  <c r="R102" i="27"/>
  <c r="R101" i="27"/>
  <c r="R100" i="27"/>
  <c r="R99" i="27"/>
  <c r="R98" i="27"/>
  <c r="R97" i="27"/>
  <c r="R96" i="27"/>
  <c r="R95" i="27"/>
  <c r="R94" i="27"/>
  <c r="R93" i="27"/>
  <c r="R92" i="27"/>
  <c r="R91" i="27"/>
  <c r="R90" i="27"/>
  <c r="R89" i="27"/>
  <c r="R88" i="27"/>
  <c r="R87" i="27"/>
  <c r="R86" i="27"/>
  <c r="R85" i="27"/>
  <c r="R84" i="27"/>
  <c r="R83" i="27"/>
  <c r="R82" i="27"/>
  <c r="R81" i="27"/>
  <c r="R80" i="27"/>
  <c r="R79" i="27"/>
  <c r="R78" i="27"/>
  <c r="R77" i="27"/>
  <c r="R76" i="27"/>
  <c r="R75" i="27"/>
  <c r="R74" i="27"/>
  <c r="R73" i="27"/>
  <c r="R72" i="27"/>
  <c r="R71" i="27"/>
  <c r="R70" i="27"/>
  <c r="R69" i="27"/>
  <c r="R68" i="27"/>
  <c r="R67" i="27"/>
  <c r="R66" i="27"/>
  <c r="R65" i="27"/>
  <c r="R64" i="27"/>
  <c r="R63" i="27"/>
  <c r="R62" i="27"/>
  <c r="R61" i="27"/>
  <c r="R60" i="27"/>
  <c r="R59" i="27"/>
  <c r="R58" i="27"/>
  <c r="R57" i="27"/>
  <c r="R56" i="27"/>
  <c r="R55" i="27"/>
  <c r="R54" i="27"/>
  <c r="R53" i="27"/>
  <c r="R52" i="27"/>
  <c r="R51" i="27"/>
  <c r="R50" i="27"/>
  <c r="R49" i="27"/>
  <c r="R48" i="27"/>
  <c r="R47" i="27"/>
  <c r="R46" i="27"/>
  <c r="R45" i="27"/>
  <c r="R44" i="27"/>
  <c r="R43" i="27"/>
  <c r="R42" i="27"/>
  <c r="R41" i="27"/>
  <c r="R40" i="27"/>
  <c r="R39" i="27"/>
  <c r="R38" i="27"/>
  <c r="R37" i="27"/>
  <c r="R36" i="27"/>
  <c r="R35" i="27"/>
  <c r="R34" i="27"/>
  <c r="R33" i="27"/>
  <c r="R32" i="27"/>
  <c r="R31" i="27"/>
  <c r="R30" i="27"/>
  <c r="AB26" i="27"/>
  <c r="AA26" i="27"/>
  <c r="Z26" i="27"/>
  <c r="Z25" i="27"/>
  <c r="Y25" i="27"/>
  <c r="X25" i="27"/>
  <c r="X24" i="27"/>
  <c r="F24" i="27"/>
  <c r="Z24" i="27" s="1"/>
  <c r="D24" i="27"/>
  <c r="Y24" i="27" s="1"/>
  <c r="Y23" i="27"/>
  <c r="X23" i="27"/>
  <c r="F23" i="27"/>
  <c r="Z23" i="27" s="1"/>
  <c r="D23" i="27"/>
  <c r="Y22" i="27"/>
  <c r="X22" i="27"/>
  <c r="F22" i="27"/>
  <c r="Z22" i="27" s="1"/>
  <c r="D22" i="27"/>
  <c r="Y21" i="27"/>
  <c r="X21" i="27"/>
  <c r="F21" i="27"/>
  <c r="Z21" i="27" s="1"/>
  <c r="D21" i="27"/>
  <c r="Y20" i="27"/>
  <c r="X20" i="27"/>
  <c r="F20" i="27"/>
  <c r="Z20" i="27" s="1"/>
  <c r="D20" i="27"/>
  <c r="Y19" i="27"/>
  <c r="X19" i="27"/>
  <c r="F19" i="27"/>
  <c r="Z19" i="27" s="1"/>
  <c r="D19" i="27"/>
  <c r="Y18" i="27"/>
  <c r="X18" i="27"/>
  <c r="F18" i="27"/>
  <c r="Z18" i="27" s="1"/>
  <c r="D18" i="27"/>
  <c r="Y17" i="27"/>
  <c r="X17" i="27"/>
  <c r="F17" i="27"/>
  <c r="Z17" i="27" s="1"/>
  <c r="D17" i="27"/>
  <c r="Y16" i="27"/>
  <c r="X16" i="27"/>
  <c r="F16" i="27"/>
  <c r="Z16" i="27" s="1"/>
  <c r="X15" i="27"/>
  <c r="F15" i="27"/>
  <c r="R27" i="27" l="1"/>
  <c r="D16" i="27"/>
  <c r="E52" i="20" s="1"/>
  <c r="F25" i="27"/>
  <c r="Z15" i="27"/>
  <c r="AB24" i="27" s="1"/>
  <c r="Y15" i="27" l="1"/>
  <c r="AA24" i="27" s="1"/>
  <c r="D25" i="27"/>
  <c r="A12" i="25"/>
  <c r="F34" i="8" l="1"/>
  <c r="D34" i="8"/>
  <c r="B34" i="8"/>
  <c r="R14" i="9"/>
  <c r="E16" i="20" s="1"/>
  <c r="G50" i="20"/>
  <c r="G52" i="20" s="1"/>
  <c r="H50" i="20"/>
  <c r="H52" i="20" s="1"/>
  <c r="F50" i="20"/>
  <c r="F52" i="20" s="1"/>
  <c r="D50" i="20"/>
  <c r="D52" i="20" s="1"/>
  <c r="D9" i="20"/>
  <c r="D10" i="20"/>
  <c r="D56" i="20" s="1"/>
  <c r="D11" i="20"/>
  <c r="B56" i="20" s="1"/>
  <c r="F7" i="20"/>
  <c r="N8" i="9"/>
  <c r="I52" i="20" l="1"/>
  <c r="B7" i="27"/>
  <c r="E8" i="20"/>
  <c r="F8" i="20"/>
  <c r="A3" i="23"/>
  <c r="C13" i="1"/>
  <c r="D13" i="9" s="1"/>
  <c r="AQ18" i="23" l="1"/>
  <c r="AL19" i="23"/>
  <c r="AL18" i="23"/>
  <c r="AG19" i="23"/>
  <c r="AG18" i="23"/>
  <c r="AB19" i="23"/>
  <c r="AB18" i="23"/>
  <c r="W19" i="23"/>
  <c r="W18" i="23"/>
  <c r="R19" i="23"/>
  <c r="R18" i="23"/>
  <c r="M19" i="23"/>
  <c r="H19" i="23"/>
  <c r="AL17" i="23"/>
  <c r="AG17" i="23"/>
  <c r="AB17" i="23"/>
  <c r="W17" i="23"/>
  <c r="R17" i="23"/>
  <c r="M17" i="23"/>
  <c r="H17" i="23"/>
  <c r="H16" i="23"/>
  <c r="AQ16" i="23"/>
  <c r="AL16" i="23"/>
  <c r="AG16" i="23"/>
  <c r="AB16" i="23"/>
  <c r="W16" i="23"/>
  <c r="R16" i="23"/>
  <c r="M16" i="23"/>
  <c r="F32" i="8" l="1"/>
  <c r="D32" i="8"/>
  <c r="B32" i="8"/>
  <c r="F30" i="8"/>
  <c r="D30" i="8"/>
  <c r="B30" i="8"/>
  <c r="F28" i="8"/>
  <c r="D28" i="8"/>
  <c r="B28" i="8"/>
  <c r="F26" i="8"/>
  <c r="D26" i="8"/>
  <c r="B26" i="8"/>
  <c r="F24" i="8"/>
  <c r="D24" i="8"/>
  <c r="B24" i="8"/>
  <c r="F22" i="8"/>
  <c r="D22" i="8"/>
  <c r="B22" i="8"/>
  <c r="F20" i="8"/>
  <c r="D20" i="8"/>
  <c r="B20" i="8"/>
  <c r="F18" i="8"/>
  <c r="D18" i="8"/>
  <c r="B18" i="8"/>
  <c r="F16" i="8"/>
  <c r="D16" i="8"/>
  <c r="B16" i="8"/>
  <c r="F14" i="8"/>
  <c r="D14" i="8"/>
  <c r="B14" i="8"/>
  <c r="F12" i="8"/>
  <c r="D12" i="8"/>
  <c r="B12" i="8"/>
  <c r="F10" i="8"/>
  <c r="D10" i="8"/>
  <c r="B10" i="8"/>
  <c r="F8" i="8"/>
  <c r="D8" i="8"/>
  <c r="B8" i="8"/>
  <c r="F6" i="8"/>
  <c r="D6" i="8"/>
  <c r="B6" i="8"/>
  <c r="AM3" i="23" l="1"/>
  <c r="AD3" i="23"/>
  <c r="E14" i="1"/>
  <c r="F14" i="1"/>
  <c r="G14" i="9" s="1"/>
  <c r="Q14" i="9"/>
  <c r="D16" i="20" s="1"/>
  <c r="AC23" i="23"/>
  <c r="S14" i="9"/>
  <c r="F16" i="20" s="1"/>
  <c r="T14" i="9"/>
  <c r="G16" i="20" s="1"/>
  <c r="U14" i="9"/>
  <c r="H16" i="20" s="1"/>
  <c r="N14" i="9"/>
  <c r="E15" i="1"/>
  <c r="F15" i="1"/>
  <c r="G15" i="9" s="1"/>
  <c r="Q15" i="9"/>
  <c r="D17" i="20" s="1"/>
  <c r="R15" i="9"/>
  <c r="E17" i="20" s="1"/>
  <c r="S15" i="9"/>
  <c r="F17" i="20" s="1"/>
  <c r="T15" i="9"/>
  <c r="G17" i="20" s="1"/>
  <c r="U15" i="9"/>
  <c r="H17" i="20" s="1"/>
  <c r="E16" i="1"/>
  <c r="F16" i="9" s="1"/>
  <c r="F16" i="1"/>
  <c r="G16" i="9" s="1"/>
  <c r="Q16" i="9"/>
  <c r="D18" i="20" s="1"/>
  <c r="R16" i="9"/>
  <c r="E18" i="20" s="1"/>
  <c r="S16" i="9"/>
  <c r="F18" i="20" s="1"/>
  <c r="T16" i="9"/>
  <c r="G18" i="20" s="1"/>
  <c r="U16" i="9"/>
  <c r="H18" i="20" s="1"/>
  <c r="N16" i="9"/>
  <c r="E17" i="1"/>
  <c r="F17" i="9" s="1"/>
  <c r="F17" i="1"/>
  <c r="G17" i="9" s="1"/>
  <c r="Q17" i="9"/>
  <c r="D19" i="20" s="1"/>
  <c r="R17" i="9"/>
  <c r="E19" i="20" s="1"/>
  <c r="S17" i="9"/>
  <c r="F19" i="20" s="1"/>
  <c r="T17" i="9"/>
  <c r="G19" i="20" s="1"/>
  <c r="U17" i="9"/>
  <c r="H19" i="20" s="1"/>
  <c r="O13" i="9"/>
  <c r="W22" i="23" s="1"/>
  <c r="O14" i="9"/>
  <c r="W23" i="23" s="1"/>
  <c r="O15" i="9"/>
  <c r="W24" i="23" s="1"/>
  <c r="O16" i="9"/>
  <c r="W25" i="23" s="1"/>
  <c r="O17" i="9"/>
  <c r="W26" i="23" s="1"/>
  <c r="O18" i="9"/>
  <c r="W27" i="23" s="1"/>
  <c r="O19" i="9"/>
  <c r="W28" i="23" s="1"/>
  <c r="O20" i="9"/>
  <c r="W29" i="23" s="1"/>
  <c r="O21" i="9"/>
  <c r="W30" i="23" s="1"/>
  <c r="O22" i="9"/>
  <c r="W31" i="23" s="1"/>
  <c r="O23" i="9"/>
  <c r="W32" i="23" s="1"/>
  <c r="O24" i="9"/>
  <c r="W33" i="23" s="1"/>
  <c r="O25" i="9"/>
  <c r="W34" i="23" s="1"/>
  <c r="O26" i="9"/>
  <c r="W35" i="23" s="1"/>
  <c r="O27" i="9"/>
  <c r="W36" i="23" s="1"/>
  <c r="O28" i="9"/>
  <c r="W37" i="23" s="1"/>
  <c r="O29" i="9"/>
  <c r="W38" i="23" s="1"/>
  <c r="O30" i="9"/>
  <c r="W39" i="23" s="1"/>
  <c r="O31" i="9"/>
  <c r="W40" i="23" s="1"/>
  <c r="O32" i="9"/>
  <c r="W41" i="23" s="1"/>
  <c r="O33" i="9"/>
  <c r="W42" i="23" s="1"/>
  <c r="O34" i="9"/>
  <c r="W43" i="23" s="1"/>
  <c r="O35" i="9"/>
  <c r="W44" i="23" s="1"/>
  <c r="O36" i="9"/>
  <c r="W45" i="23" s="1"/>
  <c r="O37" i="9"/>
  <c r="W46" i="23" s="1"/>
  <c r="O38" i="9"/>
  <c r="W47" i="23" s="1"/>
  <c r="O39" i="9"/>
  <c r="W48" i="23" s="1"/>
  <c r="O40" i="9"/>
  <c r="W49" i="23" s="1"/>
  <c r="O41" i="9"/>
  <c r="W50" i="23" s="1"/>
  <c r="O42" i="9"/>
  <c r="W51" i="23" s="1"/>
  <c r="O43" i="9"/>
  <c r="W52" i="23" s="1"/>
  <c r="E13" i="1"/>
  <c r="E18" i="1"/>
  <c r="AD18" i="1" s="1"/>
  <c r="E19" i="1"/>
  <c r="AD19" i="1" s="1"/>
  <c r="E20" i="1"/>
  <c r="AD20" i="1" s="1"/>
  <c r="E21" i="1"/>
  <c r="AD21" i="1" s="1"/>
  <c r="E22" i="1"/>
  <c r="AD22" i="1" s="1"/>
  <c r="E23" i="1"/>
  <c r="AG23" i="1" s="1"/>
  <c r="E24" i="1"/>
  <c r="AD24" i="1" s="1"/>
  <c r="E25" i="1"/>
  <c r="E26" i="1"/>
  <c r="AD26" i="1" s="1"/>
  <c r="E27" i="1"/>
  <c r="AG27" i="1" s="1"/>
  <c r="E28" i="1"/>
  <c r="AD28" i="1" s="1"/>
  <c r="E29" i="1"/>
  <c r="E30" i="1"/>
  <c r="AD30" i="1" s="1"/>
  <c r="E31" i="1"/>
  <c r="AG31" i="1" s="1"/>
  <c r="E32" i="1"/>
  <c r="AD32" i="1" s="1"/>
  <c r="E33" i="1"/>
  <c r="E34" i="1"/>
  <c r="AD34" i="1" s="1"/>
  <c r="E35" i="1"/>
  <c r="AG35" i="1" s="1"/>
  <c r="E36" i="1"/>
  <c r="AD36" i="1" s="1"/>
  <c r="E37" i="1"/>
  <c r="E38" i="1"/>
  <c r="AD38" i="1" s="1"/>
  <c r="E39" i="1"/>
  <c r="AG39" i="1" s="1"/>
  <c r="E40" i="1"/>
  <c r="AD40" i="1" s="1"/>
  <c r="E41" i="1"/>
  <c r="AE41" i="1" s="1"/>
  <c r="E42" i="1"/>
  <c r="AD42" i="1" s="1"/>
  <c r="E43"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CI48" i="1"/>
  <c r="E47" i="9" s="1"/>
  <c r="H11" i="10" s="1"/>
  <c r="H16" i="10" s="1"/>
  <c r="CJ48" i="1"/>
  <c r="F47" i="9" s="1"/>
  <c r="J11" i="10" s="1"/>
  <c r="J16" i="10" s="1"/>
  <c r="CK48" i="1"/>
  <c r="G47" i="9" s="1"/>
  <c r="L11" i="10" s="1"/>
  <c r="L16" i="10" s="1"/>
  <c r="CN48" i="1"/>
  <c r="J47" i="9" s="1"/>
  <c r="R11" i="10" s="1"/>
  <c r="R16" i="10" s="1"/>
  <c r="AH48" i="1"/>
  <c r="AH49" i="1" s="1"/>
  <c r="L47" i="9" s="1"/>
  <c r="CU13" i="1"/>
  <c r="CU14" i="1"/>
  <c r="CU15" i="1"/>
  <c r="CU16" i="1"/>
  <c r="CU17" i="1"/>
  <c r="CU18" i="1"/>
  <c r="CU19" i="1"/>
  <c r="CU20" i="1"/>
  <c r="CU21" i="1"/>
  <c r="CU22" i="1"/>
  <c r="CU23" i="1"/>
  <c r="CU24" i="1"/>
  <c r="CU25" i="1"/>
  <c r="CU26" i="1"/>
  <c r="CU27" i="1"/>
  <c r="CU28" i="1"/>
  <c r="CU29" i="1"/>
  <c r="CU30" i="1"/>
  <c r="CU31" i="1"/>
  <c r="CU32" i="1"/>
  <c r="CU33" i="1"/>
  <c r="CU34" i="1"/>
  <c r="CU35" i="1"/>
  <c r="CU36" i="1"/>
  <c r="CU37" i="1"/>
  <c r="CU38" i="1"/>
  <c r="CU39" i="1"/>
  <c r="CU40" i="1"/>
  <c r="CU41" i="1"/>
  <c r="CU42" i="1"/>
  <c r="CU43"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I48" i="1"/>
  <c r="AK48" i="1"/>
  <c r="AL48" i="1"/>
  <c r="AJ48" i="1"/>
  <c r="DB13" i="1"/>
  <c r="DB14" i="1"/>
  <c r="DB15" i="1"/>
  <c r="DB16" i="1"/>
  <c r="DB17" i="1"/>
  <c r="DB18" i="1"/>
  <c r="DB19" i="1"/>
  <c r="DB20" i="1"/>
  <c r="DB21" i="1"/>
  <c r="DB22" i="1"/>
  <c r="DB23" i="1"/>
  <c r="DB24" i="1"/>
  <c r="DB25" i="1"/>
  <c r="DB26" i="1"/>
  <c r="DB27" i="1"/>
  <c r="DB28" i="1"/>
  <c r="DB29" i="1"/>
  <c r="DB30" i="1"/>
  <c r="DB31" i="1"/>
  <c r="DB32" i="1"/>
  <c r="DB33" i="1"/>
  <c r="DB34" i="1"/>
  <c r="DB35" i="1"/>
  <c r="DB36" i="1"/>
  <c r="DB37" i="1"/>
  <c r="DB38" i="1"/>
  <c r="DB39" i="1"/>
  <c r="DB40" i="1"/>
  <c r="DB41" i="1"/>
  <c r="DB42" i="1"/>
  <c r="DB43" i="1"/>
  <c r="P8" i="9"/>
  <c r="E7" i="27" s="1"/>
  <c r="T43" i="9"/>
  <c r="G45" i="20" s="1"/>
  <c r="S43" i="9"/>
  <c r="F45" i="20" s="1"/>
  <c r="R43" i="9"/>
  <c r="E45" i="20" s="1"/>
  <c r="Q43" i="9"/>
  <c r="D45" i="20" s="1"/>
  <c r="F43" i="1"/>
  <c r="G43" i="9" s="1"/>
  <c r="D43" i="1"/>
  <c r="E43" i="9" s="1"/>
  <c r="C43" i="1"/>
  <c r="D43" i="9" s="1"/>
  <c r="T42" i="9"/>
  <c r="G44" i="20" s="1"/>
  <c r="S42" i="9"/>
  <c r="F44" i="20" s="1"/>
  <c r="R42" i="9"/>
  <c r="E44" i="20" s="1"/>
  <c r="Q42" i="9"/>
  <c r="D44" i="20" s="1"/>
  <c r="F42" i="1"/>
  <c r="G42" i="9" s="1"/>
  <c r="D42" i="1"/>
  <c r="E42" i="9" s="1"/>
  <c r="N51" i="23" s="1"/>
  <c r="C42" i="1"/>
  <c r="D42" i="9" s="1"/>
  <c r="K51" i="23" s="1"/>
  <c r="T41" i="9"/>
  <c r="G43" i="20" s="1"/>
  <c r="S41" i="9"/>
  <c r="F43" i="20" s="1"/>
  <c r="R41" i="9"/>
  <c r="E43" i="20" s="1"/>
  <c r="Q41" i="9"/>
  <c r="D43" i="20" s="1"/>
  <c r="F41" i="1"/>
  <c r="G41" i="9" s="1"/>
  <c r="D41" i="1"/>
  <c r="E41" i="9" s="1"/>
  <c r="C41" i="1"/>
  <c r="D41" i="9" s="1"/>
  <c r="T40" i="9"/>
  <c r="G42" i="20" s="1"/>
  <c r="S40" i="9"/>
  <c r="F42" i="20" s="1"/>
  <c r="R40" i="9"/>
  <c r="E42" i="20" s="1"/>
  <c r="Q40" i="9"/>
  <c r="D42" i="20" s="1"/>
  <c r="F40" i="1"/>
  <c r="G40" i="9" s="1"/>
  <c r="D40" i="1"/>
  <c r="E40" i="9" s="1"/>
  <c r="N49" i="23" s="1"/>
  <c r="C40" i="1"/>
  <c r="D40" i="9" s="1"/>
  <c r="K49" i="23" s="1"/>
  <c r="T39" i="9"/>
  <c r="G41" i="20" s="1"/>
  <c r="S39" i="9"/>
  <c r="F41" i="20" s="1"/>
  <c r="R39" i="9"/>
  <c r="E41" i="20" s="1"/>
  <c r="Q39" i="9"/>
  <c r="D41" i="20" s="1"/>
  <c r="F39" i="1"/>
  <c r="G39" i="9" s="1"/>
  <c r="D39" i="1"/>
  <c r="E39" i="9" s="1"/>
  <c r="C39" i="1"/>
  <c r="D39" i="9" s="1"/>
  <c r="T38" i="9"/>
  <c r="G40" i="20" s="1"/>
  <c r="S38" i="9"/>
  <c r="F40" i="20" s="1"/>
  <c r="R38" i="9"/>
  <c r="E40" i="20" s="1"/>
  <c r="Q38" i="9"/>
  <c r="D40" i="20" s="1"/>
  <c r="F38" i="1"/>
  <c r="G38" i="9" s="1"/>
  <c r="D38" i="1"/>
  <c r="E38" i="9" s="1"/>
  <c r="N47" i="23" s="1"/>
  <c r="C38" i="1"/>
  <c r="D38" i="9" s="1"/>
  <c r="K47" i="23" s="1"/>
  <c r="T37" i="9"/>
  <c r="G39" i="20" s="1"/>
  <c r="S37" i="9"/>
  <c r="F39" i="20" s="1"/>
  <c r="R37" i="9"/>
  <c r="E39" i="20" s="1"/>
  <c r="Q37" i="9"/>
  <c r="D39" i="20" s="1"/>
  <c r="F37" i="1"/>
  <c r="G37" i="9" s="1"/>
  <c r="D37" i="1"/>
  <c r="E37" i="9" s="1"/>
  <c r="C37" i="1"/>
  <c r="D37" i="9" s="1"/>
  <c r="T36" i="9"/>
  <c r="G38" i="20" s="1"/>
  <c r="S36" i="9"/>
  <c r="F38" i="20" s="1"/>
  <c r="R36" i="9"/>
  <c r="E38" i="20" s="1"/>
  <c r="Q36" i="9"/>
  <c r="D38" i="20" s="1"/>
  <c r="F36" i="1"/>
  <c r="G36" i="9" s="1"/>
  <c r="D36" i="1"/>
  <c r="E36" i="9" s="1"/>
  <c r="N45" i="23" s="1"/>
  <c r="C36" i="1"/>
  <c r="D36" i="9" s="1"/>
  <c r="K45" i="23" s="1"/>
  <c r="T35" i="9"/>
  <c r="G37" i="20" s="1"/>
  <c r="S35" i="9"/>
  <c r="F37" i="20" s="1"/>
  <c r="R35" i="9"/>
  <c r="E37" i="20" s="1"/>
  <c r="Q35" i="9"/>
  <c r="D37" i="20" s="1"/>
  <c r="F35" i="1"/>
  <c r="G35" i="9" s="1"/>
  <c r="D35" i="1"/>
  <c r="E35" i="9" s="1"/>
  <c r="C35" i="1"/>
  <c r="D35" i="9" s="1"/>
  <c r="T34" i="9"/>
  <c r="G36" i="20" s="1"/>
  <c r="S34" i="9"/>
  <c r="F36" i="20" s="1"/>
  <c r="R34" i="9"/>
  <c r="E36" i="20" s="1"/>
  <c r="Q34" i="9"/>
  <c r="D36" i="20" s="1"/>
  <c r="F34" i="1"/>
  <c r="G34" i="9" s="1"/>
  <c r="D34" i="1"/>
  <c r="E34" i="9" s="1"/>
  <c r="N43" i="23" s="1"/>
  <c r="C34" i="1"/>
  <c r="D34" i="9" s="1"/>
  <c r="K43" i="23" s="1"/>
  <c r="T33" i="9"/>
  <c r="G35" i="20" s="1"/>
  <c r="S33" i="9"/>
  <c r="F35" i="20" s="1"/>
  <c r="R33" i="9"/>
  <c r="E35" i="20" s="1"/>
  <c r="Q33" i="9"/>
  <c r="D35" i="20" s="1"/>
  <c r="F33" i="1"/>
  <c r="G33" i="9" s="1"/>
  <c r="D33" i="1"/>
  <c r="E33" i="9" s="1"/>
  <c r="C33" i="1"/>
  <c r="D33" i="9" s="1"/>
  <c r="T32" i="9"/>
  <c r="G34" i="20" s="1"/>
  <c r="S32" i="9"/>
  <c r="F34" i="20" s="1"/>
  <c r="R32" i="9"/>
  <c r="E34" i="20" s="1"/>
  <c r="Q32" i="9"/>
  <c r="D34" i="20" s="1"/>
  <c r="F32" i="1"/>
  <c r="G32" i="9" s="1"/>
  <c r="D32" i="1"/>
  <c r="E32" i="9" s="1"/>
  <c r="N41" i="23" s="1"/>
  <c r="C32" i="1"/>
  <c r="D32" i="9" s="1"/>
  <c r="K41" i="23" s="1"/>
  <c r="T31" i="9"/>
  <c r="G33" i="20" s="1"/>
  <c r="S31" i="9"/>
  <c r="F33" i="20" s="1"/>
  <c r="R31" i="9"/>
  <c r="E33" i="20" s="1"/>
  <c r="Q31" i="9"/>
  <c r="D33" i="20" s="1"/>
  <c r="F31" i="1"/>
  <c r="G31" i="9" s="1"/>
  <c r="D31" i="1"/>
  <c r="E31" i="9" s="1"/>
  <c r="C31" i="1"/>
  <c r="D31" i="9" s="1"/>
  <c r="T30" i="9"/>
  <c r="G32" i="20" s="1"/>
  <c r="S30" i="9"/>
  <c r="F32" i="20" s="1"/>
  <c r="R30" i="9"/>
  <c r="E32" i="20" s="1"/>
  <c r="Q30" i="9"/>
  <c r="D32" i="20" s="1"/>
  <c r="F30" i="1"/>
  <c r="G30" i="9" s="1"/>
  <c r="D30" i="1"/>
  <c r="E30" i="9" s="1"/>
  <c r="C30" i="1"/>
  <c r="D30" i="9" s="1"/>
  <c r="K39" i="23" s="1"/>
  <c r="T29" i="9"/>
  <c r="G31" i="20" s="1"/>
  <c r="S29" i="9"/>
  <c r="F31" i="20" s="1"/>
  <c r="R29" i="9"/>
  <c r="E31" i="20" s="1"/>
  <c r="Q29" i="9"/>
  <c r="D31" i="20" s="1"/>
  <c r="F29" i="1"/>
  <c r="G29" i="9" s="1"/>
  <c r="D29" i="1"/>
  <c r="E29" i="9" s="1"/>
  <c r="C29" i="1"/>
  <c r="D29" i="9" s="1"/>
  <c r="T28" i="9"/>
  <c r="G30" i="20" s="1"/>
  <c r="S28" i="9"/>
  <c r="F30" i="20" s="1"/>
  <c r="R28" i="9"/>
  <c r="E30" i="20" s="1"/>
  <c r="Q28" i="9"/>
  <c r="D30" i="20" s="1"/>
  <c r="F28" i="1"/>
  <c r="G28" i="9" s="1"/>
  <c r="D28" i="1"/>
  <c r="E28" i="9" s="1"/>
  <c r="N37" i="23" s="1"/>
  <c r="C28" i="1"/>
  <c r="D28" i="9" s="1"/>
  <c r="K37" i="23" s="1"/>
  <c r="T27" i="9"/>
  <c r="G29" i="20" s="1"/>
  <c r="S27" i="9"/>
  <c r="F29" i="20" s="1"/>
  <c r="R27" i="9"/>
  <c r="E29" i="20" s="1"/>
  <c r="Q27" i="9"/>
  <c r="D29" i="20" s="1"/>
  <c r="F27" i="1"/>
  <c r="G27" i="9" s="1"/>
  <c r="D27" i="1"/>
  <c r="E27" i="9" s="1"/>
  <c r="C27" i="1"/>
  <c r="D27" i="9" s="1"/>
  <c r="T26" i="9"/>
  <c r="G28" i="20" s="1"/>
  <c r="S26" i="9"/>
  <c r="F28" i="20" s="1"/>
  <c r="R26" i="9"/>
  <c r="E28" i="20" s="1"/>
  <c r="Q26" i="9"/>
  <c r="D28" i="20" s="1"/>
  <c r="F26" i="1"/>
  <c r="G26" i="9" s="1"/>
  <c r="D26" i="1"/>
  <c r="E26" i="9" s="1"/>
  <c r="N35" i="23" s="1"/>
  <c r="C26" i="1"/>
  <c r="D26" i="9" s="1"/>
  <c r="K35" i="23" s="1"/>
  <c r="T25" i="9"/>
  <c r="G27" i="20" s="1"/>
  <c r="S25" i="9"/>
  <c r="F27" i="20" s="1"/>
  <c r="R25" i="9"/>
  <c r="E27" i="20" s="1"/>
  <c r="Q25" i="9"/>
  <c r="D27" i="20" s="1"/>
  <c r="F25" i="1"/>
  <c r="G25" i="9" s="1"/>
  <c r="D25" i="1"/>
  <c r="E25" i="9" s="1"/>
  <c r="C25" i="1"/>
  <c r="D25" i="9" s="1"/>
  <c r="T24" i="9"/>
  <c r="G26" i="20" s="1"/>
  <c r="S24" i="9"/>
  <c r="F26" i="20" s="1"/>
  <c r="R24" i="9"/>
  <c r="E26" i="20" s="1"/>
  <c r="Q24" i="9"/>
  <c r="D26" i="20" s="1"/>
  <c r="F24" i="1"/>
  <c r="G24" i="9" s="1"/>
  <c r="D24" i="1"/>
  <c r="E24" i="9" s="1"/>
  <c r="N33" i="23" s="1"/>
  <c r="C24" i="1"/>
  <c r="D24" i="9" s="1"/>
  <c r="K33" i="23" s="1"/>
  <c r="T23" i="9"/>
  <c r="G25" i="20" s="1"/>
  <c r="S23" i="9"/>
  <c r="F25" i="20" s="1"/>
  <c r="R23" i="9"/>
  <c r="E25" i="20" s="1"/>
  <c r="Q23" i="9"/>
  <c r="D25" i="20" s="1"/>
  <c r="F23" i="1"/>
  <c r="G23" i="9" s="1"/>
  <c r="D23" i="1"/>
  <c r="E23" i="9" s="1"/>
  <c r="C23" i="1"/>
  <c r="D23" i="9" s="1"/>
  <c r="T22" i="9"/>
  <c r="G24" i="20" s="1"/>
  <c r="S22" i="9"/>
  <c r="F24" i="20" s="1"/>
  <c r="R22" i="9"/>
  <c r="E24" i="20" s="1"/>
  <c r="Q22" i="9"/>
  <c r="D24" i="20" s="1"/>
  <c r="F22" i="1"/>
  <c r="G22" i="9" s="1"/>
  <c r="D22" i="1"/>
  <c r="E22" i="9" s="1"/>
  <c r="N31" i="23" s="1"/>
  <c r="C22" i="1"/>
  <c r="D22" i="9" s="1"/>
  <c r="K31" i="23" s="1"/>
  <c r="T21" i="9"/>
  <c r="G23" i="20" s="1"/>
  <c r="S21" i="9"/>
  <c r="F23" i="20" s="1"/>
  <c r="R21" i="9"/>
  <c r="E23" i="20" s="1"/>
  <c r="Q21" i="9"/>
  <c r="D23" i="20" s="1"/>
  <c r="F21" i="1"/>
  <c r="G21" i="9" s="1"/>
  <c r="D21" i="1"/>
  <c r="E21" i="9" s="1"/>
  <c r="C21" i="1"/>
  <c r="D21" i="9" s="1"/>
  <c r="T20" i="9"/>
  <c r="G22" i="20" s="1"/>
  <c r="S20" i="9"/>
  <c r="F22" i="20" s="1"/>
  <c r="R20" i="9"/>
  <c r="E22" i="20" s="1"/>
  <c r="Q20" i="9"/>
  <c r="D22" i="20" s="1"/>
  <c r="F20" i="1"/>
  <c r="G20" i="9" s="1"/>
  <c r="D20" i="1"/>
  <c r="C20" i="1"/>
  <c r="T19" i="9"/>
  <c r="G21" i="20" s="1"/>
  <c r="S19" i="9"/>
  <c r="F21" i="20" s="1"/>
  <c r="R19" i="9"/>
  <c r="E21" i="20" s="1"/>
  <c r="Q19" i="9"/>
  <c r="D21" i="20" s="1"/>
  <c r="F19" i="1"/>
  <c r="G19" i="9" s="1"/>
  <c r="D19" i="1"/>
  <c r="E19" i="9" s="1"/>
  <c r="C19" i="1"/>
  <c r="D19" i="9" s="1"/>
  <c r="T18" i="9"/>
  <c r="G20" i="20" s="1"/>
  <c r="S18" i="9"/>
  <c r="F20" i="20" s="1"/>
  <c r="R18" i="9"/>
  <c r="E20" i="20" s="1"/>
  <c r="Q18" i="9"/>
  <c r="D20" i="20" s="1"/>
  <c r="F18" i="1"/>
  <c r="G18" i="9" s="1"/>
  <c r="D18" i="1"/>
  <c r="E18" i="9" s="1"/>
  <c r="C18" i="1"/>
  <c r="D18" i="9" s="1"/>
  <c r="D17" i="1"/>
  <c r="C17" i="1"/>
  <c r="D16" i="1"/>
  <c r="C16" i="1"/>
  <c r="D15" i="1"/>
  <c r="C15" i="1"/>
  <c r="D15" i="9" s="1"/>
  <c r="D14" i="1"/>
  <c r="E14" i="9" s="1"/>
  <c r="C14" i="1"/>
  <c r="D14" i="9" s="1"/>
  <c r="T13" i="9"/>
  <c r="G15" i="20" s="1"/>
  <c r="S13" i="9"/>
  <c r="F15" i="20" s="1"/>
  <c r="R13" i="9"/>
  <c r="E15" i="20" s="1"/>
  <c r="F13" i="1"/>
  <c r="G13" i="9" s="1"/>
  <c r="D13" i="1"/>
  <c r="E13" i="9" s="1"/>
  <c r="U43" i="9"/>
  <c r="H45" i="20" s="1"/>
  <c r="U42" i="9"/>
  <c r="H44" i="20" s="1"/>
  <c r="U41" i="9"/>
  <c r="H43" i="20" s="1"/>
  <c r="U40" i="9"/>
  <c r="H42" i="20" s="1"/>
  <c r="U39" i="9"/>
  <c r="H41" i="20" s="1"/>
  <c r="U38" i="9"/>
  <c r="H40" i="20" s="1"/>
  <c r="U37" i="9"/>
  <c r="H39" i="20" s="1"/>
  <c r="U36" i="9"/>
  <c r="H38" i="20" s="1"/>
  <c r="U35" i="9"/>
  <c r="H37" i="20" s="1"/>
  <c r="U34" i="9"/>
  <c r="H36" i="20" s="1"/>
  <c r="U33" i="9"/>
  <c r="H35" i="20" s="1"/>
  <c r="U32" i="9"/>
  <c r="H34" i="20" s="1"/>
  <c r="U31" i="9"/>
  <c r="H33" i="20" s="1"/>
  <c r="U30" i="9"/>
  <c r="H32" i="20" s="1"/>
  <c r="U29" i="9"/>
  <c r="H31" i="20" s="1"/>
  <c r="U28" i="9"/>
  <c r="H30" i="20" s="1"/>
  <c r="U27" i="9"/>
  <c r="H29" i="20" s="1"/>
  <c r="U26" i="9"/>
  <c r="H28" i="20" s="1"/>
  <c r="U25" i="9"/>
  <c r="H27" i="20" s="1"/>
  <c r="U24" i="9"/>
  <c r="H26" i="20" s="1"/>
  <c r="U23" i="9"/>
  <c r="H25" i="20" s="1"/>
  <c r="U22" i="9"/>
  <c r="H24" i="20" s="1"/>
  <c r="U21" i="9"/>
  <c r="H23" i="20" s="1"/>
  <c r="U20" i="9"/>
  <c r="H22" i="20" s="1"/>
  <c r="U19" i="9"/>
  <c r="H21" i="20" s="1"/>
  <c r="U18" i="9"/>
  <c r="H20" i="20" s="1"/>
  <c r="U13" i="9"/>
  <c r="H15" i="20" s="1"/>
  <c r="N43" i="9"/>
  <c r="N42" i="9"/>
  <c r="N41" i="9"/>
  <c r="N40" i="9"/>
  <c r="N39" i="9"/>
  <c r="N38" i="9"/>
  <c r="N37" i="9"/>
  <c r="N36" i="9"/>
  <c r="N35" i="9"/>
  <c r="N34" i="9"/>
  <c r="N33" i="9"/>
  <c r="N32" i="9"/>
  <c r="N31" i="9"/>
  <c r="N30" i="9"/>
  <c r="N29" i="9"/>
  <c r="N28" i="9"/>
  <c r="N27" i="9"/>
  <c r="N26" i="9"/>
  <c r="N25" i="9"/>
  <c r="N24" i="9"/>
  <c r="N23" i="9"/>
  <c r="N22" i="9"/>
  <c r="N21" i="9"/>
  <c r="N20" i="9"/>
  <c r="N19" i="9"/>
  <c r="N18" i="9"/>
  <c r="N17" i="9"/>
  <c r="N15" i="9"/>
  <c r="N13"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42" i="9"/>
  <c r="L43" i="9"/>
  <c r="L13" i="1"/>
  <c r="P13" i="9" s="1"/>
  <c r="L14" i="1"/>
  <c r="P14" i="9" s="1"/>
  <c r="L15" i="1"/>
  <c r="P15" i="9" s="1"/>
  <c r="L16" i="1"/>
  <c r="P16" i="9" s="1"/>
  <c r="L17" i="1"/>
  <c r="P17" i="9" s="1"/>
  <c r="L18" i="1"/>
  <c r="P18" i="9" s="1"/>
  <c r="L19" i="1"/>
  <c r="P19" i="9" s="1"/>
  <c r="L20" i="1"/>
  <c r="P20" i="9" s="1"/>
  <c r="L21" i="1"/>
  <c r="P21" i="9" s="1"/>
  <c r="L22" i="1"/>
  <c r="P22" i="9" s="1"/>
  <c r="L23" i="1"/>
  <c r="P23" i="9" s="1"/>
  <c r="L24" i="1"/>
  <c r="P24" i="9" s="1"/>
  <c r="L25" i="1"/>
  <c r="P25" i="9" s="1"/>
  <c r="L26" i="1"/>
  <c r="P26" i="9" s="1"/>
  <c r="L27" i="1"/>
  <c r="P27" i="9" s="1"/>
  <c r="L28" i="1"/>
  <c r="P28" i="9" s="1"/>
  <c r="L29" i="1"/>
  <c r="P29" i="9" s="1"/>
  <c r="L30" i="1"/>
  <c r="P30" i="9" s="1"/>
  <c r="L31" i="1"/>
  <c r="P31" i="9" s="1"/>
  <c r="L32" i="1"/>
  <c r="P32" i="9" s="1"/>
  <c r="L33" i="1"/>
  <c r="P33" i="9" s="1"/>
  <c r="L34" i="1"/>
  <c r="P34" i="9" s="1"/>
  <c r="L35" i="1"/>
  <c r="P35" i="9" s="1"/>
  <c r="L36" i="1"/>
  <c r="P36" i="9" s="1"/>
  <c r="L37" i="1"/>
  <c r="P37" i="9" s="1"/>
  <c r="L38" i="1"/>
  <c r="P38" i="9" s="1"/>
  <c r="L39" i="1"/>
  <c r="P39" i="9" s="1"/>
  <c r="L40" i="1"/>
  <c r="P40" i="9" s="1"/>
  <c r="L41" i="1"/>
  <c r="P41" i="9" s="1"/>
  <c r="L42" i="1"/>
  <c r="P42" i="9" s="1"/>
  <c r="L43" i="1"/>
  <c r="P43" i="9" s="1"/>
  <c r="W2" i="1"/>
  <c r="D3" i="1"/>
  <c r="W3" i="1"/>
  <c r="D4" i="1"/>
  <c r="X4" i="1"/>
  <c r="D5" i="1"/>
  <c r="H5" i="1"/>
  <c r="W5" i="1"/>
  <c r="X5" i="1" s="1"/>
  <c r="K13" i="1"/>
  <c r="T13" i="1"/>
  <c r="K14" i="1"/>
  <c r="T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E46" i="1"/>
  <c r="F46" i="1"/>
  <c r="CV47" i="1"/>
  <c r="CV50" i="1" s="1"/>
  <c r="CV52" i="1" s="1"/>
  <c r="BV48" i="1"/>
  <c r="BV49" i="1" s="1"/>
  <c r="E6" i="19"/>
  <c r="G6" i="19"/>
  <c r="H11" i="19" s="1"/>
  <c r="H12" i="19"/>
  <c r="H13" i="19"/>
  <c r="H14" i="19"/>
  <c r="H15" i="19"/>
  <c r="H16" i="19"/>
  <c r="H17" i="19"/>
  <c r="H18" i="19"/>
  <c r="H19" i="19"/>
  <c r="H20" i="19"/>
  <c r="H21" i="19"/>
  <c r="H22" i="19"/>
  <c r="H23" i="19"/>
  <c r="H24" i="19"/>
  <c r="H25" i="19"/>
  <c r="B5" i="2"/>
  <c r="B6" i="2"/>
  <c r="B7" i="2"/>
  <c r="B8" i="2"/>
  <c r="Y8" i="2"/>
  <c r="Z8" i="2"/>
  <c r="B9" i="2"/>
  <c r="B10" i="2"/>
  <c r="D10" i="2"/>
  <c r="W19" i="2"/>
  <c r="X19" i="2"/>
  <c r="D20" i="2"/>
  <c r="Y20" i="2"/>
  <c r="Z20" i="2"/>
  <c r="D30" i="2"/>
  <c r="D40" i="2"/>
  <c r="D50" i="2"/>
  <c r="D60" i="2"/>
  <c r="Z21" i="23"/>
  <c r="L60" i="23" s="1"/>
  <c r="L61" i="23" s="1"/>
  <c r="AC21" i="23"/>
  <c r="O60" i="23" s="1"/>
  <c r="O61" i="23" s="1"/>
  <c r="AF21" i="23"/>
  <c r="R60" i="23" s="1"/>
  <c r="R61" i="23" s="1"/>
  <c r="AI21" i="23"/>
  <c r="U60" i="23" s="1"/>
  <c r="U61" i="23" s="1"/>
  <c r="AL21" i="23"/>
  <c r="X60" i="23" s="1"/>
  <c r="X61" i="23" s="1"/>
  <c r="K56" i="23"/>
  <c r="O56" i="23"/>
  <c r="S56" i="23"/>
  <c r="W56" i="23"/>
  <c r="AA56" i="23"/>
  <c r="W57" i="23"/>
  <c r="W58" i="23" s="1"/>
  <c r="AA57" i="23"/>
  <c r="AA58" i="23" s="1"/>
  <c r="K57" i="23"/>
  <c r="K58" i="23" s="1"/>
  <c r="O57" i="23"/>
  <c r="O58" i="23" s="1"/>
  <c r="S57" i="23"/>
  <c r="S58" i="23" s="1"/>
  <c r="CW41" i="1"/>
  <c r="CW34" i="1"/>
  <c r="CX39" i="1"/>
  <c r="AF18" i="10"/>
  <c r="AJ49" i="1"/>
  <c r="AG11" i="9"/>
  <c r="AH11" i="9"/>
  <c r="AG18" i="10"/>
  <c r="CX36" i="1"/>
  <c r="CX30" i="1"/>
  <c r="CX29" i="1"/>
  <c r="CX42" i="1"/>
  <c r="M9" i="1"/>
  <c r="CX41" i="1"/>
  <c r="CX13" i="1"/>
  <c r="CW14" i="1"/>
  <c r="AL49" i="1"/>
  <c r="CX38" i="1"/>
  <c r="CW29" i="1"/>
  <c r="CX14" i="1"/>
  <c r="CX22" i="1"/>
  <c r="CX35" i="1"/>
  <c r="CX27" i="1"/>
  <c r="N11" i="1"/>
  <c r="AI18" i="10"/>
  <c r="CX24" i="1"/>
  <c r="BV53" i="1"/>
  <c r="CX25" i="1"/>
  <c r="CW27" i="1"/>
  <c r="AI49" i="1"/>
  <c r="CW28" i="1"/>
  <c r="CX26" i="1"/>
  <c r="AF11" i="9"/>
  <c r="CX37" i="1"/>
  <c r="P9" i="1"/>
  <c r="CX40" i="1"/>
  <c r="AI11" i="9"/>
  <c r="CX21" i="1"/>
  <c r="CX32" i="1"/>
  <c r="O9" i="1"/>
  <c r="CX16" i="1"/>
  <c r="CW33" i="1"/>
  <c r="CW16" i="1"/>
  <c r="AE11" i="9"/>
  <c r="CW32" i="1"/>
  <c r="CX31" i="1"/>
  <c r="CW40" i="1"/>
  <c r="CW22" i="1"/>
  <c r="CW18" i="1"/>
  <c r="CW15" i="1"/>
  <c r="CX19" i="1"/>
  <c r="M11" i="1"/>
  <c r="J46" i="1"/>
  <c r="CW37" i="1"/>
  <c r="CX18" i="1"/>
  <c r="P11" i="1"/>
  <c r="AH18" i="10"/>
  <c r="CX20" i="1"/>
  <c r="CW38" i="1"/>
  <c r="CW24" i="1"/>
  <c r="I46" i="1"/>
  <c r="AK49" i="1"/>
  <c r="CX34" i="1"/>
  <c r="CW39" i="1"/>
  <c r="CX17" i="1"/>
  <c r="CW17" i="1"/>
  <c r="O11" i="1"/>
  <c r="CX33" i="1"/>
  <c r="V11" i="10"/>
  <c r="N9" i="1"/>
  <c r="CW23" i="1"/>
  <c r="AJ18" i="10"/>
  <c r="CW36" i="1"/>
  <c r="CW13" i="1"/>
  <c r="CX23" i="1"/>
  <c r="CW42" i="1"/>
  <c r="CW30" i="1"/>
  <c r="CW31" i="1"/>
  <c r="CX43" i="1"/>
  <c r="CW26" i="1"/>
  <c r="CW35" i="1"/>
  <c r="CW21" i="1"/>
  <c r="CX28" i="1"/>
  <c r="CW25" i="1"/>
  <c r="CW19" i="1"/>
  <c r="CX15" i="1"/>
  <c r="CW20" i="1"/>
  <c r="CW43" i="1"/>
  <c r="F22" i="9" l="1"/>
  <c r="C31" i="23" s="1"/>
  <c r="AE30" i="1"/>
  <c r="AG26" i="1"/>
  <c r="F26" i="9"/>
  <c r="C35" i="23" s="1"/>
  <c r="AG38" i="1"/>
  <c r="AE38" i="1"/>
  <c r="AI52" i="23"/>
  <c r="AE42" i="1"/>
  <c r="AG34" i="1"/>
  <c r="AE34" i="1"/>
  <c r="AG16" i="1"/>
  <c r="AE18" i="1"/>
  <c r="F18" i="9"/>
  <c r="C27" i="23" s="1"/>
  <c r="AG42" i="1"/>
  <c r="AG18" i="1"/>
  <c r="X27" i="2"/>
  <c r="W24" i="2"/>
  <c r="X23" i="2"/>
  <c r="X26" i="2"/>
  <c r="X25" i="2"/>
  <c r="X24" i="2"/>
  <c r="W27" i="2"/>
  <c r="W26" i="2"/>
  <c r="W23" i="2"/>
  <c r="W25" i="2"/>
  <c r="W22" i="2"/>
  <c r="X22" i="2"/>
  <c r="V17" i="2"/>
  <c r="W21" i="2"/>
  <c r="X17" i="2"/>
  <c r="X15" i="2"/>
  <c r="W17" i="2"/>
  <c r="V15" i="2"/>
  <c r="X16" i="2"/>
  <c r="V16" i="2"/>
  <c r="W15" i="2"/>
  <c r="W16" i="2"/>
  <c r="AE17" i="1"/>
  <c r="AA61" i="23"/>
  <c r="AG22" i="1"/>
  <c r="AE22" i="1"/>
  <c r="AI38" i="23"/>
  <c r="F34" i="9"/>
  <c r="C43" i="23" s="1"/>
  <c r="F38" i="9"/>
  <c r="C47" i="23" s="1"/>
  <c r="V6" i="2"/>
  <c r="E15" i="9"/>
  <c r="N24" i="23" s="1"/>
  <c r="D16" i="9"/>
  <c r="K25" i="23" s="1"/>
  <c r="E16" i="9"/>
  <c r="N25" i="23" s="1"/>
  <c r="E17" i="9"/>
  <c r="N26" i="23" s="1"/>
  <c r="D20" i="9"/>
  <c r="K29" i="23" s="1"/>
  <c r="E20" i="9"/>
  <c r="N29" i="23" s="1"/>
  <c r="D17" i="9"/>
  <c r="K26" i="23" s="1"/>
  <c r="AI32" i="23"/>
  <c r="AG32" i="1"/>
  <c r="AF40" i="23"/>
  <c r="Z48" i="23"/>
  <c r="AC44" i="23"/>
  <c r="AF18" i="1"/>
  <c r="Z40" i="23"/>
  <c r="AC36" i="23"/>
  <c r="F28" i="9"/>
  <c r="C37" i="23" s="1"/>
  <c r="AI34" i="23"/>
  <c r="AI40" i="23"/>
  <c r="V20" i="2"/>
  <c r="N7" i="2"/>
  <c r="W12" i="2"/>
  <c r="V9" i="2"/>
  <c r="O28" i="2"/>
  <c r="X11" i="2"/>
  <c r="AH7" i="2"/>
  <c r="X9" i="2" s="1"/>
  <c r="AB6" i="2"/>
  <c r="M28" i="2"/>
  <c r="V18" i="2"/>
  <c r="W7" i="2"/>
  <c r="W6" i="2"/>
  <c r="B41" i="1"/>
  <c r="C3" i="23"/>
  <c r="AF16" i="1"/>
  <c r="X13" i="2"/>
  <c r="V11" i="2"/>
  <c r="AE8" i="2"/>
  <c r="X8" i="2"/>
  <c r="B43" i="1"/>
  <c r="N29" i="2"/>
  <c r="X20" i="2"/>
  <c r="N17" i="2"/>
  <c r="V13" i="2"/>
  <c r="W10" i="2"/>
  <c r="AC8" i="2"/>
  <c r="V8" i="2"/>
  <c r="AD6" i="2"/>
  <c r="B42" i="1"/>
  <c r="AG36" i="1"/>
  <c r="AE20" i="1"/>
  <c r="AC52" i="23"/>
  <c r="AL48" i="23"/>
  <c r="F20" i="9"/>
  <c r="C29" i="23" s="1"/>
  <c r="AF28" i="1"/>
  <c r="AI30" i="23"/>
  <c r="AL40" i="23"/>
  <c r="AG40" i="1"/>
  <c r="AG24" i="1"/>
  <c r="AI48" i="23"/>
  <c r="AG30" i="1"/>
  <c r="AG28" i="1"/>
  <c r="AE26" i="1"/>
  <c r="AG17" i="1"/>
  <c r="AE16" i="1"/>
  <c r="F30" i="9"/>
  <c r="C39" i="23" s="1"/>
  <c r="F36" i="9"/>
  <c r="C45" i="23" s="1"/>
  <c r="F42" i="9"/>
  <c r="C51" i="23" s="1"/>
  <c r="AF17" i="1"/>
  <c r="AD17" i="1"/>
  <c r="AE32" i="1"/>
  <c r="AE28" i="1"/>
  <c r="AE24" i="1"/>
  <c r="AF24" i="1"/>
  <c r="AI28" i="23"/>
  <c r="AI36" i="23"/>
  <c r="AI44" i="23"/>
  <c r="AF48" i="23"/>
  <c r="F24" i="9"/>
  <c r="F32" i="9"/>
  <c r="C41" i="23" s="1"/>
  <c r="F40" i="9"/>
  <c r="C49" i="23" s="1"/>
  <c r="AF22" i="23"/>
  <c r="AC32" i="23"/>
  <c r="AC48" i="23"/>
  <c r="AE40" i="1"/>
  <c r="AE36" i="1"/>
  <c r="C33" i="23"/>
  <c r="AC40" i="23"/>
  <c r="AF42" i="1"/>
  <c r="AF44" i="23"/>
  <c r="Z52" i="23"/>
  <c r="AL44" i="23"/>
  <c r="E2" i="19"/>
  <c r="Z44" i="23"/>
  <c r="AF52" i="23"/>
  <c r="AL52" i="23"/>
  <c r="AL32" i="23"/>
  <c r="AL36" i="23"/>
  <c r="AL28" i="23"/>
  <c r="AI22" i="23"/>
  <c r="Z28" i="23"/>
  <c r="Z32" i="23"/>
  <c r="AF32" i="23"/>
  <c r="Z36" i="23"/>
  <c r="AF36" i="23"/>
  <c r="AI42" i="23"/>
  <c r="AI46" i="23"/>
  <c r="AI50" i="23"/>
  <c r="AF28" i="23"/>
  <c r="AC30" i="23"/>
  <c r="AC34" i="23"/>
  <c r="AC38" i="23"/>
  <c r="AC42" i="23"/>
  <c r="AC46" i="23"/>
  <c r="AC50" i="23"/>
  <c r="AL50" i="23"/>
  <c r="AL46" i="23"/>
  <c r="AL42" i="23"/>
  <c r="AL38" i="23"/>
  <c r="AL34" i="23"/>
  <c r="AL30" i="23"/>
  <c r="AL22" i="23"/>
  <c r="H26" i="19"/>
  <c r="C13" i="9"/>
  <c r="AD43" i="1"/>
  <c r="F43" i="9"/>
  <c r="C52" i="23" s="1"/>
  <c r="AG43" i="1"/>
  <c r="AD41" i="1"/>
  <c r="F41" i="9"/>
  <c r="C50" i="23" s="1"/>
  <c r="AG41" i="1"/>
  <c r="AD39" i="1"/>
  <c r="F39" i="9"/>
  <c r="C48" i="23" s="1"/>
  <c r="AE39" i="1"/>
  <c r="AD37" i="1"/>
  <c r="F37" i="9"/>
  <c r="C46" i="23" s="1"/>
  <c r="AE37" i="1"/>
  <c r="AD35" i="1"/>
  <c r="F35" i="9"/>
  <c r="C44" i="23" s="1"/>
  <c r="AE35" i="1"/>
  <c r="AD33" i="1"/>
  <c r="F33" i="9"/>
  <c r="C42" i="23" s="1"/>
  <c r="AE33" i="1"/>
  <c r="AD31" i="1"/>
  <c r="F31" i="9"/>
  <c r="C40" i="23" s="1"/>
  <c r="AE31" i="1"/>
  <c r="AD29" i="1"/>
  <c r="F29" i="9"/>
  <c r="C38" i="23" s="1"/>
  <c r="AE29" i="1"/>
  <c r="AD27" i="1"/>
  <c r="F27" i="9"/>
  <c r="C36" i="23" s="1"/>
  <c r="AE27" i="1"/>
  <c r="AD25" i="1"/>
  <c r="F25" i="9"/>
  <c r="C34" i="23" s="1"/>
  <c r="AE25" i="1"/>
  <c r="AD23" i="1"/>
  <c r="F23" i="9"/>
  <c r="C32" i="23" s="1"/>
  <c r="AE23" i="1"/>
  <c r="AI26" i="23"/>
  <c r="AC26" i="23"/>
  <c r="F15" i="9"/>
  <c r="C24" i="23" s="1"/>
  <c r="AE15" i="1"/>
  <c r="F14" i="9"/>
  <c r="C23" i="23" s="1"/>
  <c r="AG14" i="1"/>
  <c r="AE43" i="1"/>
  <c r="AG37" i="1"/>
  <c r="AG33" i="1"/>
  <c r="AG29" i="1"/>
  <c r="AG25" i="1"/>
  <c r="AG21" i="1"/>
  <c r="AE19" i="1"/>
  <c r="AL27" i="23"/>
  <c r="AL29" i="23"/>
  <c r="AL31" i="23"/>
  <c r="AL33" i="23"/>
  <c r="AL35" i="23"/>
  <c r="AL37" i="23"/>
  <c r="AL39" i="23"/>
  <c r="AL41" i="23"/>
  <c r="AL43" i="23"/>
  <c r="AL45" i="23"/>
  <c r="AL47" i="23"/>
  <c r="AL49" i="23"/>
  <c r="AL51" i="23"/>
  <c r="Z30" i="23"/>
  <c r="AF30" i="23"/>
  <c r="Z34" i="23"/>
  <c r="AF34" i="23"/>
  <c r="Z38" i="23"/>
  <c r="AF38" i="23"/>
  <c r="Z42" i="23"/>
  <c r="AF42" i="23"/>
  <c r="Z46" i="23"/>
  <c r="AF46" i="23"/>
  <c r="Z50" i="23"/>
  <c r="AF50" i="23"/>
  <c r="AL26" i="23"/>
  <c r="AL25" i="23"/>
  <c r="AF25" i="23"/>
  <c r="Z25" i="23"/>
  <c r="AL24" i="23"/>
  <c r="AF24" i="23"/>
  <c r="Z24" i="23"/>
  <c r="AL23" i="23"/>
  <c r="AI23" i="23"/>
  <c r="N23" i="23"/>
  <c r="AG13" i="1"/>
  <c r="F13" i="9"/>
  <c r="C22" i="23" s="1"/>
  <c r="K23" i="23"/>
  <c r="O29" i="2"/>
  <c r="M29" i="2"/>
  <c r="N28" i="2"/>
  <c r="V22" i="2"/>
  <c r="X21" i="2"/>
  <c r="V21" i="2"/>
  <c r="W20" i="2"/>
  <c r="V19" i="2"/>
  <c r="M17" i="2"/>
  <c r="W18" i="2"/>
  <c r="N16" i="2"/>
  <c r="W13" i="2"/>
  <c r="X12" i="2"/>
  <c r="V12" i="2"/>
  <c r="W11" i="2"/>
  <c r="X10" i="2"/>
  <c r="V10" i="2"/>
  <c r="W9" i="2"/>
  <c r="N9" i="2"/>
  <c r="AH8" i="2"/>
  <c r="X18" i="2" s="1"/>
  <c r="AD8" i="2"/>
  <c r="AB8" i="2"/>
  <c r="W8" i="2"/>
  <c r="X7" i="2"/>
  <c r="V7" i="2"/>
  <c r="M7" i="2"/>
  <c r="AE6" i="2"/>
  <c r="AC6" i="2"/>
  <c r="X6" i="2"/>
  <c r="T5" i="1"/>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G7" i="20"/>
  <c r="P46" i="1"/>
  <c r="AC22" i="23"/>
  <c r="Q13" i="9"/>
  <c r="D15" i="20" s="1"/>
  <c r="AD13" i="1"/>
  <c r="AG15" i="1"/>
  <c r="K24" i="23"/>
  <c r="AE13" i="1"/>
  <c r="AD15" i="1"/>
  <c r="K50" i="23"/>
  <c r="AF26" i="23"/>
  <c r="N50" i="23"/>
  <c r="AF43" i="1"/>
  <c r="AF41" i="1"/>
  <c r="AF15" i="1"/>
  <c r="AF14" i="1"/>
  <c r="AC33" i="23"/>
  <c r="AI33" i="23"/>
  <c r="N34" i="23"/>
  <c r="Z51" i="23"/>
  <c r="AF51" i="23"/>
  <c r="K52" i="23"/>
  <c r="Z26" i="23"/>
  <c r="Z27" i="23"/>
  <c r="Z33" i="23"/>
  <c r="AF33" i="23"/>
  <c r="K34" i="23"/>
  <c r="Z43" i="23"/>
  <c r="AC51" i="23"/>
  <c r="AI51" i="23"/>
  <c r="N52" i="23"/>
  <c r="AF25" i="1"/>
  <c r="Z49" i="23"/>
  <c r="AF40" i="1"/>
  <c r="AI49" i="23"/>
  <c r="AF49" i="23"/>
  <c r="AC49" i="23"/>
  <c r="AF39" i="1"/>
  <c r="N48" i="23"/>
  <c r="K48" i="23"/>
  <c r="AF38" i="1"/>
  <c r="AF47" i="23"/>
  <c r="AI47" i="23"/>
  <c r="AC47" i="23"/>
  <c r="Z47" i="23"/>
  <c r="AF37" i="1"/>
  <c r="N46" i="23"/>
  <c r="K46" i="23"/>
  <c r="AF36" i="1"/>
  <c r="AI45" i="23"/>
  <c r="AF45" i="23"/>
  <c r="AC45" i="23"/>
  <c r="Z45" i="23"/>
  <c r="AF35" i="1"/>
  <c r="N44" i="23"/>
  <c r="K44" i="23"/>
  <c r="AF34" i="1"/>
  <c r="AF43" i="23"/>
  <c r="AI43" i="23"/>
  <c r="AC43" i="23"/>
  <c r="AF33" i="1"/>
  <c r="K42" i="23"/>
  <c r="N42" i="23"/>
  <c r="AF32" i="1"/>
  <c r="AI41" i="23"/>
  <c r="P45" i="1"/>
  <c r="AF41" i="23"/>
  <c r="AC41" i="23"/>
  <c r="Z41" i="23"/>
  <c r="AF31" i="1"/>
  <c r="N40" i="23"/>
  <c r="K40" i="23"/>
  <c r="AF30" i="1"/>
  <c r="Z39" i="23"/>
  <c r="AI39" i="23"/>
  <c r="AF39" i="23"/>
  <c r="AC39" i="23"/>
  <c r="N39" i="23"/>
  <c r="AF29" i="1"/>
  <c r="N38" i="23"/>
  <c r="K38" i="23"/>
  <c r="AC37" i="23"/>
  <c r="AI37" i="23"/>
  <c r="AF37" i="23"/>
  <c r="Z37" i="23"/>
  <c r="AG20" i="1"/>
  <c r="AF20" i="1"/>
  <c r="AF23" i="1"/>
  <c r="N32" i="23"/>
  <c r="K32" i="23"/>
  <c r="AF26" i="1"/>
  <c r="CV49" i="1"/>
  <c r="CV51" i="1" s="1"/>
  <c r="CV53" i="1" s="1"/>
  <c r="O45" i="9"/>
  <c r="AF27" i="1"/>
  <c r="N36" i="23"/>
  <c r="K36" i="23"/>
  <c r="Z35" i="23"/>
  <c r="AI35" i="23"/>
  <c r="AF35" i="23"/>
  <c r="AC35" i="23"/>
  <c r="AF22" i="1"/>
  <c r="AI31" i="23"/>
  <c r="AF31" i="23"/>
  <c r="AC31" i="23"/>
  <c r="Z31" i="23"/>
  <c r="N45" i="9"/>
  <c r="AE21" i="1"/>
  <c r="F21" i="9"/>
  <c r="C30" i="23" s="1"/>
  <c r="AF21" i="1"/>
  <c r="K30" i="23"/>
  <c r="N30" i="23"/>
  <c r="AI29" i="23"/>
  <c r="AF29" i="23"/>
  <c r="AC29" i="23"/>
  <c r="Z29" i="23"/>
  <c r="AC28" i="23"/>
  <c r="N45" i="1"/>
  <c r="L45" i="1"/>
  <c r="M45" i="1"/>
  <c r="J45" i="1"/>
  <c r="AG19" i="1"/>
  <c r="F19" i="9"/>
  <c r="AF19" i="1"/>
  <c r="N28" i="23"/>
  <c r="K28" i="23"/>
  <c r="D46" i="1"/>
  <c r="AI25" i="23"/>
  <c r="AC25" i="23"/>
  <c r="AD16" i="1"/>
  <c r="AI24" i="23"/>
  <c r="O45" i="1"/>
  <c r="AC24" i="23"/>
  <c r="AB47" i="1"/>
  <c r="AB49" i="1" s="1"/>
  <c r="AB51" i="1" s="1"/>
  <c r="K45" i="1"/>
  <c r="I45" i="1"/>
  <c r="AE14" i="1"/>
  <c r="AD14" i="1"/>
  <c r="AF23" i="23"/>
  <c r="AA47" i="1"/>
  <c r="AA49" i="1" s="1"/>
  <c r="AA51" i="1" s="1"/>
  <c r="Z47" i="1"/>
  <c r="Z49" i="1" s="1"/>
  <c r="Z51" i="1" s="1"/>
  <c r="Z23" i="23"/>
  <c r="Y47" i="1"/>
  <c r="Y49" i="1" s="1"/>
  <c r="Y51" i="1" s="1"/>
  <c r="M46" i="1"/>
  <c r="AF13" i="1"/>
  <c r="N22" i="23"/>
  <c r="K22" i="23"/>
  <c r="C46" i="1"/>
  <c r="N46" i="1"/>
  <c r="Q45" i="1"/>
  <c r="Q46" i="1"/>
  <c r="O46" i="1"/>
  <c r="DB48" i="1"/>
  <c r="CU47" i="1"/>
  <c r="AC48" i="1"/>
  <c r="C47" i="9" s="1"/>
  <c r="D53" i="20" s="1"/>
  <c r="BV50" i="1"/>
  <c r="BV51" i="1" s="1"/>
  <c r="BV52" i="1" s="1"/>
  <c r="BW48" i="1"/>
  <c r="AI27" i="23"/>
  <c r="AF27" i="23"/>
  <c r="AC27" i="23"/>
  <c r="N27" i="23"/>
  <c r="K27" i="23"/>
  <c r="H45" i="1"/>
  <c r="AG30" i="9"/>
  <c r="T16" i="1"/>
  <c r="W53" i="23"/>
  <c r="C25" i="23"/>
  <c r="BV54" i="1"/>
  <c r="CX48" i="1"/>
  <c r="CW48" i="1"/>
  <c r="AR11" i="10"/>
  <c r="AR16" i="10" s="1"/>
  <c r="AJ11" i="10"/>
  <c r="AJ16" i="10" s="1"/>
  <c r="V16" i="10"/>
  <c r="AV11" i="10"/>
  <c r="AV16" i="10" s="1"/>
  <c r="AN11" i="10"/>
  <c r="AN16" i="10" s="1"/>
  <c r="AF11" i="10"/>
  <c r="AF16" i="10" s="1"/>
  <c r="P45" i="9"/>
  <c r="C26" i="23"/>
  <c r="AJ50" i="1"/>
  <c r="AK50" i="1"/>
  <c r="H46" i="1"/>
  <c r="AL50" i="1"/>
  <c r="CX49" i="1"/>
  <c r="CW49" i="1"/>
  <c r="G46" i="1"/>
  <c r="AF30" i="9"/>
  <c r="AI50" i="1"/>
  <c r="AH30" i="9"/>
  <c r="O35" i="25" l="1"/>
  <c r="AD1" i="25"/>
  <c r="K22" i="27"/>
  <c r="B10" i="9"/>
  <c r="A26" i="23"/>
  <c r="B26" i="23" s="1"/>
  <c r="B19" i="20"/>
  <c r="A30" i="23"/>
  <c r="B30" i="23" s="1"/>
  <c r="B23" i="20"/>
  <c r="A34" i="23"/>
  <c r="B34" i="23" s="1"/>
  <c r="B27" i="20"/>
  <c r="A38" i="23"/>
  <c r="B38" i="23" s="1"/>
  <c r="B31" i="20"/>
  <c r="A42" i="23"/>
  <c r="B42" i="23" s="1"/>
  <c r="B35" i="20"/>
  <c r="A46" i="23"/>
  <c r="B46" i="23" s="1"/>
  <c r="B39" i="20"/>
  <c r="A50" i="23"/>
  <c r="B50" i="23" s="1"/>
  <c r="B43" i="20"/>
  <c r="A23" i="23"/>
  <c r="B23" i="23" s="1"/>
  <c r="B16" i="20"/>
  <c r="A27" i="23"/>
  <c r="B27" i="23" s="1"/>
  <c r="B20" i="20"/>
  <c r="A31" i="23"/>
  <c r="B31" i="23" s="1"/>
  <c r="B24" i="20"/>
  <c r="A35" i="23"/>
  <c r="B35" i="23" s="1"/>
  <c r="B28" i="20"/>
  <c r="A39" i="23"/>
  <c r="B39" i="23" s="1"/>
  <c r="B32" i="20"/>
  <c r="A43" i="23"/>
  <c r="B43" i="23" s="1"/>
  <c r="B36" i="20"/>
  <c r="A47" i="23"/>
  <c r="B47" i="23" s="1"/>
  <c r="B40" i="20"/>
  <c r="A51" i="23"/>
  <c r="B51" i="23" s="1"/>
  <c r="B44" i="20"/>
  <c r="A24" i="23"/>
  <c r="B24" i="23" s="1"/>
  <c r="B17" i="20"/>
  <c r="A28" i="23"/>
  <c r="B28" i="23" s="1"/>
  <c r="B21" i="20"/>
  <c r="A32" i="23"/>
  <c r="B32" i="23" s="1"/>
  <c r="B25" i="20"/>
  <c r="A36" i="23"/>
  <c r="B36" i="23" s="1"/>
  <c r="B29" i="20"/>
  <c r="A40" i="23"/>
  <c r="B40" i="23" s="1"/>
  <c r="B33" i="20"/>
  <c r="A44" i="23"/>
  <c r="B44" i="23" s="1"/>
  <c r="B37" i="20"/>
  <c r="A48" i="23"/>
  <c r="B48" i="23" s="1"/>
  <c r="B41" i="20"/>
  <c r="A52" i="23"/>
  <c r="B52" i="23" s="1"/>
  <c r="B45" i="20"/>
  <c r="A25" i="23"/>
  <c r="B25" i="23" s="1"/>
  <c r="B18" i="20"/>
  <c r="A29" i="23"/>
  <c r="B29" i="23" s="1"/>
  <c r="B22" i="20"/>
  <c r="A33" i="23"/>
  <c r="B33" i="23" s="1"/>
  <c r="B26" i="20"/>
  <c r="A37" i="23"/>
  <c r="B37" i="23" s="1"/>
  <c r="B30" i="20"/>
  <c r="A41" i="23"/>
  <c r="B41" i="23" s="1"/>
  <c r="B34" i="20"/>
  <c r="A45" i="23"/>
  <c r="B45" i="23" s="1"/>
  <c r="B38" i="20"/>
  <c r="A49" i="23"/>
  <c r="B49" i="23" s="1"/>
  <c r="B42" i="20"/>
  <c r="A22" i="23"/>
  <c r="B22" i="23" s="1"/>
  <c r="B15" i="20"/>
  <c r="T40" i="23"/>
  <c r="T30" i="23"/>
  <c r="Q26" i="23"/>
  <c r="T37" i="23"/>
  <c r="T32" i="23"/>
  <c r="T26" i="23"/>
  <c r="T44" i="23"/>
  <c r="T48" i="23"/>
  <c r="T52" i="23"/>
  <c r="T38" i="23"/>
  <c r="T34" i="23"/>
  <c r="T24" i="23"/>
  <c r="T33" i="23"/>
  <c r="Q30" i="23"/>
  <c r="T41" i="23"/>
  <c r="T45" i="23"/>
  <c r="T49" i="23"/>
  <c r="AE48" i="1"/>
  <c r="T23" i="23"/>
  <c r="T36" i="23"/>
  <c r="T51" i="23"/>
  <c r="T43" i="23"/>
  <c r="T35" i="23"/>
  <c r="T27" i="23"/>
  <c r="T42" i="23"/>
  <c r="T46" i="23"/>
  <c r="T50" i="23"/>
  <c r="T29" i="23"/>
  <c r="T39" i="23"/>
  <c r="T31" i="23"/>
  <c r="T47" i="23"/>
  <c r="T25" i="23"/>
  <c r="Q48" i="23"/>
  <c r="Q44" i="23"/>
  <c r="Q52" i="23"/>
  <c r="AD48" i="1"/>
  <c r="D47" i="9" s="1"/>
  <c r="F11" i="10" s="1"/>
  <c r="F16" i="10" s="1"/>
  <c r="AG48" i="1"/>
  <c r="Q46" i="23"/>
  <c r="Q51" i="23"/>
  <c r="Q50" i="23"/>
  <c r="AL53" i="23"/>
  <c r="Q42" i="23"/>
  <c r="A57" i="23"/>
  <c r="Z22" i="23"/>
  <c r="Z53" i="23" s="1"/>
  <c r="Q34" i="23"/>
  <c r="AF48" i="1"/>
  <c r="K47" i="9" s="1"/>
  <c r="T11" i="10" s="1"/>
  <c r="T16" i="10" s="1"/>
  <c r="Q24" i="23"/>
  <c r="Q33" i="23"/>
  <c r="Q47" i="23"/>
  <c r="Q32" i="23"/>
  <c r="Q49" i="23"/>
  <c r="Q23" i="23"/>
  <c r="Q28" i="23"/>
  <c r="Q45" i="23"/>
  <c r="Q43" i="23"/>
  <c r="Q41" i="23"/>
  <c r="Q40" i="23"/>
  <c r="Q39" i="23"/>
  <c r="Q38" i="23"/>
  <c r="Q37" i="23"/>
  <c r="Q36" i="23"/>
  <c r="Q35" i="23"/>
  <c r="AC53" i="23"/>
  <c r="Q31" i="23"/>
  <c r="AB50" i="1"/>
  <c r="AB52" i="1" s="1"/>
  <c r="AF53" i="23"/>
  <c r="Q29" i="23"/>
  <c r="Z50" i="1"/>
  <c r="Z52" i="1" s="1"/>
  <c r="C28" i="23"/>
  <c r="T28" i="23" s="1"/>
  <c r="Q25" i="23"/>
  <c r="AI53" i="23"/>
  <c r="AB48" i="1"/>
  <c r="AB55" i="1" s="1"/>
  <c r="AB57" i="1" s="1"/>
  <c r="Y50" i="1"/>
  <c r="Y52" i="1" s="1"/>
  <c r="AA50" i="1"/>
  <c r="AA52" i="1" s="1"/>
  <c r="CU50" i="1"/>
  <c r="CU52" i="1" s="1"/>
  <c r="D11" i="10"/>
  <c r="D16" i="10" s="1"/>
  <c r="O47" i="9"/>
  <c r="N47" i="9"/>
  <c r="CU49" i="1"/>
  <c r="CU51" i="1" s="1"/>
  <c r="Q27" i="23"/>
  <c r="DB49" i="1"/>
  <c r="R46" i="9"/>
  <c r="Q47" i="9"/>
  <c r="AD11" i="10" s="1"/>
  <c r="AD16" i="10" s="1"/>
  <c r="BW49" i="1"/>
  <c r="BW52" i="1" s="1"/>
  <c r="H47" i="9"/>
  <c r="I47" i="9"/>
  <c r="AI30" i="9"/>
  <c r="AJ31" i="9" s="1"/>
  <c r="V47" i="9" s="1"/>
  <c r="AJ30" i="9"/>
  <c r="P47" i="9"/>
  <c r="X11" i="10"/>
  <c r="P11" i="10"/>
  <c r="DB50" i="1"/>
  <c r="N11" i="10"/>
  <c r="Z11" i="10"/>
  <c r="AB11" i="10"/>
  <c r="AU34" i="23" l="1"/>
  <c r="W25" i="9" s="1"/>
  <c r="V25" i="9"/>
  <c r="AU23" i="23"/>
  <c r="W14" i="9" s="1"/>
  <c r="V14" i="9"/>
  <c r="AU33" i="23"/>
  <c r="W24" i="9" s="1"/>
  <c r="V24" i="9"/>
  <c r="AU47" i="23"/>
  <c r="W38" i="9" s="1"/>
  <c r="V38" i="9"/>
  <c r="AU24" i="23"/>
  <c r="W15" i="9" s="1"/>
  <c r="V15" i="9"/>
  <c r="AU26" i="23"/>
  <c r="W17" i="9" s="1"/>
  <c r="V17" i="9"/>
  <c r="AU40" i="23"/>
  <c r="W31" i="9" s="1"/>
  <c r="V31" i="9"/>
  <c r="AU25" i="23"/>
  <c r="W16" i="9" s="1"/>
  <c r="V16" i="9"/>
  <c r="AU39" i="23"/>
  <c r="W30" i="9" s="1"/>
  <c r="V30" i="9"/>
  <c r="AU32" i="23"/>
  <c r="W23" i="9" s="1"/>
  <c r="V23" i="9"/>
  <c r="AU46" i="23"/>
  <c r="W37" i="9" s="1"/>
  <c r="V37" i="9"/>
  <c r="AU52" i="23"/>
  <c r="W43" i="9" s="1"/>
  <c r="V43" i="9"/>
  <c r="AU51" i="23"/>
  <c r="W42" i="9" s="1"/>
  <c r="V42" i="9"/>
  <c r="AU50" i="23"/>
  <c r="W41" i="9" s="1"/>
  <c r="V41" i="9"/>
  <c r="AU49" i="23"/>
  <c r="W40" i="9" s="1"/>
  <c r="V40" i="9"/>
  <c r="AU48" i="23"/>
  <c r="W39" i="9" s="1"/>
  <c r="V39" i="9"/>
  <c r="AU45" i="23"/>
  <c r="W36" i="9" s="1"/>
  <c r="V36" i="9"/>
  <c r="AU44" i="23"/>
  <c r="W35" i="9" s="1"/>
  <c r="V35" i="9"/>
  <c r="AU43" i="23"/>
  <c r="W34" i="9" s="1"/>
  <c r="V34" i="9"/>
  <c r="AU42" i="23"/>
  <c r="W33" i="9" s="1"/>
  <c r="V33" i="9"/>
  <c r="AU41" i="23"/>
  <c r="W32" i="9" s="1"/>
  <c r="V32" i="9"/>
  <c r="AU38" i="23"/>
  <c r="W29" i="9" s="1"/>
  <c r="V29" i="9"/>
  <c r="AU37" i="23"/>
  <c r="W28" i="9" s="1"/>
  <c r="V28" i="9"/>
  <c r="AU36" i="23"/>
  <c r="W27" i="9" s="1"/>
  <c r="V27" i="9"/>
  <c r="AU35" i="23"/>
  <c r="W26" i="9" s="1"/>
  <c r="V26" i="9"/>
  <c r="AU31" i="23"/>
  <c r="W22" i="9" s="1"/>
  <c r="V22" i="9"/>
  <c r="AU30" i="23"/>
  <c r="W21" i="9" s="1"/>
  <c r="V21" i="9"/>
  <c r="AU29" i="23"/>
  <c r="W20" i="9" s="1"/>
  <c r="V20" i="9"/>
  <c r="AU28" i="23"/>
  <c r="W19" i="9" s="1"/>
  <c r="V19" i="9"/>
  <c r="AU27" i="23"/>
  <c r="W18" i="9" s="1"/>
  <c r="V18" i="9"/>
  <c r="CU53" i="1"/>
  <c r="U45" i="9" s="1"/>
  <c r="H51" i="20" s="1"/>
  <c r="AB53" i="1"/>
  <c r="P47" i="1" s="1"/>
  <c r="T45" i="9" s="1"/>
  <c r="G51" i="20" s="1"/>
  <c r="AA53" i="1"/>
  <c r="O47" i="1" s="1"/>
  <c r="S45" i="9" s="1"/>
  <c r="F51" i="20" s="1"/>
  <c r="Z53" i="1"/>
  <c r="N47" i="1" s="1"/>
  <c r="R45" i="9" s="1"/>
  <c r="E51" i="20" s="1"/>
  <c r="Y53" i="1"/>
  <c r="M47" i="1" s="1"/>
  <c r="Q45" i="9" s="1"/>
  <c r="D51" i="20" s="1"/>
  <c r="T22" i="23"/>
  <c r="T53" i="23" s="1"/>
  <c r="G57" i="23" s="1"/>
  <c r="G58" i="23" s="1"/>
  <c r="Q22" i="23"/>
  <c r="AB54" i="1"/>
  <c r="AB56" i="1" s="1"/>
  <c r="AO53" i="23"/>
  <c r="AD57" i="23" s="1"/>
  <c r="Z16" i="10"/>
  <c r="X16" i="10"/>
  <c r="R47" i="9"/>
  <c r="AB16" i="10"/>
  <c r="P16" i="10"/>
  <c r="N16" i="10"/>
  <c r="AT11" i="10"/>
  <c r="AZ11" i="10"/>
  <c r="AU22" i="23" l="1"/>
  <c r="W13" i="9" s="1"/>
  <c r="V13" i="9"/>
  <c r="J51" i="20"/>
  <c r="I51" i="20"/>
  <c r="AB58" i="1"/>
  <c r="Q47" i="1" s="1"/>
  <c r="W45" i="9" s="1"/>
  <c r="AT16" i="10"/>
  <c r="AT19" i="10" s="1"/>
  <c r="Q53" i="23"/>
  <c r="AR19" i="10"/>
  <c r="C57" i="23"/>
  <c r="AZ16" i="10"/>
  <c r="AZ19" i="10" s="1"/>
  <c r="AL11" i="10"/>
  <c r="AX11" i="10"/>
  <c r="AH11" i="10"/>
  <c r="AP11" i="10"/>
  <c r="AP16" i="10" l="1"/>
  <c r="AP19" i="10" s="1"/>
  <c r="AL16" i="10"/>
  <c r="AL19" i="10" s="1"/>
  <c r="AH16" i="10"/>
  <c r="AH19" i="10" s="1"/>
  <c r="AN19" i="10"/>
  <c r="AX16" i="10"/>
  <c r="AV19" i="10"/>
  <c r="AJ19" i="10" l="1"/>
  <c r="AF19" i="10"/>
  <c r="BD16" i="10"/>
  <c r="B18" i="10"/>
  <c r="C18" i="10" s="1"/>
  <c r="T47" i="9" s="1"/>
  <c r="AX19" i="10"/>
  <c r="BD19" i="10" l="1"/>
  <c r="BD20" i="10" s="1"/>
  <c r="O48" i="9" s="1"/>
</calcChain>
</file>

<file path=xl/comments1.xml><?xml version="1.0" encoding="utf-8"?>
<comments xmlns="http://schemas.openxmlformats.org/spreadsheetml/2006/main">
  <authors>
    <author>王　嬌</author>
    <author>Junichi Goza</author>
  </authors>
  <commentList>
    <comment ref="C13" authorId="0" shapeId="0">
      <text>
        <r>
          <rPr>
            <sz val="9"/>
            <color indexed="81"/>
            <rFont val="MS P ゴシック"/>
            <family val="3"/>
            <charset val="128"/>
          </rPr>
          <t>年末年始</t>
        </r>
      </text>
    </comment>
    <comment ref="C14" authorId="0" shapeId="0">
      <text>
        <r>
          <rPr>
            <sz val="9"/>
            <color indexed="81"/>
            <rFont val="MS P ゴシック"/>
            <family val="3"/>
            <charset val="128"/>
          </rPr>
          <t>年末年始</t>
        </r>
      </text>
    </comment>
    <comment ref="C15" authorId="0" shapeId="0">
      <text>
        <r>
          <rPr>
            <sz val="9"/>
            <color indexed="81"/>
            <rFont val="MS P ゴシック"/>
            <family val="3"/>
            <charset val="128"/>
          </rPr>
          <t>年末年始</t>
        </r>
      </text>
    </comment>
    <comment ref="C16" authorId="0" shapeId="0">
      <text>
        <r>
          <rPr>
            <sz val="9"/>
            <color indexed="81"/>
            <rFont val="MS P ゴシック"/>
            <family val="3"/>
            <charset val="128"/>
          </rPr>
          <t>年末年始（振替休日）</t>
        </r>
      </text>
    </comment>
    <comment ref="C23" authorId="0" shapeId="0">
      <text>
        <r>
          <rPr>
            <sz val="9"/>
            <color indexed="81"/>
            <rFont val="MS P ゴシック"/>
            <family val="3"/>
            <charset val="128"/>
          </rPr>
          <t>成人の日</t>
        </r>
      </text>
    </comment>
    <comment ref="AI31" authorId="1" shapeId="0">
      <text>
        <r>
          <rPr>
            <b/>
            <sz val="9"/>
            <color indexed="81"/>
            <rFont val="ＭＳ Ｐゴシック"/>
            <family val="3"/>
            <charset val="128"/>
          </rPr>
          <t>1:45HOver選択時
2:70HOver選択時
未使用。</t>
        </r>
      </text>
    </comment>
  </commentList>
</comments>
</file>

<file path=xl/comments2.xml><?xml version="1.0" encoding="utf-8"?>
<comments xmlns="http://schemas.openxmlformats.org/spreadsheetml/2006/main">
  <authors>
    <author>（株）データ通信システム</author>
  </authors>
  <commentList>
    <comment ref="BV48" authorId="0" shapeId="0">
      <text>
        <r>
          <rPr>
            <b/>
            <sz val="9"/>
            <color indexed="81"/>
            <rFont val="ＭＳ Ｐゴシック"/>
            <family val="3"/>
            <charset val="128"/>
          </rPr>
          <t>（株）データ通信システム:</t>
        </r>
        <r>
          <rPr>
            <sz val="9"/>
            <color indexed="81"/>
            <rFont val="ＭＳ Ｐゴシック"/>
            <family val="3"/>
            <charset val="128"/>
          </rPr>
          <t xml:space="preserve">
ここは繰り上げ計算のため不具合使用せず。</t>
        </r>
      </text>
    </comment>
  </commentList>
</comments>
</file>

<file path=xl/comments3.xml><?xml version="1.0" encoding="utf-8"?>
<comments xmlns="http://schemas.openxmlformats.org/spreadsheetml/2006/main">
  <authors>
    <author>Maeda Masamitsu</author>
  </authors>
  <commentList>
    <comment ref="T21" authorId="0" shapeId="0">
      <text>
        <r>
          <rPr>
            <sz val="9"/>
            <color indexed="81"/>
            <rFont val="ＭＳ Ｐゴシック"/>
            <family val="3"/>
            <charset val="128"/>
          </rPr>
          <t>＊j時間外管理の目安
8:50～17:35(所定7:45の場合)
　法定時間外(8H超過)
　　＝所定外－15分</t>
        </r>
      </text>
    </comment>
  </commentList>
</comments>
</file>

<file path=xl/comments4.xml><?xml version="1.0" encoding="utf-8"?>
<comments xmlns="http://schemas.openxmlformats.org/spreadsheetml/2006/main">
  <authors>
    <author>DTS</author>
  </authors>
  <commentList>
    <comment ref="G28" authorId="0" shapeId="0">
      <text>
        <r>
          <rPr>
            <sz val="9"/>
            <color indexed="81"/>
            <rFont val="ＭＳ Ｐゴシック"/>
            <family val="3"/>
            <charset val="128"/>
          </rPr>
          <t>研修内容、打合せ内容、深夜対応理由等を記入</t>
        </r>
      </text>
    </comment>
    <comment ref="M28" authorId="0" shapeId="0">
      <text>
        <r>
          <rPr>
            <sz val="9"/>
            <color indexed="81"/>
            <rFont val="ＭＳ Ｐゴシック"/>
            <family val="3"/>
            <charset val="128"/>
          </rPr>
          <t>（H26.4～）
消費税引き上げ伴い、ICカード利用と切符利用で乗車料金が異なります。使用した金額に不備がないよう記載下さい。
例：【電車】山手線　初乗り
ICカード　￥１３３
切符　　　￥１４０
例：【都バス】
ICカード　￥２０６
現金　　　￥２１０</t>
        </r>
      </text>
    </comment>
  </commentList>
</comments>
</file>

<file path=xl/comments5.xml><?xml version="1.0" encoding="utf-8"?>
<comments xmlns="http://schemas.openxmlformats.org/spreadsheetml/2006/main">
  <authors>
    <author>Junichi Goza</author>
    <author>j</author>
  </authors>
  <commentList>
    <comment ref="A22" authorId="0" shapeId="0">
      <text>
        <r>
          <rPr>
            <b/>
            <sz val="9"/>
            <color indexed="81"/>
            <rFont val="ＭＳ Ｐゴシック"/>
            <family val="3"/>
            <charset val="128"/>
          </rPr>
          <t>産業部ローカルルール。
AM半休（突休）の場合には7:45稼動するまで残業扱いとしない。</t>
        </r>
        <r>
          <rPr>
            <sz val="9"/>
            <color indexed="81"/>
            <rFont val="ＭＳ Ｐゴシック"/>
            <family val="3"/>
            <charset val="128"/>
          </rPr>
          <t xml:space="preserve">
</t>
        </r>
      </text>
    </comment>
    <comment ref="A24" authorId="1" shapeId="0">
      <text>
        <r>
          <rPr>
            <sz val="9"/>
            <color indexed="81"/>
            <rFont val="ＭＳ Ｐゴシック"/>
            <family val="3"/>
            <charset val="128"/>
          </rPr>
          <t>代替えタイムテーブルのSample。全ての時間帯が法休出。勤務状況に半休を選択するとSample2のタイムテーブルが使用される。
勤務状況を休出にすると８：５０開始のタイムテーブルを使用する。</t>
        </r>
      </text>
    </comment>
    <comment ref="A26" authorId="1" shapeId="0">
      <text>
        <r>
          <rPr>
            <sz val="9"/>
            <color indexed="81"/>
            <rFont val="ＭＳ Ｐゴシック"/>
            <family val="3"/>
            <charset val="128"/>
          </rPr>
          <t xml:space="preserve">代替えタイムテーブルのSample。全ての時間帯が休憩。勤務状況に半休を選択するとSample1のタイムテーブルが使用される。
</t>
        </r>
      </text>
    </comment>
  </commentList>
</comments>
</file>

<file path=xl/comments6.xml><?xml version="1.0" encoding="utf-8"?>
<comments xmlns="http://schemas.openxmlformats.org/spreadsheetml/2006/main">
  <authors>
    <author>五座 淳一</author>
  </authors>
  <commentList>
    <comment ref="M7" authorId="0" shapeId="0">
      <text>
        <r>
          <rPr>
            <b/>
            <sz val="9"/>
            <color indexed="81"/>
            <rFont val="ＭＳ Ｐゴシック"/>
            <family val="3"/>
            <charset val="128"/>
          </rPr>
          <t>五座 淳一:</t>
        </r>
        <r>
          <rPr>
            <sz val="9"/>
            <color indexed="81"/>
            <rFont val="ＭＳ Ｐゴシック"/>
            <family val="3"/>
            <charset val="128"/>
          </rPr>
          <t xml:space="preserve">
２０００年から成人の日は1月の第2月曜日になります。
</t>
        </r>
      </text>
    </comment>
    <comment ref="M17" authorId="0" shapeId="0">
      <text>
        <r>
          <rPr>
            <b/>
            <sz val="9"/>
            <color indexed="81"/>
            <rFont val="ＭＳ Ｐゴシック"/>
            <family val="3"/>
            <charset val="128"/>
          </rPr>
          <t>五座 淳一:</t>
        </r>
        <r>
          <rPr>
            <sz val="9"/>
            <color indexed="81"/>
            <rFont val="ＭＳ Ｐゴシック"/>
            <family val="3"/>
            <charset val="128"/>
          </rPr>
          <t xml:space="preserve">
２０００年から体育の日は1０月の第2月曜日になります。
</t>
        </r>
      </text>
    </comment>
    <comment ref="M28" authorId="0" shapeId="0">
      <text>
        <r>
          <rPr>
            <b/>
            <sz val="9"/>
            <color indexed="81"/>
            <rFont val="ＭＳ Ｐゴシック"/>
            <family val="3"/>
            <charset val="128"/>
          </rPr>
          <t>五座 淳一:</t>
        </r>
        <r>
          <rPr>
            <sz val="9"/>
            <color indexed="81"/>
            <rFont val="ＭＳ Ｐゴシック"/>
            <family val="3"/>
            <charset val="128"/>
          </rPr>
          <t xml:space="preserve">
２０００年から成人の日は1月の第2月曜日になります。
</t>
        </r>
      </text>
    </comment>
    <comment ref="M29" authorId="0" shapeId="0">
      <text>
        <r>
          <rPr>
            <b/>
            <sz val="9"/>
            <color indexed="81"/>
            <rFont val="ＭＳ Ｐゴシック"/>
            <family val="3"/>
            <charset val="128"/>
          </rPr>
          <t>五座 淳一:</t>
        </r>
        <r>
          <rPr>
            <sz val="9"/>
            <color indexed="81"/>
            <rFont val="ＭＳ Ｐゴシック"/>
            <family val="3"/>
            <charset val="128"/>
          </rPr>
          <t xml:space="preserve">
２０００年から体育の日は1０月の第2月曜日になります。
</t>
        </r>
      </text>
    </comment>
  </commentList>
</comments>
</file>

<file path=xl/sharedStrings.xml><?xml version="1.0" encoding="utf-8"?>
<sst xmlns="http://schemas.openxmlformats.org/spreadsheetml/2006/main" count="2086" uniqueCount="883">
  <si>
    <t>開始時間</t>
    <rPh sb="0" eb="3">
      <t>カイシジ</t>
    </rPh>
    <rPh sb="3" eb="4">
      <t>カン</t>
    </rPh>
    <phoneticPr fontId="2"/>
  </si>
  <si>
    <t>通常残業開始</t>
    <rPh sb="0" eb="2">
      <t>ツウジョウ</t>
    </rPh>
    <rPh sb="2" eb="4">
      <t>ザンギョウ</t>
    </rPh>
    <rPh sb="4" eb="6">
      <t>カイシ</t>
    </rPh>
    <phoneticPr fontId="2"/>
  </si>
  <si>
    <t>深夜残業開始</t>
    <rPh sb="0" eb="2">
      <t>シンヤ</t>
    </rPh>
    <rPh sb="2" eb="4">
      <t>ザンギョウ</t>
    </rPh>
    <rPh sb="4" eb="6">
      <t>カイシ</t>
    </rPh>
    <phoneticPr fontId="2"/>
  </si>
  <si>
    <t>休憩時間開始</t>
    <rPh sb="0" eb="2">
      <t>キュウケイ</t>
    </rPh>
    <rPh sb="2" eb="4">
      <t>ジカン</t>
    </rPh>
    <rPh sb="4" eb="6">
      <t>カイシ</t>
    </rPh>
    <phoneticPr fontId="2"/>
  </si>
  <si>
    <t>休憩時間終了</t>
    <rPh sb="0" eb="2">
      <t>キュウケイ</t>
    </rPh>
    <rPh sb="2" eb="4">
      <t>ジカン</t>
    </rPh>
    <rPh sb="4" eb="6">
      <t>シュウリョウ</t>
    </rPh>
    <phoneticPr fontId="2"/>
  </si>
  <si>
    <t>日</t>
  </si>
  <si>
    <t>日</t>
    <rPh sb="0" eb="1">
      <t>ヒ</t>
    </rPh>
    <phoneticPr fontId="2"/>
  </si>
  <si>
    <t>所属コード</t>
    <rPh sb="0" eb="2">
      <t>ショゾク</t>
    </rPh>
    <phoneticPr fontId="2"/>
  </si>
  <si>
    <t>個人コード</t>
    <rPh sb="0" eb="2">
      <t>コジン</t>
    </rPh>
    <phoneticPr fontId="2"/>
  </si>
  <si>
    <t>始業</t>
    <rPh sb="0" eb="2">
      <t>シギョウ</t>
    </rPh>
    <phoneticPr fontId="2"/>
  </si>
  <si>
    <t>状況</t>
    <rPh sb="0" eb="2">
      <t>ジョウキョウ</t>
    </rPh>
    <phoneticPr fontId="2"/>
  </si>
  <si>
    <t>摘要</t>
    <rPh sb="0" eb="2">
      <t>テキヨウ</t>
    </rPh>
    <phoneticPr fontId="2"/>
  </si>
  <si>
    <t>時間外勤務</t>
    <rPh sb="0" eb="3">
      <t>ジカンガイ</t>
    </rPh>
    <rPh sb="3" eb="5">
      <t>キンム</t>
    </rPh>
    <phoneticPr fontId="2"/>
  </si>
  <si>
    <t>付</t>
    <rPh sb="0" eb="1">
      <t>ツ</t>
    </rPh>
    <phoneticPr fontId="2"/>
  </si>
  <si>
    <t>勤務時間</t>
    <rPh sb="0" eb="2">
      <t>キンム</t>
    </rPh>
    <rPh sb="2" eb="4">
      <t>ジカン</t>
    </rPh>
    <phoneticPr fontId="2"/>
  </si>
  <si>
    <t>本</t>
    <rPh sb="0" eb="1">
      <t>ホン</t>
    </rPh>
    <phoneticPr fontId="2"/>
  </si>
  <si>
    <t>人</t>
    <rPh sb="0" eb="1">
      <t>ヒト</t>
    </rPh>
    <phoneticPr fontId="2"/>
  </si>
  <si>
    <t>印</t>
    <rPh sb="0" eb="1">
      <t>イン</t>
    </rPh>
    <phoneticPr fontId="2"/>
  </si>
  <si>
    <t>確</t>
    <rPh sb="0" eb="1">
      <t>カクニン</t>
    </rPh>
    <phoneticPr fontId="2"/>
  </si>
  <si>
    <t>認</t>
    <rPh sb="0" eb="1">
      <t>ニン</t>
    </rPh>
    <phoneticPr fontId="2"/>
  </si>
  <si>
    <t>8:50</t>
    <phoneticPr fontId="2"/>
  </si>
  <si>
    <t>18:05</t>
    <phoneticPr fontId="2"/>
  </si>
  <si>
    <t>22:30</t>
    <phoneticPr fontId="2"/>
  </si>
  <si>
    <t>11:45</t>
    <phoneticPr fontId="2"/>
  </si>
  <si>
    <t>17:35</t>
    <phoneticPr fontId="2"/>
  </si>
  <si>
    <t>22:00</t>
    <phoneticPr fontId="2"/>
  </si>
  <si>
    <t>2:30</t>
    <phoneticPr fontId="2"/>
  </si>
  <si>
    <t>7:00</t>
    <phoneticPr fontId="2"/>
  </si>
  <si>
    <t>12:45</t>
    <phoneticPr fontId="2"/>
  </si>
  <si>
    <t>3:00</t>
    <phoneticPr fontId="2"/>
  </si>
  <si>
    <t>7:30</t>
    <phoneticPr fontId="2"/>
  </si>
  <si>
    <t>月</t>
  </si>
  <si>
    <t/>
  </si>
  <si>
    <t>法休出</t>
    <rPh sb="0" eb="1">
      <t>ホウ</t>
    </rPh>
    <rPh sb="1" eb="3">
      <t>キュウシュツ</t>
    </rPh>
    <phoneticPr fontId="2"/>
  </si>
  <si>
    <t>休出</t>
    <rPh sb="0" eb="2">
      <t>キュウシュツ</t>
    </rPh>
    <phoneticPr fontId="2"/>
  </si>
  <si>
    <t>遅刻</t>
    <rPh sb="0" eb="2">
      <t>チコク</t>
    </rPh>
    <phoneticPr fontId="2"/>
  </si>
  <si>
    <t>早退</t>
    <rPh sb="0" eb="2">
      <t>ソウタイ</t>
    </rPh>
    <phoneticPr fontId="2"/>
  </si>
  <si>
    <t>欠勤</t>
    <rPh sb="0" eb="2">
      <t>ケッキン</t>
    </rPh>
    <phoneticPr fontId="2"/>
  </si>
  <si>
    <t>振休</t>
    <rPh sb="0" eb="1">
      <t>フ</t>
    </rPh>
    <rPh sb="1" eb="2">
      <t>キュウ</t>
    </rPh>
    <phoneticPr fontId="2"/>
  </si>
  <si>
    <t>勤務</t>
    <rPh sb="0" eb="2">
      <t>キンム</t>
    </rPh>
    <phoneticPr fontId="2"/>
  </si>
  <si>
    <t>氏  名</t>
    <rPh sb="0" eb="4">
      <t>シメイ</t>
    </rPh>
    <phoneticPr fontId="2"/>
  </si>
  <si>
    <t>残業Ｍ</t>
    <rPh sb="0" eb="2">
      <t>ザンギョウ</t>
    </rPh>
    <phoneticPr fontId="2"/>
  </si>
  <si>
    <t>深夜Ｍ</t>
    <rPh sb="0" eb="2">
      <t>シンヤ</t>
    </rPh>
    <phoneticPr fontId="2"/>
  </si>
  <si>
    <t>法通</t>
    <rPh sb="0" eb="1">
      <t>ホウ</t>
    </rPh>
    <rPh sb="1" eb="2">
      <t>ツウ</t>
    </rPh>
    <phoneticPr fontId="2"/>
  </si>
  <si>
    <t>法深</t>
    <rPh sb="0" eb="1">
      <t>ホウ</t>
    </rPh>
    <rPh sb="1" eb="2">
      <t>フカ</t>
    </rPh>
    <phoneticPr fontId="2"/>
  </si>
  <si>
    <t>夜勤</t>
    <rPh sb="0" eb="2">
      <t>ヤキン</t>
    </rPh>
    <phoneticPr fontId="2"/>
  </si>
  <si>
    <t>Ｈ</t>
    <phoneticPr fontId="2"/>
  </si>
  <si>
    <t>通常作業終了時間</t>
    <rPh sb="0" eb="2">
      <t>ツウジョウ</t>
    </rPh>
    <rPh sb="2" eb="4">
      <t>サギョウ</t>
    </rPh>
    <rPh sb="4" eb="6">
      <t>シュウリョウ</t>
    </rPh>
    <rPh sb="6" eb="8">
      <t>ジカン</t>
    </rPh>
    <phoneticPr fontId="2"/>
  </si>
  <si>
    <t>１7:35</t>
    <phoneticPr fontId="2"/>
  </si>
  <si>
    <t>通常作業時間</t>
    <rPh sb="0" eb="2">
      <t>ツウジョウ</t>
    </rPh>
    <rPh sb="2" eb="4">
      <t>サギョウ</t>
    </rPh>
    <rPh sb="4" eb="6">
      <t>ジカン</t>
    </rPh>
    <phoneticPr fontId="2"/>
  </si>
  <si>
    <t>7:45</t>
    <phoneticPr fontId="2"/>
  </si>
  <si>
    <t>通常作業分</t>
    <rPh sb="0" eb="2">
      <t>ツウジョウ</t>
    </rPh>
    <rPh sb="2" eb="4">
      <t>サギョウ</t>
    </rPh>
    <rPh sb="4" eb="5">
      <t>フン</t>
    </rPh>
    <phoneticPr fontId="2"/>
  </si>
  <si>
    <t>18:35</t>
    <phoneticPr fontId="2"/>
  </si>
  <si>
    <t>22:00</t>
    <phoneticPr fontId="2"/>
  </si>
  <si>
    <t>通常(M)</t>
    <rPh sb="0" eb="2">
      <t>ツウジョウ</t>
    </rPh>
    <phoneticPr fontId="2"/>
  </si>
  <si>
    <t>深夜(M)</t>
    <rPh sb="0" eb="2">
      <t>シンヤ</t>
    </rPh>
    <phoneticPr fontId="2"/>
  </si>
  <si>
    <t>月</t>
    <rPh sb="0" eb="1">
      <t>ツキ</t>
    </rPh>
    <phoneticPr fontId="2"/>
  </si>
  <si>
    <t>回目</t>
    <rPh sb="0" eb="1">
      <t>カイ</t>
    </rPh>
    <rPh sb="1" eb="2">
      <t>メ</t>
    </rPh>
    <phoneticPr fontId="2"/>
  </si>
  <si>
    <t>曜日</t>
    <rPh sb="0" eb="2">
      <t>ヨウビ</t>
    </rPh>
    <phoneticPr fontId="2"/>
  </si>
  <si>
    <t>9:05</t>
  </si>
  <si>
    <t>9:20</t>
  </si>
  <si>
    <t>9:35</t>
  </si>
  <si>
    <t>9:50</t>
  </si>
  <si>
    <t>10:05</t>
  </si>
  <si>
    <t>10:20</t>
  </si>
  <si>
    <t>10:35</t>
  </si>
  <si>
    <t>10:50</t>
  </si>
  <si>
    <t>11:05</t>
  </si>
  <si>
    <t>11:20</t>
  </si>
  <si>
    <t>11:35</t>
  </si>
  <si>
    <t>11:45</t>
  </si>
  <si>
    <t>12:00</t>
  </si>
  <si>
    <t>12:45</t>
  </si>
  <si>
    <t>13:00</t>
  </si>
  <si>
    <t>13:05</t>
  </si>
  <si>
    <t>13:20</t>
  </si>
  <si>
    <t>13:35</t>
  </si>
  <si>
    <t>13:50</t>
  </si>
  <si>
    <t>14:05</t>
  </si>
  <si>
    <t>14:20</t>
  </si>
  <si>
    <t>14:35</t>
  </si>
  <si>
    <t>14:50</t>
  </si>
  <si>
    <t>15:05</t>
  </si>
  <si>
    <t>15:20</t>
  </si>
  <si>
    <t>15:35</t>
  </si>
  <si>
    <t>15:50</t>
  </si>
  <si>
    <t>16:05</t>
  </si>
  <si>
    <t>16:20</t>
  </si>
  <si>
    <t>16:35</t>
  </si>
  <si>
    <t>16:50</t>
  </si>
  <si>
    <t>17:05</t>
  </si>
  <si>
    <t>17:20</t>
  </si>
  <si>
    <t>17:35</t>
  </si>
  <si>
    <t>18:05</t>
  </si>
  <si>
    <t>18:20</t>
  </si>
  <si>
    <t>18:35</t>
  </si>
  <si>
    <t>18:50</t>
  </si>
  <si>
    <t>19:05</t>
  </si>
  <si>
    <t>19:20</t>
  </si>
  <si>
    <t>19:35</t>
  </si>
  <si>
    <t>19:50</t>
  </si>
  <si>
    <t>20:05</t>
  </si>
  <si>
    <t>20:20</t>
  </si>
  <si>
    <t>20:35</t>
  </si>
  <si>
    <t>20:50</t>
  </si>
  <si>
    <t>21:05</t>
  </si>
  <si>
    <t>21:20</t>
  </si>
  <si>
    <t>21:35</t>
  </si>
  <si>
    <t>21:50</t>
  </si>
  <si>
    <t>22:00</t>
  </si>
  <si>
    <t>22:45</t>
  </si>
  <si>
    <t>23:00</t>
  </si>
  <si>
    <t>23:15</t>
  </si>
  <si>
    <t>23:30</t>
  </si>
  <si>
    <t>23:45</t>
  </si>
  <si>
    <t>00:00</t>
  </si>
  <si>
    <t>勤務形態</t>
    <rPh sb="0" eb="2">
      <t>キンム</t>
    </rPh>
    <rPh sb="2" eb="4">
      <t>ケイタイ</t>
    </rPh>
    <phoneticPr fontId="2"/>
  </si>
  <si>
    <t>12:00</t>
    <phoneticPr fontId="2"/>
  </si>
  <si>
    <t>13:00</t>
    <phoneticPr fontId="2"/>
  </si>
  <si>
    <t>本社時間</t>
    <rPh sb="0" eb="2">
      <t>ホンシャ</t>
    </rPh>
    <rPh sb="2" eb="4">
      <t>ジカン</t>
    </rPh>
    <phoneticPr fontId="2"/>
  </si>
  <si>
    <t>8:50</t>
    <phoneticPr fontId="2"/>
  </si>
  <si>
    <t>17:35</t>
    <phoneticPr fontId="2"/>
  </si>
  <si>
    <t>22:30</t>
    <phoneticPr fontId="2"/>
  </si>
  <si>
    <t>9:20</t>
    <phoneticPr fontId="2"/>
  </si>
  <si>
    <t>23:00</t>
    <phoneticPr fontId="2"/>
  </si>
  <si>
    <t>18:05</t>
    <phoneticPr fontId="2"/>
  </si>
  <si>
    <t>12:00</t>
    <phoneticPr fontId="2"/>
  </si>
  <si>
    <t>13:00</t>
    <phoneticPr fontId="2"/>
  </si>
  <si>
    <t>予備時間３</t>
    <rPh sb="0" eb="2">
      <t>ヨビ</t>
    </rPh>
    <rPh sb="2" eb="4">
      <t>ジカン</t>
    </rPh>
    <phoneticPr fontId="2"/>
  </si>
  <si>
    <t>８:５０分開始</t>
    <rPh sb="4" eb="5">
      <t>フン</t>
    </rPh>
    <rPh sb="5" eb="7">
      <t>カイシ</t>
    </rPh>
    <phoneticPr fontId="2"/>
  </si>
  <si>
    <t>９:２０分開始</t>
    <rPh sb="4" eb="5">
      <t>フン</t>
    </rPh>
    <rPh sb="5" eb="7">
      <t>カイシ</t>
    </rPh>
    <phoneticPr fontId="2"/>
  </si>
  <si>
    <t>作番/備考（Ｈ：Ｍ）</t>
  </si>
  <si>
    <t>始　業</t>
  </si>
  <si>
    <t>午前半休用</t>
    <rPh sb="0" eb="2">
      <t>ゴゼン</t>
    </rPh>
    <rPh sb="2" eb="4">
      <t>ハンキュウ</t>
    </rPh>
    <rPh sb="4" eb="5">
      <t>ヨウ</t>
    </rPh>
    <phoneticPr fontId="2"/>
  </si>
  <si>
    <t>午後半休用</t>
    <rPh sb="0" eb="2">
      <t>ゴゴ</t>
    </rPh>
    <rPh sb="2" eb="4">
      <t>ハンキュウ</t>
    </rPh>
    <rPh sb="4" eb="5">
      <t>ヨウ</t>
    </rPh>
    <phoneticPr fontId="2"/>
  </si>
  <si>
    <t>タイトル</t>
    <phoneticPr fontId="2"/>
  </si>
  <si>
    <t>input</t>
    <phoneticPr fontId="2"/>
  </si>
  <si>
    <t>output</t>
    <phoneticPr fontId="2"/>
  </si>
  <si>
    <t>2桁の数値を
文字列にする</t>
    <rPh sb="1" eb="2">
      <t>ケタ</t>
    </rPh>
    <rPh sb="3" eb="5">
      <t>スウチ</t>
    </rPh>
    <rPh sb="7" eb="9">
      <t>モジ</t>
    </rPh>
    <rPh sb="9" eb="10">
      <t>レツ</t>
    </rPh>
    <phoneticPr fontId="2"/>
  </si>
  <si>
    <t>1桁以上の数値を
文字列にする</t>
    <rPh sb="1" eb="2">
      <t>ケタ</t>
    </rPh>
    <rPh sb="2" eb="4">
      <t>イジョウ</t>
    </rPh>
    <rPh sb="5" eb="7">
      <t>スウチ</t>
    </rPh>
    <rPh sb="9" eb="12">
      <t>モジレツ</t>
    </rPh>
    <phoneticPr fontId="2"/>
  </si>
  <si>
    <t>合計</t>
    <rPh sb="0" eb="2">
      <t>ゴウケイ</t>
    </rPh>
    <phoneticPr fontId="2"/>
  </si>
  <si>
    <t>各作番の作業時間の合計を求める為の表</t>
    <rPh sb="0" eb="1">
      <t>カク</t>
    </rPh>
    <rPh sb="1" eb="2">
      <t>サク</t>
    </rPh>
    <rPh sb="2" eb="3">
      <t>バン</t>
    </rPh>
    <rPh sb="4" eb="6">
      <t>サギョウ</t>
    </rPh>
    <rPh sb="6" eb="8">
      <t>ジカン</t>
    </rPh>
    <rPh sb="9" eb="11">
      <t>ゴウケイ</t>
    </rPh>
    <rPh sb="12" eb="13">
      <t>モト</t>
    </rPh>
    <rPh sb="15" eb="16">
      <t>タメ</t>
    </rPh>
    <rPh sb="17" eb="18">
      <t>ヒョウ</t>
    </rPh>
    <phoneticPr fontId="2"/>
  </si>
  <si>
    <t>勤務日数計算</t>
    <rPh sb="0" eb="2">
      <t>キンム</t>
    </rPh>
    <rPh sb="2" eb="4">
      <t>ニッスウ</t>
    </rPh>
    <rPh sb="4" eb="6">
      <t>ケイサン</t>
    </rPh>
    <phoneticPr fontId="2"/>
  </si>
  <si>
    <t>休暇日数計算</t>
    <rPh sb="0" eb="2">
      <t>キュウカ</t>
    </rPh>
    <rPh sb="2" eb="4">
      <t>ニッスウ</t>
    </rPh>
    <rPh sb="4" eb="6">
      <t>ケイサン</t>
    </rPh>
    <phoneticPr fontId="2"/>
  </si>
  <si>
    <t>特休日数計算</t>
    <rPh sb="0" eb="1">
      <t>トク</t>
    </rPh>
    <rPh sb="1" eb="2">
      <t>キュウ</t>
    </rPh>
    <rPh sb="2" eb="4">
      <t>ニッスウ</t>
    </rPh>
    <rPh sb="4" eb="6">
      <t>ケイサン</t>
    </rPh>
    <phoneticPr fontId="2"/>
  </si>
  <si>
    <t>遅・早・欠回数計算</t>
    <rPh sb="0" eb="1">
      <t>チコク</t>
    </rPh>
    <rPh sb="2" eb="3">
      <t>ソウタイ</t>
    </rPh>
    <rPh sb="4" eb="5">
      <t>ケツ</t>
    </rPh>
    <rPh sb="5" eb="7">
      <t>カイスウ</t>
    </rPh>
    <rPh sb="7" eb="9">
      <t>ケイサン</t>
    </rPh>
    <phoneticPr fontId="2"/>
  </si>
  <si>
    <t>夜勤日数計算</t>
    <rPh sb="0" eb="2">
      <t>ヤキン</t>
    </rPh>
    <rPh sb="2" eb="4">
      <t>ニッスウ</t>
    </rPh>
    <rPh sb="4" eb="6">
      <t>ケイサン</t>
    </rPh>
    <phoneticPr fontId="2"/>
  </si>
  <si>
    <t>遅刻時間記憶</t>
    <rPh sb="0" eb="2">
      <t>チコク</t>
    </rPh>
    <rPh sb="2" eb="4">
      <t>ジカン</t>
    </rPh>
    <rPh sb="4" eb="6">
      <t>キオク</t>
    </rPh>
    <phoneticPr fontId="2"/>
  </si>
  <si>
    <t>通常勤務</t>
  </si>
  <si>
    <t>残業</t>
  </si>
  <si>
    <t>深夜残業</t>
  </si>
  <si>
    <t>AM</t>
  </si>
  <si>
    <t>PM</t>
  </si>
  <si>
    <t>９：２０分開始</t>
  </si>
  <si>
    <t>文字列結合</t>
    <rPh sb="0" eb="3">
      <t>モジレツ</t>
    </rPh>
    <rPh sb="3" eb="5">
      <t>ケツゴウ</t>
    </rPh>
    <phoneticPr fontId="2"/>
  </si>
  <si>
    <t>）</t>
  </si>
  <si>
    <t>（▲30</t>
  </si>
  <si>
    <t>通常残業</t>
    <rPh sb="0" eb="2">
      <t>ツウジョウ</t>
    </rPh>
    <rPh sb="2" eb="4">
      <t>ザンギョウ</t>
    </rPh>
    <phoneticPr fontId="2"/>
  </si>
  <si>
    <t>深夜残業</t>
    <rPh sb="0" eb="2">
      <t>シンヤ</t>
    </rPh>
    <rPh sb="2" eb="4">
      <t>ザンギョウ</t>
    </rPh>
    <phoneticPr fontId="2"/>
  </si>
  <si>
    <t>法定通常</t>
    <rPh sb="0" eb="2">
      <t>ホウテイ</t>
    </rPh>
    <rPh sb="2" eb="4">
      <t>ツウジョウ</t>
    </rPh>
    <phoneticPr fontId="2"/>
  </si>
  <si>
    <t>法定深夜</t>
    <rPh sb="0" eb="2">
      <t>ホウテイ</t>
    </rPh>
    <rPh sb="2" eb="4">
      <t>シンヤ</t>
    </rPh>
    <phoneticPr fontId="2"/>
  </si>
  <si>
    <t>始業時間</t>
    <rPh sb="0" eb="2">
      <t>シギョウ</t>
    </rPh>
    <rPh sb="2" eb="4">
      <t>ジカン</t>
    </rPh>
    <phoneticPr fontId="2"/>
  </si>
  <si>
    <t>終業時間</t>
    <rPh sb="0" eb="2">
      <t>シュウギョウ</t>
    </rPh>
    <rPh sb="2" eb="4">
      <t>ジカン</t>
    </rPh>
    <phoneticPr fontId="2"/>
  </si>
  <si>
    <t>勤務状況</t>
    <rPh sb="0" eb="2">
      <t>キンム</t>
    </rPh>
    <rPh sb="2" eb="4">
      <t>ジョウキョウ</t>
    </rPh>
    <phoneticPr fontId="2"/>
  </si>
  <si>
    <t>作番１</t>
    <rPh sb="0" eb="1">
      <t>サク</t>
    </rPh>
    <rPh sb="1" eb="2">
      <t>バン</t>
    </rPh>
    <phoneticPr fontId="2"/>
  </si>
  <si>
    <t>作番2</t>
    <rPh sb="0" eb="1">
      <t>サク</t>
    </rPh>
    <rPh sb="1" eb="2">
      <t>バン</t>
    </rPh>
    <phoneticPr fontId="2"/>
  </si>
  <si>
    <t>作番3</t>
    <rPh sb="0" eb="1">
      <t>サク</t>
    </rPh>
    <rPh sb="1" eb="2">
      <t>バン</t>
    </rPh>
    <phoneticPr fontId="2"/>
  </si>
  <si>
    <t>作番4</t>
    <rPh sb="0" eb="1">
      <t>サク</t>
    </rPh>
    <rPh sb="1" eb="2">
      <t>バン</t>
    </rPh>
    <phoneticPr fontId="2"/>
  </si>
  <si>
    <t>combo1</t>
    <phoneticPr fontId="2"/>
  </si>
  <si>
    <t>combo2</t>
  </si>
  <si>
    <t>combo3</t>
  </si>
  <si>
    <t>combo4</t>
  </si>
  <si>
    <t>combo5</t>
  </si>
  <si>
    <t>combo6</t>
  </si>
  <si>
    <t>combo7</t>
  </si>
  <si>
    <t>combo8</t>
  </si>
  <si>
    <t>combo9</t>
  </si>
  <si>
    <t>combo10</t>
  </si>
  <si>
    <t>combo11</t>
  </si>
  <si>
    <t>text1</t>
    <phoneticPr fontId="2"/>
  </si>
  <si>
    <t>text2</t>
  </si>
  <si>
    <t>text3</t>
  </si>
  <si>
    <t>text4</t>
  </si>
  <si>
    <t>text5</t>
  </si>
  <si>
    <t>text6</t>
  </si>
  <si>
    <t>text7</t>
  </si>
  <si>
    <t>text8</t>
  </si>
  <si>
    <t>text9</t>
  </si>
  <si>
    <t>text10</t>
  </si>
  <si>
    <t>text11</t>
  </si>
  <si>
    <t>text12</t>
  </si>
  <si>
    <t>text13</t>
  </si>
  <si>
    <t>text14</t>
  </si>
  <si>
    <t>text15</t>
  </si>
  <si>
    <t>text16</t>
  </si>
  <si>
    <t>休出時間計算</t>
    <rPh sb="0" eb="2">
      <t>キュウシュツ</t>
    </rPh>
    <rPh sb="2" eb="4">
      <t>ジカン</t>
    </rPh>
    <rPh sb="4" eb="6">
      <t>ケイサン</t>
    </rPh>
    <phoneticPr fontId="2"/>
  </si>
  <si>
    <t>休出回数</t>
    <rPh sb="0" eb="2">
      <t>キュウシュツ</t>
    </rPh>
    <rPh sb="2" eb="4">
      <t>カイスウ</t>
    </rPh>
    <phoneticPr fontId="2"/>
  </si>
  <si>
    <t>check2</t>
    <phoneticPr fontId="2"/>
  </si>
  <si>
    <t>check3</t>
  </si>
  <si>
    <t>option2</t>
    <phoneticPr fontId="2"/>
  </si>
  <si>
    <t>page</t>
    <phoneticPr fontId="2"/>
  </si>
  <si>
    <t>時刻判定</t>
    <rPh sb="0" eb="2">
      <t>ジコク</t>
    </rPh>
    <rPh sb="2" eb="4">
      <t>ハンテイ</t>
    </rPh>
    <phoneticPr fontId="2"/>
  </si>
  <si>
    <t>自動的に選択される時間テーブル</t>
    <rPh sb="0" eb="3">
      <t>ジドウテキ</t>
    </rPh>
    <rPh sb="4" eb="6">
      <t>センタク</t>
    </rPh>
    <rPh sb="9" eb="11">
      <t>ジカン</t>
    </rPh>
    <phoneticPr fontId="2"/>
  </si>
  <si>
    <t>text17</t>
    <phoneticPr fontId="2"/>
  </si>
  <si>
    <t>text18</t>
    <phoneticPr fontId="2"/>
  </si>
  <si>
    <t>Question 1</t>
    <phoneticPr fontId="2"/>
  </si>
  <si>
    <t>作業時間や摘要を記入したい。</t>
    <rPh sb="0" eb="2">
      <t>サギョウ</t>
    </rPh>
    <rPh sb="2" eb="4">
      <t>ジカン</t>
    </rPh>
    <rPh sb="5" eb="7">
      <t>テキヨウ</t>
    </rPh>
    <rPh sb="8" eb="10">
      <t>キニュウ</t>
    </rPh>
    <phoneticPr fontId="2"/>
  </si>
  <si>
    <t>Answer</t>
    <phoneticPr fontId="2"/>
  </si>
  <si>
    <t>シート（勤務報告書）の勤務時間または、勤務状況、摘要のいずれかをダブルクリックしてください。</t>
    <rPh sb="4" eb="6">
      <t>キンム</t>
    </rPh>
    <rPh sb="6" eb="9">
      <t>ホウコクショ</t>
    </rPh>
    <rPh sb="11" eb="13">
      <t>キンム</t>
    </rPh>
    <rPh sb="13" eb="15">
      <t>ジカン</t>
    </rPh>
    <rPh sb="19" eb="21">
      <t>キンム</t>
    </rPh>
    <rPh sb="21" eb="23">
      <t>ジョウキョウ</t>
    </rPh>
    <rPh sb="24" eb="26">
      <t>テキヨウ</t>
    </rPh>
    <phoneticPr fontId="2"/>
  </si>
  <si>
    <t>勤務時間入力フォームが表示されるので、作業作番毎に開始時間、終了時間を入力して下さい。</t>
    <rPh sb="0" eb="2">
      <t>キンム</t>
    </rPh>
    <rPh sb="2" eb="4">
      <t>ジカン</t>
    </rPh>
    <rPh sb="4" eb="6">
      <t>ニュウリョク</t>
    </rPh>
    <rPh sb="11" eb="13">
      <t>ヒョウジ</t>
    </rPh>
    <rPh sb="19" eb="21">
      <t>サギョウ</t>
    </rPh>
    <rPh sb="21" eb="22">
      <t>サク</t>
    </rPh>
    <rPh sb="22" eb="23">
      <t>バン</t>
    </rPh>
    <rPh sb="23" eb="24">
      <t>ゴト</t>
    </rPh>
    <rPh sb="25" eb="27">
      <t>カイシ</t>
    </rPh>
    <rPh sb="27" eb="29">
      <t>ジカン</t>
    </rPh>
    <rPh sb="30" eb="32">
      <t>シュウリョウ</t>
    </rPh>
    <rPh sb="32" eb="34">
      <t>ジカン</t>
    </rPh>
    <rPh sb="35" eb="37">
      <t>ニュウリョク</t>
    </rPh>
    <rPh sb="39" eb="40">
      <t>クダ</t>
    </rPh>
    <phoneticPr fontId="2"/>
  </si>
  <si>
    <t>Question 2</t>
    <phoneticPr fontId="2"/>
  </si>
  <si>
    <t>勤務状況や摘要の入力も勤務時間入力フォーム上にあります。</t>
    <rPh sb="0" eb="2">
      <t>キンム</t>
    </rPh>
    <rPh sb="2" eb="4">
      <t>ジョウキョウ</t>
    </rPh>
    <rPh sb="5" eb="7">
      <t>テキヨウ</t>
    </rPh>
    <rPh sb="8" eb="10">
      <t>ニュウリョク</t>
    </rPh>
    <rPh sb="11" eb="13">
      <t>キンム</t>
    </rPh>
    <rPh sb="13" eb="15">
      <t>ジカン</t>
    </rPh>
    <rPh sb="15" eb="17">
      <t>ニュウリョク</t>
    </rPh>
    <rPh sb="21" eb="22">
      <t>ジョウ</t>
    </rPh>
    <phoneticPr fontId="2"/>
  </si>
  <si>
    <t>月を変更したい。</t>
    <rPh sb="0" eb="1">
      <t>ツキ</t>
    </rPh>
    <rPh sb="2" eb="4">
      <t>ヘンコウ</t>
    </rPh>
    <phoneticPr fontId="2"/>
  </si>
  <si>
    <t>年月入力フォームが表示されるので、そこで年月を指定してください。</t>
    <rPh sb="0" eb="2">
      <t>ネンゲツ</t>
    </rPh>
    <rPh sb="2" eb="4">
      <t>ニュウリョク</t>
    </rPh>
    <rPh sb="9" eb="11">
      <t>ヒョウジ</t>
    </rPh>
    <rPh sb="20" eb="22">
      <t>ネンゲツ</t>
    </rPh>
    <rPh sb="23" eb="25">
      <t>シテイ</t>
    </rPh>
    <phoneticPr fontId="2"/>
  </si>
  <si>
    <t>残業時間の計算はタイムテーブルにしたがって行います。</t>
    <rPh sb="0" eb="2">
      <t>ザンギョウ</t>
    </rPh>
    <rPh sb="2" eb="4">
      <t>ジカン</t>
    </rPh>
    <rPh sb="5" eb="7">
      <t>ケイサン</t>
    </rPh>
    <rPh sb="21" eb="22">
      <t>オコナ</t>
    </rPh>
    <phoneticPr fontId="2"/>
  </si>
  <si>
    <t>勤務時間入力フォームの上部に表示されているタイムテーブルに指定された項目と</t>
    <rPh sb="0" eb="2">
      <t>キンム</t>
    </rPh>
    <rPh sb="2" eb="4">
      <t>ジカン</t>
    </rPh>
    <rPh sb="4" eb="6">
      <t>ニュウリョク</t>
    </rPh>
    <rPh sb="11" eb="13">
      <t>ジョウブ</t>
    </rPh>
    <rPh sb="14" eb="16">
      <t>ヒョウジ</t>
    </rPh>
    <rPh sb="29" eb="31">
      <t>シテイ</t>
    </rPh>
    <rPh sb="34" eb="36">
      <t>コウモク</t>
    </rPh>
    <phoneticPr fontId="2"/>
  </si>
  <si>
    <t>シート（タイムテーブル）に記入されている作業時間がリンクしています。</t>
    <rPh sb="13" eb="15">
      <t>キニュウ</t>
    </rPh>
    <rPh sb="20" eb="22">
      <t>サギョウ</t>
    </rPh>
    <rPh sb="22" eb="24">
      <t>ジカン</t>
    </rPh>
    <phoneticPr fontId="2"/>
  </si>
  <si>
    <t>タイムテーブルが適切に設定されているか確認してください。</t>
    <rPh sb="8" eb="10">
      <t>テキセツ</t>
    </rPh>
    <rPh sb="11" eb="13">
      <t>セッテイ</t>
    </rPh>
    <rPh sb="19" eb="21">
      <t>カクニン</t>
    </rPh>
    <phoneticPr fontId="2"/>
  </si>
  <si>
    <t>作業時間計算が間違っている？</t>
  </si>
  <si>
    <t>新しい勤務形態を登録したい。</t>
    <rPh sb="0" eb="1">
      <t>アタラ</t>
    </rPh>
    <rPh sb="3" eb="5">
      <t>キンム</t>
    </rPh>
    <rPh sb="5" eb="7">
      <t>ケイタイ</t>
    </rPh>
    <rPh sb="8" eb="10">
      <t>トウロク</t>
    </rPh>
    <phoneticPr fontId="2"/>
  </si>
  <si>
    <t>Answer</t>
    <phoneticPr fontId="2"/>
  </si>
  <si>
    <t>タイムテーブルに新しい勤務形態を追記してください。</t>
    <rPh sb="8" eb="9">
      <t>アタラ</t>
    </rPh>
    <rPh sb="11" eb="13">
      <t>キンム</t>
    </rPh>
    <rPh sb="13" eb="15">
      <t>ケイタイ</t>
    </rPh>
    <rPh sb="16" eb="18">
      <t>ツイキ</t>
    </rPh>
    <phoneticPr fontId="2"/>
  </si>
  <si>
    <t>終了時間選択アイテム</t>
    <rPh sb="0" eb="2">
      <t>シュウリョウ</t>
    </rPh>
    <rPh sb="2" eb="4">
      <t>ジカン</t>
    </rPh>
    <rPh sb="4" eb="6">
      <t>センタク</t>
    </rPh>
    <phoneticPr fontId="2"/>
  </si>
  <si>
    <t>別作番時間選択アイテム</t>
    <rPh sb="0" eb="1">
      <t>ベツ</t>
    </rPh>
    <rPh sb="1" eb="3">
      <t>サクバン</t>
    </rPh>
    <rPh sb="3" eb="5">
      <t>ジカン</t>
    </rPh>
    <rPh sb="5" eb="7">
      <t>センタク</t>
    </rPh>
    <phoneticPr fontId="2"/>
  </si>
  <si>
    <t>作業開始時間や終了時間が選択肢に無い。</t>
    <rPh sb="0" eb="2">
      <t>サギョウ</t>
    </rPh>
    <rPh sb="2" eb="4">
      <t>カイシ</t>
    </rPh>
    <rPh sb="4" eb="6">
      <t>ジカン</t>
    </rPh>
    <rPh sb="7" eb="9">
      <t>シュウリョウ</t>
    </rPh>
    <rPh sb="9" eb="11">
      <t>ジカン</t>
    </rPh>
    <rPh sb="12" eb="15">
      <t>センタクシ</t>
    </rPh>
    <rPh sb="16" eb="17">
      <t>ナ</t>
    </rPh>
    <phoneticPr fontId="2"/>
  </si>
  <si>
    <t>Question 7</t>
    <phoneticPr fontId="2"/>
  </si>
  <si>
    <t>時間の部分にカーソルを合わせてキーボードより入力できます。</t>
    <rPh sb="0" eb="2">
      <t>ジカン</t>
    </rPh>
    <rPh sb="3" eb="5">
      <t>ブブン</t>
    </rPh>
    <rPh sb="11" eb="12">
      <t>ア</t>
    </rPh>
    <rPh sb="22" eb="24">
      <t>ニュウリョク</t>
    </rPh>
    <phoneticPr fontId="2"/>
  </si>
  <si>
    <t>祝日曜日指定</t>
    <rPh sb="0" eb="2">
      <t>シュクジツ</t>
    </rPh>
    <rPh sb="2" eb="4">
      <t>ヨウビ</t>
    </rPh>
    <rPh sb="4" eb="6">
      <t>シテイ</t>
    </rPh>
    <phoneticPr fontId="2"/>
  </si>
  <si>
    <t>祝日</t>
    <rPh sb="0" eb="2">
      <t>シュクジツ</t>
    </rPh>
    <phoneticPr fontId="2"/>
  </si>
  <si>
    <t>シート（詳細設定）の祝日の個所を変更してください。</t>
    <rPh sb="4" eb="6">
      <t>ショウサイ</t>
    </rPh>
    <rPh sb="6" eb="8">
      <t>セッテイ</t>
    </rPh>
    <rPh sb="10" eb="12">
      <t>シュクジツ</t>
    </rPh>
    <rPh sb="13" eb="15">
      <t>カショ</t>
    </rPh>
    <rPh sb="16" eb="18">
      <t>ヘンコウ</t>
    </rPh>
    <phoneticPr fontId="2"/>
  </si>
  <si>
    <t>祝日を修正したい。</t>
    <rPh sb="0" eb="2">
      <t>シュクジツ</t>
    </rPh>
    <rPh sb="3" eb="5">
      <t>シュウセイ</t>
    </rPh>
    <phoneticPr fontId="2"/>
  </si>
  <si>
    <t>曜日指定の祝日は祝日曜日指定の個所を変更してください。</t>
    <rPh sb="0" eb="2">
      <t>ヨウビ</t>
    </rPh>
    <rPh sb="2" eb="4">
      <t>シテイ</t>
    </rPh>
    <rPh sb="5" eb="7">
      <t>シュクジツ</t>
    </rPh>
    <rPh sb="8" eb="10">
      <t>シュクジツ</t>
    </rPh>
    <rPh sb="10" eb="12">
      <t>ヨウビ</t>
    </rPh>
    <rPh sb="12" eb="14">
      <t>シテイ</t>
    </rPh>
    <rPh sb="15" eb="17">
      <t>カショ</t>
    </rPh>
    <rPh sb="18" eb="20">
      <t>ヘンコウ</t>
    </rPh>
    <phoneticPr fontId="2"/>
  </si>
  <si>
    <t>勤務状況選択アイテム</t>
    <rPh sb="0" eb="2">
      <t>キンム</t>
    </rPh>
    <rPh sb="2" eb="4">
      <t>ジョウキョウ</t>
    </rPh>
    <rPh sb="4" eb="6">
      <t>センタク</t>
    </rPh>
    <phoneticPr fontId="2"/>
  </si>
  <si>
    <t>タイムテーブルに記載されている勤務形態が使用されます。</t>
    <rPh sb="8" eb="10">
      <t>キサイ</t>
    </rPh>
    <rPh sb="15" eb="17">
      <t>キンム</t>
    </rPh>
    <rPh sb="17" eb="19">
      <t>ケイタイ</t>
    </rPh>
    <rPh sb="20" eb="22">
      <t>シヨウ</t>
    </rPh>
    <phoneticPr fontId="2"/>
  </si>
  <si>
    <t>該当する勤務形態が無ければ同様に追記してください。</t>
    <rPh sb="0" eb="2">
      <t>ガイトウ</t>
    </rPh>
    <rPh sb="4" eb="6">
      <t>キンム</t>
    </rPh>
    <rPh sb="6" eb="8">
      <t>ケイタイ</t>
    </rPh>
    <rPh sb="9" eb="10">
      <t>ナ</t>
    </rPh>
    <rPh sb="13" eb="15">
      <t>ドウヨウ</t>
    </rPh>
    <rPh sb="16" eb="18">
      <t>ツイキ</t>
    </rPh>
    <phoneticPr fontId="2"/>
  </si>
  <si>
    <t>下記の連絡先までご連絡ください。</t>
    <rPh sb="0" eb="2">
      <t>カキ</t>
    </rPh>
    <rPh sb="3" eb="5">
      <t>レンラク</t>
    </rPh>
    <rPh sb="5" eb="6">
      <t>サキ</t>
    </rPh>
    <rPh sb="9" eb="11">
      <t>レンラク</t>
    </rPh>
    <phoneticPr fontId="2"/>
  </si>
  <si>
    <t>その他、不具合や要望、質問がある。</t>
    <rPh sb="2" eb="3">
      <t>タ</t>
    </rPh>
    <rPh sb="4" eb="7">
      <t>フグアイ</t>
    </rPh>
    <rPh sb="8" eb="10">
      <t>ヨウボウ</t>
    </rPh>
    <rPh sb="11" eb="13">
      <t>シツモン</t>
    </rPh>
    <phoneticPr fontId="2"/>
  </si>
  <si>
    <t>Question 3</t>
    <phoneticPr fontId="2"/>
  </si>
  <si>
    <t>Question 4</t>
    <phoneticPr fontId="2"/>
  </si>
  <si>
    <t>Question 5</t>
    <phoneticPr fontId="2"/>
  </si>
  <si>
    <t>Question 6</t>
    <phoneticPr fontId="2"/>
  </si>
  <si>
    <t>Question 8</t>
    <phoneticPr fontId="2"/>
  </si>
  <si>
    <t>タイムテーブルに書き込んだ色が異なる色の場合には計算できません。</t>
    <rPh sb="8" eb="9">
      <t>カ</t>
    </rPh>
    <rPh sb="10" eb="11">
      <t>コ</t>
    </rPh>
    <rPh sb="13" eb="14">
      <t>イロ</t>
    </rPh>
    <rPh sb="15" eb="16">
      <t>コト</t>
    </rPh>
    <rPh sb="18" eb="19">
      <t>イロ</t>
    </rPh>
    <rPh sb="20" eb="22">
      <t>バアイ</t>
    </rPh>
    <rPh sb="24" eb="26">
      <t>ケイサン</t>
    </rPh>
    <phoneticPr fontId="2"/>
  </si>
  <si>
    <t>変更内容</t>
    <rPh sb="0" eb="2">
      <t>ヘンコウ</t>
    </rPh>
    <rPh sb="2" eb="4">
      <t>ナイヨウ</t>
    </rPh>
    <phoneticPr fontId="2"/>
  </si>
  <si>
    <t>Version</t>
    <phoneticPr fontId="2"/>
  </si>
  <si>
    <t>変更日時</t>
    <rPh sb="0" eb="2">
      <t>ヘンコウ</t>
    </rPh>
    <rPh sb="2" eb="4">
      <t>ニチジ</t>
    </rPh>
    <phoneticPr fontId="2"/>
  </si>
  <si>
    <t>新規作成</t>
    <rPh sb="0" eb="2">
      <t>シンキ</t>
    </rPh>
    <rPh sb="2" eb="4">
      <t>サクセイ</t>
    </rPh>
    <phoneticPr fontId="2"/>
  </si>
  <si>
    <t>FAQ,変更履歴のシートを追加</t>
    <rPh sb="4" eb="6">
      <t>ヘンコウ</t>
    </rPh>
    <rPh sb="6" eb="8">
      <t>リレキ</t>
    </rPh>
    <rPh sb="13" eb="15">
      <t>ツイカ</t>
    </rPh>
    <phoneticPr fontId="2"/>
  </si>
  <si>
    <t>リメイク</t>
    <phoneticPr fontId="2"/>
  </si>
  <si>
    <t>手動計算機能追加</t>
    <rPh sb="0" eb="2">
      <t>シュドウ</t>
    </rPh>
    <rPh sb="2" eb="4">
      <t>ケイサン</t>
    </rPh>
    <rPh sb="4" eb="6">
      <t>キノウ</t>
    </rPh>
    <rPh sb="6" eb="8">
      <t>ツイカ</t>
    </rPh>
    <phoneticPr fontId="2"/>
  </si>
  <si>
    <t>摘要、勤務状況のフォームを統合</t>
    <rPh sb="0" eb="2">
      <t>テキヨウ</t>
    </rPh>
    <rPh sb="3" eb="5">
      <t>キンム</t>
    </rPh>
    <rPh sb="5" eb="7">
      <t>ジョウキョウ</t>
    </rPh>
    <rPh sb="13" eb="15">
      <t>トウゴウ</t>
    </rPh>
    <phoneticPr fontId="2"/>
  </si>
  <si>
    <t>休憩</t>
    <rPh sb="0" eb="2">
      <t>キュウケイ</t>
    </rPh>
    <phoneticPr fontId="2"/>
  </si>
  <si>
    <t>作業終了時間の初期値</t>
    <rPh sb="0" eb="2">
      <t>サギョウ</t>
    </rPh>
    <rPh sb="2" eb="4">
      <t>シュウリョウ</t>
    </rPh>
    <rPh sb="4" eb="6">
      <t>ジカン</t>
    </rPh>
    <rPh sb="7" eb="10">
      <t>ショキチ</t>
    </rPh>
    <phoneticPr fontId="2"/>
  </si>
  <si>
    <t>作業開始時間の初期値</t>
    <rPh sb="0" eb="2">
      <t>サギョウ</t>
    </rPh>
    <rPh sb="2" eb="4">
      <t>カイシ</t>
    </rPh>
    <rPh sb="4" eb="6">
      <t>ジカン</t>
    </rPh>
    <rPh sb="7" eb="10">
      <t>ショキチ</t>
    </rPh>
    <phoneticPr fontId="2"/>
  </si>
  <si>
    <t>計算開始時間</t>
    <rPh sb="0" eb="2">
      <t>ケイサン</t>
    </rPh>
    <rPh sb="2" eb="4">
      <t>カイシ</t>
    </rPh>
    <rPh sb="4" eb="6">
      <t>ジカン</t>
    </rPh>
    <phoneticPr fontId="2"/>
  </si>
  <si>
    <t>振替休日で半休が取得できない問題に対応する</t>
    <rPh sb="0" eb="2">
      <t>フリカエ</t>
    </rPh>
    <rPh sb="2" eb="4">
      <t>キュウジツ</t>
    </rPh>
    <rPh sb="5" eb="7">
      <t>ハンキュウ</t>
    </rPh>
    <rPh sb="8" eb="10">
      <t>シュトク</t>
    </rPh>
    <rPh sb="14" eb="16">
      <t>モンダイ</t>
    </rPh>
    <rPh sb="17" eb="19">
      <t>タイオウ</t>
    </rPh>
    <phoneticPr fontId="2"/>
  </si>
  <si>
    <t>例外的な勤務時間を入力したい。</t>
    <rPh sb="0" eb="3">
      <t>レイガイテキ</t>
    </rPh>
    <rPh sb="4" eb="6">
      <t>キンム</t>
    </rPh>
    <rPh sb="6" eb="8">
      <t>ジカン</t>
    </rPh>
    <rPh sb="9" eb="11">
      <t>ニュウリョク</t>
    </rPh>
    <phoneticPr fontId="2"/>
  </si>
  <si>
    <t>勤務時間入力フォームにて手動計算のタグを選択してください。</t>
    <rPh sb="0" eb="2">
      <t>キンム</t>
    </rPh>
    <rPh sb="2" eb="4">
      <t>ジカン</t>
    </rPh>
    <rPh sb="4" eb="6">
      <t>ニュウリョク</t>
    </rPh>
    <rPh sb="12" eb="14">
      <t>シュドウ</t>
    </rPh>
    <rPh sb="14" eb="16">
      <t>ケイサン</t>
    </rPh>
    <rPh sb="20" eb="22">
      <t>センタク</t>
    </rPh>
    <phoneticPr fontId="2"/>
  </si>
  <si>
    <t>全て手動入力を行うことができます。</t>
    <rPh sb="0" eb="1">
      <t>スベ</t>
    </rPh>
    <rPh sb="2" eb="4">
      <t>シュドウ</t>
    </rPh>
    <rPh sb="4" eb="6">
      <t>ニュウリョク</t>
    </rPh>
    <rPh sb="7" eb="8">
      <t>オコナ</t>
    </rPh>
    <phoneticPr fontId="2"/>
  </si>
  <si>
    <t>８：５０から次の日の８：００以降まで勤務した場合、</t>
    <rPh sb="6" eb="7">
      <t>ツギ</t>
    </rPh>
    <rPh sb="8" eb="9">
      <t>ヒ</t>
    </rPh>
    <rPh sb="14" eb="16">
      <t>イコウ</t>
    </rPh>
    <rPh sb="18" eb="20">
      <t>キンム</t>
    </rPh>
    <rPh sb="22" eb="24">
      <t>バアイ</t>
    </rPh>
    <phoneticPr fontId="2"/>
  </si>
  <si>
    <t>計算ができない件に対応する。</t>
    <rPh sb="0" eb="2">
      <t>ケイサン</t>
    </rPh>
    <rPh sb="7" eb="8">
      <t>ケン</t>
    </rPh>
    <rPh sb="9" eb="11">
      <t>タイオウ</t>
    </rPh>
    <phoneticPr fontId="2"/>
  </si>
  <si>
    <t>休出時の時間外を１５分単位に計算するように変更。</t>
    <rPh sb="0" eb="2">
      <t>キュウシュツ</t>
    </rPh>
    <rPh sb="2" eb="3">
      <t>ジ</t>
    </rPh>
    <rPh sb="4" eb="7">
      <t>ジカンガイ</t>
    </rPh>
    <rPh sb="10" eb="11">
      <t>フン</t>
    </rPh>
    <rPh sb="11" eb="13">
      <t>タンイ</t>
    </rPh>
    <rPh sb="14" eb="16">
      <t>ケイサン</t>
    </rPh>
    <rPh sb="21" eb="23">
      <t>ヘンコウ</t>
    </rPh>
    <phoneticPr fontId="2"/>
  </si>
  <si>
    <t>出勤日数に加算しない勤務に対応する。</t>
    <rPh sb="0" eb="2">
      <t>シュッキン</t>
    </rPh>
    <rPh sb="2" eb="4">
      <t>ニッスウ</t>
    </rPh>
    <rPh sb="5" eb="7">
      <t>カサン</t>
    </rPh>
    <rPh sb="10" eb="12">
      <t>キンム</t>
    </rPh>
    <rPh sb="13" eb="15">
      <t>タイオウ</t>
    </rPh>
    <phoneticPr fontId="2"/>
  </si>
  <si>
    <t>使用者</t>
    <rPh sb="0" eb="2">
      <t>シヨウ</t>
    </rPh>
    <rPh sb="2" eb="3">
      <t>シャ</t>
    </rPh>
    <phoneticPr fontId="2"/>
  </si>
  <si>
    <t>使用回数（月）</t>
    <rPh sb="0" eb="2">
      <t>シヨウ</t>
    </rPh>
    <rPh sb="2" eb="4">
      <t>カイスウ</t>
    </rPh>
    <rPh sb="5" eb="6">
      <t>ツキ</t>
    </rPh>
    <phoneticPr fontId="2"/>
  </si>
  <si>
    <t>出勤日数</t>
    <rPh sb="0" eb="2">
      <t>シュッキン</t>
    </rPh>
    <rPh sb="2" eb="4">
      <t>ニッスウ</t>
    </rPh>
    <phoneticPr fontId="2"/>
  </si>
  <si>
    <t>祝日名</t>
    <rPh sb="0" eb="2">
      <t>シュクジツ</t>
    </rPh>
    <rPh sb="2" eb="3">
      <t>メイ</t>
    </rPh>
    <phoneticPr fontId="2"/>
  </si>
  <si>
    <t>入力済み</t>
    <rPh sb="0" eb="2">
      <t>ニュウリョク</t>
    </rPh>
    <rPh sb="2" eb="3">
      <t>ズ</t>
    </rPh>
    <phoneticPr fontId="2"/>
  </si>
  <si>
    <t>VBAProjectのパスワードを解除</t>
    <rPh sb="17" eb="19">
      <t>カイジョ</t>
    </rPh>
    <phoneticPr fontId="2"/>
  </si>
  <si>
    <t>祝日をコメントで表示する。</t>
    <rPh sb="0" eb="2">
      <t>シュクジツ</t>
    </rPh>
    <rPh sb="8" eb="10">
      <t>ヒョウジ</t>
    </rPh>
    <phoneticPr fontId="2"/>
  </si>
  <si>
    <t>祝日を固定値から法律に従った日付に変更。</t>
    <rPh sb="0" eb="2">
      <t>シュクジツ</t>
    </rPh>
    <rPh sb="3" eb="6">
      <t>コテイチ</t>
    </rPh>
    <rPh sb="8" eb="10">
      <t>ホウリツ</t>
    </rPh>
    <rPh sb="11" eb="12">
      <t>シタガ</t>
    </rPh>
    <rPh sb="14" eb="16">
      <t>ヒヅケ</t>
    </rPh>
    <rPh sb="17" eb="19">
      <t>ヘンコウ</t>
    </rPh>
    <phoneticPr fontId="2"/>
  </si>
  <si>
    <t>終業</t>
    <rPh sb="0" eb="2">
      <t>シュウギョウ</t>
    </rPh>
    <phoneticPr fontId="2"/>
  </si>
  <si>
    <t>作番／備考（H:M)</t>
    <rPh sb="0" eb="2">
      <t>サクバン</t>
    </rPh>
    <rPh sb="3" eb="5">
      <t>ビコウ</t>
    </rPh>
    <phoneticPr fontId="2"/>
  </si>
  <si>
    <t>半休を取得した場合の勤務日数が０．５日で計算され
ていたが1日に変更</t>
    <rPh sb="0" eb="2">
      <t>ハンキュウ</t>
    </rPh>
    <rPh sb="3" eb="5">
      <t>シュトク</t>
    </rPh>
    <rPh sb="7" eb="9">
      <t>バアイ</t>
    </rPh>
    <rPh sb="10" eb="12">
      <t>キンム</t>
    </rPh>
    <rPh sb="12" eb="14">
      <t>ニッスウ</t>
    </rPh>
    <rPh sb="18" eb="19">
      <t>ニチ</t>
    </rPh>
    <rPh sb="20" eb="22">
      <t>ケイサン</t>
    </rPh>
    <rPh sb="30" eb="31">
      <t>ニチ</t>
    </rPh>
    <rPh sb="32" eb="34">
      <t>ヘンコウ</t>
    </rPh>
    <phoneticPr fontId="2"/>
  </si>
  <si>
    <t>No</t>
    <phoneticPr fontId="2"/>
  </si>
  <si>
    <t>デジタル署名追加</t>
    <rPh sb="4" eb="6">
      <t>ショメイ</t>
    </rPh>
    <rPh sb="6" eb="8">
      <t>ツイカ</t>
    </rPh>
    <phoneticPr fontId="2"/>
  </si>
  <si>
    <t>休日出勤日数の表示部分を変更</t>
    <rPh sb="0" eb="2">
      <t>キュウジツ</t>
    </rPh>
    <rPh sb="2" eb="4">
      <t>シュッキン</t>
    </rPh>
    <rPh sb="4" eb="6">
      <t>ニッスウ</t>
    </rPh>
    <rPh sb="7" eb="9">
      <t>ヒョウジ</t>
    </rPh>
    <rPh sb="9" eb="11">
      <t>ブブン</t>
    </rPh>
    <rPh sb="12" eb="14">
      <t>ヘンコウ</t>
    </rPh>
    <phoneticPr fontId="2"/>
  </si>
  <si>
    <t>時刻入力のフォーマットチェック追加</t>
    <rPh sb="0" eb="2">
      <t>ジコク</t>
    </rPh>
    <rPh sb="2" eb="4">
      <t>ニュウリョク</t>
    </rPh>
    <rPh sb="15" eb="17">
      <t>ツイカ</t>
    </rPh>
    <phoneticPr fontId="2"/>
  </si>
  <si>
    <t>法定休出</t>
    <rPh sb="0" eb="2">
      <t>ホウテイ</t>
    </rPh>
    <rPh sb="2" eb="4">
      <t>キュウシュツ</t>
    </rPh>
    <phoneticPr fontId="2"/>
  </si>
  <si>
    <t>法定深夜残業</t>
    <rPh sb="0" eb="2">
      <t>ホウテイ</t>
    </rPh>
    <rPh sb="2" eb="4">
      <t>シンヤ</t>
    </rPh>
    <rPh sb="4" eb="6">
      <t>ザンギョウ</t>
    </rPh>
    <phoneticPr fontId="2"/>
  </si>
  <si>
    <t>文字列</t>
    <rPh sb="0" eb="3">
      <t>モジレツ</t>
    </rPh>
    <phoneticPr fontId="2"/>
  </si>
  <si>
    <t>９：３０分開始</t>
    <rPh sb="4" eb="5">
      <t>フン</t>
    </rPh>
    <rPh sb="5" eb="7">
      <t>カイシ</t>
    </rPh>
    <phoneticPr fontId="2"/>
  </si>
  <si>
    <t>五座　淳一</t>
  </si>
  <si>
    <t>１３勤</t>
    <rPh sb="2" eb="3">
      <t>キン</t>
    </rPh>
    <phoneticPr fontId="2"/>
  </si>
  <si>
    <t>２２勤</t>
    <rPh sb="2" eb="3">
      <t>キン</t>
    </rPh>
    <phoneticPr fontId="2"/>
  </si>
  <si>
    <t>育・介
短勤欠務</t>
  </si>
  <si>
    <t>生休
欠務</t>
  </si>
  <si>
    <t>（日）</t>
  </si>
  <si>
    <t>日　付</t>
    <rPh sb="2" eb="3">
      <t>ツ</t>
    </rPh>
    <phoneticPr fontId="2"/>
  </si>
  <si>
    <t xml:space="preserve">     時間外勤務(M)</t>
    <phoneticPr fontId="23"/>
  </si>
  <si>
    <t>深夜勤務</t>
    <rPh sb="0" eb="2">
      <t>シンヤ</t>
    </rPh>
    <rPh sb="2" eb="4">
      <t>キンム</t>
    </rPh>
    <phoneticPr fontId="2"/>
  </si>
  <si>
    <t>終　業</t>
    <rPh sb="0" eb="1">
      <t>オワリ</t>
    </rPh>
    <rPh sb="2" eb="3">
      <t>ギョウ</t>
    </rPh>
    <phoneticPr fontId="2"/>
  </si>
  <si>
    <t>通常日/休日
（土曜・祝日）</t>
    <rPh sb="0" eb="2">
      <t>ツウジョウ</t>
    </rPh>
    <rPh sb="2" eb="3">
      <t>ビ</t>
    </rPh>
    <rPh sb="4" eb="5">
      <t>キュウシュツ</t>
    </rPh>
    <rPh sb="5" eb="6">
      <t>ニチ</t>
    </rPh>
    <rPh sb="8" eb="10">
      <t>ドヨウ</t>
    </rPh>
    <rPh sb="11" eb="13">
      <t>シュクジツ</t>
    </rPh>
    <phoneticPr fontId="23"/>
  </si>
  <si>
    <t>法定休日
（日曜）</t>
    <rPh sb="0" eb="2">
      <t>ホウテイ</t>
    </rPh>
    <rPh sb="2" eb="4">
      <t>キュウジツ</t>
    </rPh>
    <rPh sb="6" eb="8">
      <t>ニチヨウビ</t>
    </rPh>
    <phoneticPr fontId="23"/>
  </si>
  <si>
    <t>時間</t>
    <rPh sb="0" eb="2">
      <t>ジカン</t>
    </rPh>
    <phoneticPr fontId="2"/>
  </si>
  <si>
    <t>集　計</t>
    <rPh sb="0" eb="3">
      <t>シュウケイ</t>
    </rPh>
    <phoneticPr fontId="24"/>
  </si>
  <si>
    <t>出勤</t>
    <rPh sb="0" eb="2">
      <t>シュッキン</t>
    </rPh>
    <phoneticPr fontId="24"/>
  </si>
  <si>
    <t>　 休暇</t>
    <phoneticPr fontId="2"/>
  </si>
  <si>
    <t>夜　勤
回　数</t>
    <phoneticPr fontId="24"/>
  </si>
  <si>
    <t>遅・早・
欠勤回数</t>
    <phoneticPr fontId="24"/>
  </si>
  <si>
    <t>遅・早・
欠勤</t>
    <phoneticPr fontId="24"/>
  </si>
  <si>
    <t xml:space="preserve"> 合 計
 時 間</t>
    <phoneticPr fontId="24"/>
  </si>
  <si>
    <t>（日）</t>
    <rPh sb="1" eb="2">
      <t>ニチ</t>
    </rPh>
    <phoneticPr fontId="24"/>
  </si>
  <si>
    <t>（H:M）</t>
    <phoneticPr fontId="2"/>
  </si>
  <si>
    <t>（回）</t>
    <rPh sb="1" eb="2">
      <t>カイ</t>
    </rPh>
    <phoneticPr fontId="24"/>
  </si>
  <si>
    <t>（H:M）</t>
    <phoneticPr fontId="24"/>
  </si>
  <si>
    <t>（H：M）</t>
    <phoneticPr fontId="24"/>
  </si>
  <si>
    <t>休出回数</t>
    <phoneticPr fontId="2"/>
  </si>
  <si>
    <t>（注１） 日次処理 ： 通常日時間外【残業】/休日（土曜・祝日）および法定休日（日曜）の勤務時間は、時間外開始時刻（休出は始業時刻）から終了時刻までのトータル時間（深夜時間時間帯を含む残業時間の全部）</t>
    <rPh sb="5" eb="7">
      <t>ニチジ</t>
    </rPh>
    <rPh sb="7" eb="9">
      <t>ショリ</t>
    </rPh>
    <rPh sb="86" eb="89">
      <t>ジカンタイ</t>
    </rPh>
    <phoneticPr fontId="2"/>
  </si>
  <si>
    <t>　　　　【例： ～２３：１５までの勤務の場合は「通常/休日」の欄に残業トータル時間 ⇒ ２８０（Ｍ）、深夜勤務時間 ⇒ ４５（Ｍ）と表記する。残業時間のタイムテーブル参照】</t>
    <rPh sb="53" eb="55">
      <t>キンム</t>
    </rPh>
    <phoneticPr fontId="2"/>
  </si>
  <si>
    <t>リフレッシュ休暇</t>
    <rPh sb="6" eb="8">
      <t>キュウカ</t>
    </rPh>
    <phoneticPr fontId="2"/>
  </si>
  <si>
    <t>慶弔</t>
    <rPh sb="0" eb="1">
      <t>ケイ</t>
    </rPh>
    <rPh sb="1" eb="2">
      <t>トムラ</t>
    </rPh>
    <phoneticPr fontId="2"/>
  </si>
  <si>
    <t>永年勤</t>
    <rPh sb="0" eb="2">
      <t>エイネン</t>
    </rPh>
    <rPh sb="2" eb="3">
      <t>ツトム</t>
    </rPh>
    <phoneticPr fontId="2"/>
  </si>
  <si>
    <t>育・介
短勤欠務</t>
    <rPh sb="0" eb="1">
      <t>イク</t>
    </rPh>
    <rPh sb="2" eb="3">
      <t>スケ</t>
    </rPh>
    <rPh sb="4" eb="5">
      <t>タン</t>
    </rPh>
    <rPh sb="5" eb="6">
      <t>ツトム</t>
    </rPh>
    <rPh sb="6" eb="7">
      <t>ケツ</t>
    </rPh>
    <rPh sb="7" eb="8">
      <t>ツトム</t>
    </rPh>
    <phoneticPr fontId="2"/>
  </si>
  <si>
    <t>生休欠務</t>
    <rPh sb="0" eb="2">
      <t>セイキュウ</t>
    </rPh>
    <rPh sb="2" eb="3">
      <t>ケツ</t>
    </rPh>
    <rPh sb="3" eb="4">
      <t>ム</t>
    </rPh>
    <phoneticPr fontId="2"/>
  </si>
  <si>
    <t>夜勤</t>
    <rPh sb="0" eb="2">
      <t>ヤキン</t>
    </rPh>
    <phoneticPr fontId="2"/>
  </si>
  <si>
    <t>出勤</t>
  </si>
  <si>
    <t>休暇</t>
  </si>
  <si>
    <t>ﾘﾌﾚｯｼｭ</t>
  </si>
  <si>
    <t>慶弔</t>
  </si>
  <si>
    <t>永年勤続</t>
  </si>
  <si>
    <t>夜勤
回数</t>
  </si>
  <si>
    <t>遅・早・
欠勤回数</t>
  </si>
  <si>
    <t>法定休日
（日曜）</t>
  </si>
  <si>
    <t>深夜勤務
時間</t>
  </si>
  <si>
    <t>休出
回数</t>
  </si>
  <si>
    <t>作番2</t>
  </si>
  <si>
    <t>作番3</t>
  </si>
  <si>
    <t>作番4</t>
  </si>
  <si>
    <t>作番5</t>
  </si>
  <si>
    <t>チェック・サムの計算式</t>
    <rPh sb="8" eb="10">
      <t>ケイサン</t>
    </rPh>
    <rPh sb="10" eb="11">
      <t>シキ</t>
    </rPh>
    <phoneticPr fontId="2"/>
  </si>
  <si>
    <t>①項目の数値を整数化します。項目により ×１ （整数のみの項目）、 ×１０（小数点第１位までの表示の項目）、×１００（小数点第２位までの表示の項目） を乗じて算出する。</t>
    <rPh sb="1" eb="3">
      <t>コウモク</t>
    </rPh>
    <rPh sb="4" eb="6">
      <t>スウチ</t>
    </rPh>
    <rPh sb="7" eb="9">
      <t>セイスウ</t>
    </rPh>
    <rPh sb="9" eb="10">
      <t>カ</t>
    </rPh>
    <rPh sb="14" eb="16">
      <t>コウモク</t>
    </rPh>
    <rPh sb="24" eb="26">
      <t>セイスウ</t>
    </rPh>
    <rPh sb="29" eb="31">
      <t>コウモク</t>
    </rPh>
    <rPh sb="38" eb="41">
      <t>ショウスウテン</t>
    </rPh>
    <rPh sb="41" eb="42">
      <t>ダイ</t>
    </rPh>
    <rPh sb="43" eb="44">
      <t>イ</t>
    </rPh>
    <rPh sb="47" eb="49">
      <t>ヒョウジ</t>
    </rPh>
    <rPh sb="50" eb="52">
      <t>コウモク</t>
    </rPh>
    <rPh sb="68" eb="70">
      <t>ヒョウジ</t>
    </rPh>
    <rPh sb="71" eb="73">
      <t>コウモク</t>
    </rPh>
    <rPh sb="76" eb="77">
      <t>ジョウ</t>
    </rPh>
    <rPh sb="79" eb="81">
      <t>サンシュツ</t>
    </rPh>
    <phoneticPr fontId="2"/>
  </si>
  <si>
    <t>②整数にした数値を合計する。</t>
    <rPh sb="1" eb="3">
      <t>セイスウ</t>
    </rPh>
    <rPh sb="6" eb="8">
      <t>スウチ</t>
    </rPh>
    <rPh sb="9" eb="11">
      <t>ゴウケイ</t>
    </rPh>
    <phoneticPr fontId="2"/>
  </si>
  <si>
    <t>③総和（チェック・サム）</t>
    <rPh sb="1" eb="3">
      <t>ソウワ</t>
    </rPh>
    <phoneticPr fontId="2"/>
  </si>
  <si>
    <t>遅・早・
欠勤</t>
    <phoneticPr fontId="2"/>
  </si>
  <si>
    <t>通常日/休日（土曜・祝日）</t>
    <phoneticPr fontId="2"/>
  </si>
  <si>
    <t>作番1</t>
    <phoneticPr fontId="2"/>
  </si>
  <si>
    <t>（作番）
時間1</t>
    <phoneticPr fontId="2"/>
  </si>
  <si>
    <t>（作番）
時間2</t>
    <phoneticPr fontId="2"/>
  </si>
  <si>
    <t>（作番）
時間3</t>
    <phoneticPr fontId="2"/>
  </si>
  <si>
    <t>（作番）
時間4</t>
    <phoneticPr fontId="2"/>
  </si>
  <si>
    <t>（作番）
時間5</t>
    <phoneticPr fontId="2"/>
  </si>
  <si>
    <t>整数値</t>
    <rPh sb="0" eb="2">
      <t>セイスウ</t>
    </rPh>
    <rPh sb="2" eb="3">
      <t>アタイ</t>
    </rPh>
    <phoneticPr fontId="2"/>
  </si>
  <si>
    <t>小数点第１位まで表示</t>
    <rPh sb="0" eb="3">
      <t>ショウスウテン</t>
    </rPh>
    <rPh sb="3" eb="4">
      <t>ダイ</t>
    </rPh>
    <rPh sb="5" eb="6">
      <t>イ</t>
    </rPh>
    <rPh sb="8" eb="10">
      <t>ヒョウジ</t>
    </rPh>
    <phoneticPr fontId="2"/>
  </si>
  <si>
    <t>小数点第２位まで表示</t>
    <phoneticPr fontId="2"/>
  </si>
  <si>
    <t>小数点第２位まで表示</t>
    <phoneticPr fontId="2"/>
  </si>
  <si>
    <t>小数点なし項目×１</t>
    <rPh sb="0" eb="3">
      <t>ショウスウテン</t>
    </rPh>
    <rPh sb="5" eb="7">
      <t>コウモク</t>
    </rPh>
    <phoneticPr fontId="2"/>
  </si>
  <si>
    <t>×</t>
    <phoneticPr fontId="2"/>
  </si>
  <si>
    <t>①整数値化</t>
    <rPh sb="1" eb="3">
      <t>セイスウ</t>
    </rPh>
    <rPh sb="3" eb="4">
      <t>チ</t>
    </rPh>
    <rPh sb="4" eb="5">
      <t>カ</t>
    </rPh>
    <phoneticPr fontId="2"/>
  </si>
  <si>
    <t>小数点第１位表示項目×１０</t>
    <rPh sb="0" eb="3">
      <t>ショウスウテン</t>
    </rPh>
    <rPh sb="3" eb="4">
      <t>ダイ</t>
    </rPh>
    <rPh sb="5" eb="6">
      <t>クライ</t>
    </rPh>
    <rPh sb="6" eb="8">
      <t>ヒョウジ</t>
    </rPh>
    <rPh sb="8" eb="10">
      <t>コウモク</t>
    </rPh>
    <phoneticPr fontId="2"/>
  </si>
  <si>
    <t>小数点第2位表示項目×１００</t>
    <rPh sb="0" eb="3">
      <t>ショウスウテン</t>
    </rPh>
    <rPh sb="3" eb="4">
      <t>ダイ</t>
    </rPh>
    <rPh sb="5" eb="6">
      <t>クライ</t>
    </rPh>
    <rPh sb="6" eb="8">
      <t>ヒョウジ</t>
    </rPh>
    <rPh sb="8" eb="10">
      <t>コウモク</t>
    </rPh>
    <phoneticPr fontId="2"/>
  </si>
  <si>
    <t>↓</t>
    <phoneticPr fontId="2"/>
  </si>
  <si>
    <t>②SUM（総和）</t>
    <rPh sb="5" eb="7">
      <t>ソウワ</t>
    </rPh>
    <phoneticPr fontId="2"/>
  </si>
  <si>
    <t>⇒</t>
    <phoneticPr fontId="2"/>
  </si>
  <si>
    <t>＋</t>
    <phoneticPr fontId="2"/>
  </si>
  <si>
    <t>＝</t>
    <phoneticPr fontId="2"/>
  </si>
  <si>
    <t>③チェックサム</t>
    <phoneticPr fontId="2"/>
  </si>
  <si>
    <t>　</t>
    <phoneticPr fontId="2"/>
  </si>
  <si>
    <t>※集計結果修正用　下記の値を入力するとそのまま上記の集計結果に反映されます。 集計結果が異なる場合等にお使い下さい。</t>
    <rPh sb="1" eb="3">
      <t>シュウケイ</t>
    </rPh>
    <rPh sb="3" eb="5">
      <t>ケッカ</t>
    </rPh>
    <rPh sb="5" eb="7">
      <t>シュウセイ</t>
    </rPh>
    <rPh sb="7" eb="8">
      <t>ヨウ</t>
    </rPh>
    <rPh sb="9" eb="11">
      <t>カキ</t>
    </rPh>
    <rPh sb="12" eb="13">
      <t>アタイ</t>
    </rPh>
    <rPh sb="14" eb="16">
      <t>ニュウリョク</t>
    </rPh>
    <rPh sb="23" eb="25">
      <t>ジョウキ</t>
    </rPh>
    <rPh sb="26" eb="28">
      <t>シュウケイ</t>
    </rPh>
    <rPh sb="28" eb="30">
      <t>ケッカ</t>
    </rPh>
    <rPh sb="31" eb="33">
      <t>ハンエイ</t>
    </rPh>
    <phoneticPr fontId="2"/>
  </si>
  <si>
    <t>2004年度版新規フォーマット変更に伴う修正。</t>
    <rPh sb="4" eb="6">
      <t>ネンド</t>
    </rPh>
    <rPh sb="6" eb="7">
      <t>バン</t>
    </rPh>
    <rPh sb="7" eb="9">
      <t>シンキ</t>
    </rPh>
    <rPh sb="15" eb="17">
      <t>ヘンコウ</t>
    </rPh>
    <rPh sb="18" eb="19">
      <t>トモナ</t>
    </rPh>
    <rPh sb="20" eb="22">
      <t>シュウセイ</t>
    </rPh>
    <phoneticPr fontId="2"/>
  </si>
  <si>
    <t>パートナーさん用の入力不要項目対応</t>
    <rPh sb="7" eb="8">
      <t>ヨウ</t>
    </rPh>
    <rPh sb="9" eb="11">
      <t>ニュウリョク</t>
    </rPh>
    <rPh sb="11" eb="13">
      <t>フヨウ</t>
    </rPh>
    <rPh sb="13" eb="15">
      <t>コウモク</t>
    </rPh>
    <rPh sb="15" eb="17">
      <t>タイオウ</t>
    </rPh>
    <phoneticPr fontId="2"/>
  </si>
  <si>
    <t>17:35</t>
    <phoneticPr fontId="2"/>
  </si>
  <si>
    <t>18:20</t>
    <phoneticPr fontId="2"/>
  </si>
  <si>
    <t>18:35</t>
    <phoneticPr fontId="2"/>
  </si>
  <si>
    <t>19:50</t>
    <phoneticPr fontId="2"/>
  </si>
  <si>
    <t>18:50</t>
    <phoneticPr fontId="2"/>
  </si>
  <si>
    <t>19:05</t>
    <phoneticPr fontId="2"/>
  </si>
  <si>
    <t>19:20</t>
    <phoneticPr fontId="2"/>
  </si>
  <si>
    <t>19:35</t>
    <phoneticPr fontId="2"/>
  </si>
  <si>
    <t>20:05</t>
    <phoneticPr fontId="2"/>
  </si>
  <si>
    <t>20:20</t>
    <phoneticPr fontId="2"/>
  </si>
  <si>
    <t>20:35</t>
    <phoneticPr fontId="2"/>
  </si>
  <si>
    <t>20:50</t>
    <phoneticPr fontId="2"/>
  </si>
  <si>
    <t>21:05</t>
    <phoneticPr fontId="2"/>
  </si>
  <si>
    <t>21:20</t>
    <phoneticPr fontId="2"/>
  </si>
  <si>
    <t>21:35</t>
    <phoneticPr fontId="2"/>
  </si>
  <si>
    <t>21:50</t>
    <phoneticPr fontId="2"/>
  </si>
  <si>
    <t>22:00</t>
    <phoneticPr fontId="2"/>
  </si>
  <si>
    <t>combo12</t>
    <phoneticPr fontId="2"/>
  </si>
  <si>
    <t>combo13</t>
    <phoneticPr fontId="2"/>
  </si>
  <si>
    <t>作番5</t>
    <rPh sb="0" eb="1">
      <t>サク</t>
    </rPh>
    <rPh sb="1" eb="2">
      <t>バン</t>
    </rPh>
    <phoneticPr fontId="2"/>
  </si>
  <si>
    <t>予備１</t>
    <rPh sb="0" eb="2">
      <t>ヨビ</t>
    </rPh>
    <phoneticPr fontId="2"/>
  </si>
  <si>
    <t>TextBox7</t>
    <phoneticPr fontId="2"/>
  </si>
  <si>
    <t>作番５の時間（分）</t>
    <rPh sb="0" eb="1">
      <t>サク</t>
    </rPh>
    <rPh sb="1" eb="2">
      <t>バン</t>
    </rPh>
    <rPh sb="4" eb="6">
      <t>ジカン</t>
    </rPh>
    <rPh sb="7" eb="8">
      <t>フン</t>
    </rPh>
    <phoneticPr fontId="2"/>
  </si>
  <si>
    <t>１０：００開始</t>
    <rPh sb="5" eb="7">
      <t>カイシ</t>
    </rPh>
    <phoneticPr fontId="2"/>
  </si>
  <si>
    <t>９：４５開始</t>
    <rPh sb="4" eb="6">
      <t>カイシ</t>
    </rPh>
    <phoneticPr fontId="2"/>
  </si>
  <si>
    <t>８：５０開始</t>
    <rPh sb="4" eb="6">
      <t>カイシ</t>
    </rPh>
    <phoneticPr fontId="2"/>
  </si>
  <si>
    <t>年</t>
    <phoneticPr fontId="2"/>
  </si>
  <si>
    <t>合計</t>
    <rPh sb="0" eb="2">
      <t>ゴウケイ</t>
    </rPh>
    <phoneticPr fontId="2"/>
  </si>
  <si>
    <t>（H：M）</t>
    <phoneticPr fontId="24"/>
  </si>
  <si>
    <t>生休等の欠務時間あり時の終日Or時間指定（０終日、１時間指定）</t>
    <rPh sb="0" eb="2">
      <t>セイキュウ</t>
    </rPh>
    <rPh sb="2" eb="3">
      <t>トウ</t>
    </rPh>
    <rPh sb="4" eb="5">
      <t>ケツ</t>
    </rPh>
    <rPh sb="5" eb="6">
      <t>ム</t>
    </rPh>
    <rPh sb="6" eb="8">
      <t>ジカン</t>
    </rPh>
    <rPh sb="10" eb="11">
      <t>ジ</t>
    </rPh>
    <rPh sb="12" eb="14">
      <t>シュウジツ</t>
    </rPh>
    <rPh sb="16" eb="18">
      <t>ジカン</t>
    </rPh>
    <rPh sb="18" eb="20">
      <t>シテイ</t>
    </rPh>
    <rPh sb="22" eb="24">
      <t>シュウジツ</t>
    </rPh>
    <rPh sb="26" eb="28">
      <t>ジカン</t>
    </rPh>
    <rPh sb="28" eb="30">
      <t>シテイ</t>
    </rPh>
    <phoneticPr fontId="2"/>
  </si>
  <si>
    <t>生休・育短・介短が終日取得する入力方法が無い不具合に対応</t>
    <rPh sb="0" eb="2">
      <t>セイキュウ</t>
    </rPh>
    <rPh sb="3" eb="4">
      <t>イク</t>
    </rPh>
    <rPh sb="4" eb="5">
      <t>タン</t>
    </rPh>
    <rPh sb="6" eb="7">
      <t>スケ</t>
    </rPh>
    <rPh sb="7" eb="8">
      <t>タン</t>
    </rPh>
    <rPh sb="9" eb="11">
      <t>シュウジツ</t>
    </rPh>
    <rPh sb="11" eb="13">
      <t>シュトク</t>
    </rPh>
    <rPh sb="15" eb="17">
      <t>ニュウリョク</t>
    </rPh>
    <rPh sb="17" eb="19">
      <t>ホウホウ</t>
    </rPh>
    <rPh sb="20" eb="21">
      <t>ナ</t>
    </rPh>
    <rPh sb="22" eb="25">
      <t>フグアイ</t>
    </rPh>
    <rPh sb="26" eb="28">
      <t>タイオウ</t>
    </rPh>
    <phoneticPr fontId="2"/>
  </si>
  <si>
    <t>夜勤がカウントされない不具合に対応</t>
    <rPh sb="0" eb="2">
      <t>ヤキン</t>
    </rPh>
    <rPh sb="11" eb="14">
      <t>フグアイ</t>
    </rPh>
    <rPh sb="15" eb="17">
      <t>タイオウ</t>
    </rPh>
    <phoneticPr fontId="2"/>
  </si>
  <si>
    <t>チェックサムに永年休暇が加算されていない不具合に対応</t>
    <rPh sb="7" eb="9">
      <t>エイネン</t>
    </rPh>
    <rPh sb="9" eb="11">
      <t>キュウカ</t>
    </rPh>
    <rPh sb="12" eb="14">
      <t>カサン</t>
    </rPh>
    <rPh sb="20" eb="23">
      <t>フグアイ</t>
    </rPh>
    <rPh sb="24" eb="26">
      <t>タイオウ</t>
    </rPh>
    <phoneticPr fontId="2"/>
  </si>
  <si>
    <t>チェックサムが９桁を超えた場合の下９桁で出力するように修正</t>
    <rPh sb="8" eb="9">
      <t>ケタ</t>
    </rPh>
    <rPh sb="10" eb="11">
      <t>コ</t>
    </rPh>
    <rPh sb="13" eb="15">
      <t>バアイ</t>
    </rPh>
    <rPh sb="16" eb="17">
      <t>シモ</t>
    </rPh>
    <rPh sb="18" eb="19">
      <t>ケタ</t>
    </rPh>
    <rPh sb="20" eb="22">
      <t>シュツリョク</t>
    </rPh>
    <rPh sb="27" eb="29">
      <t>シュウセイ</t>
    </rPh>
    <phoneticPr fontId="2"/>
  </si>
  <si>
    <t>３６協定４５H/７０Hの自動計算対応</t>
    <rPh sb="2" eb="4">
      <t>キョウテイ</t>
    </rPh>
    <rPh sb="12" eb="14">
      <t>ジドウ</t>
    </rPh>
    <rPh sb="14" eb="16">
      <t>ケイサン</t>
    </rPh>
    <rPh sb="16" eb="18">
      <t>タイオウ</t>
    </rPh>
    <phoneticPr fontId="2"/>
  </si>
  <si>
    <t>前月までの実績（時間外・休暇・遅・早・欠）の自動計算に対応</t>
    <rPh sb="0" eb="2">
      <t>ゼンゲツ</t>
    </rPh>
    <rPh sb="5" eb="7">
      <t>ジッセキ</t>
    </rPh>
    <rPh sb="8" eb="11">
      <t>ジカンガイ</t>
    </rPh>
    <rPh sb="12" eb="14">
      <t>キュウカ</t>
    </rPh>
    <rPh sb="15" eb="16">
      <t>チ</t>
    </rPh>
    <rPh sb="17" eb="18">
      <t>ハヤ</t>
    </rPh>
    <rPh sb="19" eb="20">
      <t>ケツ</t>
    </rPh>
    <rPh sb="22" eb="24">
      <t>ジドウ</t>
    </rPh>
    <rPh sb="24" eb="26">
      <t>ケイサン</t>
    </rPh>
    <rPh sb="27" eb="29">
      <t>タイオウ</t>
    </rPh>
    <phoneticPr fontId="2"/>
  </si>
  <si>
    <t>作番の５列目を入力可能にする対応</t>
    <rPh sb="0" eb="1">
      <t>サク</t>
    </rPh>
    <rPh sb="1" eb="2">
      <t>バン</t>
    </rPh>
    <rPh sb="4" eb="5">
      <t>レツ</t>
    </rPh>
    <rPh sb="5" eb="6">
      <t>メ</t>
    </rPh>
    <rPh sb="7" eb="9">
      <t>ニュウリョク</t>
    </rPh>
    <rPh sb="9" eb="11">
      <t>カノウ</t>
    </rPh>
    <rPh sb="14" eb="16">
      <t>タイオウ</t>
    </rPh>
    <phoneticPr fontId="2"/>
  </si>
  <si>
    <t>パートナーさんの場合のチェックサムが正しく計算されない不具合に対応</t>
    <rPh sb="8" eb="10">
      <t>バアイ</t>
    </rPh>
    <rPh sb="18" eb="19">
      <t>タダ</t>
    </rPh>
    <rPh sb="21" eb="23">
      <t>ケイサン</t>
    </rPh>
    <rPh sb="27" eb="30">
      <t>フグアイ</t>
    </rPh>
    <rPh sb="31" eb="33">
      <t>タイオウ</t>
    </rPh>
    <phoneticPr fontId="2"/>
  </si>
  <si>
    <t>育・介
短勤欠務（分）</t>
    <rPh sb="0" eb="1">
      <t>イク</t>
    </rPh>
    <rPh sb="2" eb="3">
      <t>スケ</t>
    </rPh>
    <rPh sb="4" eb="5">
      <t>タン</t>
    </rPh>
    <rPh sb="5" eb="6">
      <t>ツトム</t>
    </rPh>
    <rPh sb="6" eb="7">
      <t>ケツ</t>
    </rPh>
    <rPh sb="7" eb="8">
      <t>ツトム</t>
    </rPh>
    <rPh sb="9" eb="10">
      <t>フン</t>
    </rPh>
    <phoneticPr fontId="2"/>
  </si>
  <si>
    <t>生休欠務（分）</t>
    <rPh sb="0" eb="2">
      <t>セイキュウ</t>
    </rPh>
    <rPh sb="2" eb="3">
      <t>ケツ</t>
    </rPh>
    <rPh sb="3" eb="4">
      <t>ム</t>
    </rPh>
    <rPh sb="5" eb="6">
      <t>フン</t>
    </rPh>
    <phoneticPr fontId="2"/>
  </si>
  <si>
    <t>平日全てに一括入力追加</t>
    <rPh sb="0" eb="2">
      <t>ヘイジツ</t>
    </rPh>
    <rPh sb="2" eb="3">
      <t>スベ</t>
    </rPh>
    <rPh sb="5" eb="7">
      <t>イッカツ</t>
    </rPh>
    <rPh sb="7" eb="9">
      <t>ニュウリョク</t>
    </rPh>
    <rPh sb="9" eb="11">
      <t>ツイカ</t>
    </rPh>
    <phoneticPr fontId="2"/>
  </si>
  <si>
    <t>勤務時間入力のコンボボックス表示値をタイムテーブルから動的に取得するように変更</t>
    <rPh sb="0" eb="2">
      <t>キンム</t>
    </rPh>
    <rPh sb="2" eb="4">
      <t>ジカン</t>
    </rPh>
    <rPh sb="4" eb="6">
      <t>ニュウリョク</t>
    </rPh>
    <rPh sb="14" eb="16">
      <t>ヒョウジ</t>
    </rPh>
    <rPh sb="16" eb="17">
      <t>チ</t>
    </rPh>
    <rPh sb="27" eb="29">
      <t>ドウテキ</t>
    </rPh>
    <rPh sb="30" eb="32">
      <t>シュトク</t>
    </rPh>
    <rPh sb="37" eb="39">
      <t>ヘンコウ</t>
    </rPh>
    <phoneticPr fontId="2"/>
  </si>
  <si>
    <t>午前半休</t>
    <rPh sb="0" eb="2">
      <t>ゴゼン</t>
    </rPh>
    <rPh sb="2" eb="4">
      <t>ハンキュウ</t>
    </rPh>
    <phoneticPr fontId="2"/>
  </si>
  <si>
    <t>午後半休</t>
    <rPh sb="0" eb="2">
      <t>ゴゴ</t>
    </rPh>
    <rPh sb="2" eb="4">
      <t>ハンキュウ</t>
    </rPh>
    <phoneticPr fontId="2"/>
  </si>
  <si>
    <t>勤務状況</t>
    <rPh sb="0" eb="2">
      <t>キンム</t>
    </rPh>
    <rPh sb="2" eb="4">
      <t>ジョウキョウ</t>
    </rPh>
    <phoneticPr fontId="2"/>
  </si>
  <si>
    <t>作業開始時間</t>
    <rPh sb="0" eb="2">
      <t>サギョウ</t>
    </rPh>
    <rPh sb="2" eb="4">
      <t>カイシ</t>
    </rPh>
    <rPh sb="4" eb="6">
      <t>ジカン</t>
    </rPh>
    <phoneticPr fontId="2"/>
  </si>
  <si>
    <t>予備</t>
    <rPh sb="0" eb="2">
      <t>ヨビ</t>
    </rPh>
    <phoneticPr fontId="2"/>
  </si>
  <si>
    <t>タイムテーブル名</t>
    <phoneticPr fontId="2"/>
  </si>
  <si>
    <t>半休</t>
    <rPh sb="0" eb="2">
      <t>ハンキュウ</t>
    </rPh>
    <phoneticPr fontId="2"/>
  </si>
  <si>
    <t>特休</t>
    <rPh sb="0" eb="2">
      <t>トッキュウ</t>
    </rPh>
    <phoneticPr fontId="2"/>
  </si>
  <si>
    <t>作業終了時間</t>
    <rPh sb="0" eb="2">
      <t>サギョウ</t>
    </rPh>
    <rPh sb="2" eb="4">
      <t>シュウリョウ</t>
    </rPh>
    <rPh sb="4" eb="6">
      <t>ジカン</t>
    </rPh>
    <phoneticPr fontId="2"/>
  </si>
  <si>
    <t>一括入力フラグ</t>
    <rPh sb="0" eb="2">
      <t>イッカツ</t>
    </rPh>
    <rPh sb="2" eb="4">
      <t>ニュウリョク</t>
    </rPh>
    <phoneticPr fontId="2"/>
  </si>
  <si>
    <t>法休出</t>
    <rPh sb="0" eb="1">
      <t>ホウ</t>
    </rPh>
    <rPh sb="1" eb="3">
      <t>キュウシュツ</t>
    </rPh>
    <phoneticPr fontId="2"/>
  </si>
  <si>
    <t>休出</t>
    <rPh sb="0" eb="2">
      <t>キュウシュツ</t>
    </rPh>
    <phoneticPr fontId="2"/>
  </si>
  <si>
    <t>勤務形態を変更したい。</t>
    <rPh sb="0" eb="2">
      <t>キンム</t>
    </rPh>
    <rPh sb="2" eb="4">
      <t>ケイタイ</t>
    </rPh>
    <rPh sb="5" eb="7">
      <t>ヘンコウ</t>
    </rPh>
    <phoneticPr fontId="2"/>
  </si>
  <si>
    <t>法休出に設定した場合には通常勤務時間を法休出勤務時間と読み替え、深夜残業を</t>
    <rPh sb="0" eb="1">
      <t>ホウ</t>
    </rPh>
    <rPh sb="1" eb="3">
      <t>キュウシュツ</t>
    </rPh>
    <rPh sb="4" eb="6">
      <t>セッテイ</t>
    </rPh>
    <rPh sb="8" eb="10">
      <t>バアイ</t>
    </rPh>
    <rPh sb="12" eb="14">
      <t>ツウジョウ</t>
    </rPh>
    <rPh sb="14" eb="16">
      <t>キンム</t>
    </rPh>
    <rPh sb="16" eb="18">
      <t>ジカン</t>
    </rPh>
    <rPh sb="19" eb="20">
      <t>ホウ</t>
    </rPh>
    <rPh sb="20" eb="22">
      <t>キュウシュツ</t>
    </rPh>
    <rPh sb="22" eb="24">
      <t>キンム</t>
    </rPh>
    <rPh sb="24" eb="26">
      <t>ジカン</t>
    </rPh>
    <rPh sb="27" eb="28">
      <t>ヨ</t>
    </rPh>
    <rPh sb="29" eb="30">
      <t>カ</t>
    </rPh>
    <rPh sb="32" eb="34">
      <t>シンヤ</t>
    </rPh>
    <rPh sb="34" eb="36">
      <t>ザンギョウ</t>
    </rPh>
    <phoneticPr fontId="2"/>
  </si>
  <si>
    <t>法休出深夜残業に読み替えます。</t>
    <rPh sb="0" eb="1">
      <t>ホウ</t>
    </rPh>
    <rPh sb="1" eb="3">
      <t>キュウシュツ</t>
    </rPh>
    <rPh sb="3" eb="5">
      <t>シンヤ</t>
    </rPh>
    <rPh sb="5" eb="7">
      <t>ザンギョウ</t>
    </rPh>
    <rPh sb="8" eb="9">
      <t>ヨ</t>
    </rPh>
    <rPh sb="10" eb="11">
      <t>カ</t>
    </rPh>
    <phoneticPr fontId="2"/>
  </si>
  <si>
    <t>勤務状況が休出に設定した場合にはタイムテーブルの通常勤務時間を残業と読み替えます。</t>
    <rPh sb="0" eb="2">
      <t>キンム</t>
    </rPh>
    <rPh sb="2" eb="4">
      <t>ジョウキョウ</t>
    </rPh>
    <rPh sb="5" eb="7">
      <t>キュウシュツ</t>
    </rPh>
    <rPh sb="8" eb="10">
      <t>セッテイ</t>
    </rPh>
    <rPh sb="12" eb="14">
      <t>バアイ</t>
    </rPh>
    <rPh sb="24" eb="26">
      <t>ツウジョウ</t>
    </rPh>
    <rPh sb="26" eb="28">
      <t>キンム</t>
    </rPh>
    <rPh sb="28" eb="30">
      <t>ジカン</t>
    </rPh>
    <rPh sb="31" eb="33">
      <t>ザンギョウ</t>
    </rPh>
    <rPh sb="34" eb="35">
      <t>ヨ</t>
    </rPh>
    <rPh sb="36" eb="37">
      <t>カ</t>
    </rPh>
    <phoneticPr fontId="2"/>
  </si>
  <si>
    <t>ただし、振り替え休日を取得した場合や、勤務状況毎の設定に代替えタイムテーブルを設定した場合には、</t>
    <rPh sb="4" eb="5">
      <t>フ</t>
    </rPh>
    <rPh sb="6" eb="7">
      <t>カ</t>
    </rPh>
    <rPh sb="8" eb="10">
      <t>キュウジツ</t>
    </rPh>
    <rPh sb="11" eb="13">
      <t>シュトク</t>
    </rPh>
    <rPh sb="15" eb="17">
      <t>バアイ</t>
    </rPh>
    <rPh sb="19" eb="21">
      <t>キンム</t>
    </rPh>
    <rPh sb="21" eb="23">
      <t>ジョウキョウ</t>
    </rPh>
    <rPh sb="23" eb="24">
      <t>ゴト</t>
    </rPh>
    <rPh sb="25" eb="27">
      <t>セッテイ</t>
    </rPh>
    <rPh sb="28" eb="29">
      <t>ダイ</t>
    </rPh>
    <rPh sb="29" eb="30">
      <t>カ</t>
    </rPh>
    <rPh sb="39" eb="41">
      <t>セッテイ</t>
    </rPh>
    <rPh sb="43" eb="45">
      <t>バアイ</t>
    </rPh>
    <phoneticPr fontId="2"/>
  </si>
  <si>
    <t>読み替えを行いません。</t>
    <phoneticPr fontId="2"/>
  </si>
  <si>
    <t>勤務状況毎に作業開始時間、終了時間を変更できるように　タイムテーブルを修正。</t>
    <rPh sb="0" eb="2">
      <t>キンム</t>
    </rPh>
    <rPh sb="2" eb="4">
      <t>ジョウキョウ</t>
    </rPh>
    <rPh sb="4" eb="5">
      <t>ゴト</t>
    </rPh>
    <rPh sb="6" eb="8">
      <t>サギョウ</t>
    </rPh>
    <rPh sb="8" eb="10">
      <t>カイシ</t>
    </rPh>
    <rPh sb="10" eb="12">
      <t>ジカン</t>
    </rPh>
    <rPh sb="13" eb="15">
      <t>シュウリョウ</t>
    </rPh>
    <rPh sb="15" eb="17">
      <t>ジカン</t>
    </rPh>
    <rPh sb="18" eb="20">
      <t>ヘンコウ</t>
    </rPh>
    <rPh sb="35" eb="37">
      <t>シュウセイ</t>
    </rPh>
    <phoneticPr fontId="2"/>
  </si>
  <si>
    <t>勤務状況毎に代替えタイムテーブル機能も追加</t>
    <rPh sb="6" eb="7">
      <t>ダイ</t>
    </rPh>
    <rPh sb="7" eb="8">
      <t>カ</t>
    </rPh>
    <rPh sb="16" eb="18">
      <t>キノウ</t>
    </rPh>
    <rPh sb="19" eb="21">
      <t>ツイカ</t>
    </rPh>
    <phoneticPr fontId="2"/>
  </si>
  <si>
    <t>AM半休（突休） ８：５０開始</t>
    <rPh sb="2" eb="4">
      <t>ハンキュウ</t>
    </rPh>
    <rPh sb="5" eb="6">
      <t>トツ</t>
    </rPh>
    <rPh sb="6" eb="7">
      <t>キュウ</t>
    </rPh>
    <rPh sb="13" eb="15">
      <t>カイシ</t>
    </rPh>
    <phoneticPr fontId="2"/>
  </si>
  <si>
    <t>デフォルト作番</t>
    <rPh sb="5" eb="6">
      <t>サク</t>
    </rPh>
    <rPh sb="6" eb="7">
      <t>バン</t>
    </rPh>
    <phoneticPr fontId="2"/>
  </si>
  <si>
    <t>デフォルトタイムテーブル</t>
    <phoneticPr fontId="2"/>
  </si>
  <si>
    <t>作番入力チェック</t>
    <rPh sb="0" eb="1">
      <t>サク</t>
    </rPh>
    <rPh sb="1" eb="2">
      <t>バン</t>
    </rPh>
    <rPh sb="2" eb="4">
      <t>ニュウリョク</t>
    </rPh>
    <phoneticPr fontId="2"/>
  </si>
  <si>
    <t>年休</t>
    <rPh sb="0" eb="2">
      <t>ネンキュウ</t>
    </rPh>
    <phoneticPr fontId="2"/>
  </si>
  <si>
    <t>「有休」を「年休」に変更</t>
    <rPh sb="1" eb="3">
      <t>ユウキュウ</t>
    </rPh>
    <rPh sb="6" eb="8">
      <t>ネンキュウ</t>
    </rPh>
    <rPh sb="10" eb="12">
      <t>ヘンコウ</t>
    </rPh>
    <phoneticPr fontId="2"/>
  </si>
  <si>
    <t>詳細設定にタイムテーブルと入力作番の初期値設定を追加</t>
    <rPh sb="0" eb="2">
      <t>ショウサイ</t>
    </rPh>
    <rPh sb="2" eb="4">
      <t>セッテイ</t>
    </rPh>
    <rPh sb="13" eb="15">
      <t>ニュウリョク</t>
    </rPh>
    <rPh sb="15" eb="16">
      <t>サク</t>
    </rPh>
    <rPh sb="16" eb="17">
      <t>バン</t>
    </rPh>
    <rPh sb="18" eb="21">
      <t>ショキチ</t>
    </rPh>
    <rPh sb="21" eb="23">
      <t>セッテイ</t>
    </rPh>
    <rPh sb="24" eb="26">
      <t>ツイカ</t>
    </rPh>
    <phoneticPr fontId="2"/>
  </si>
  <si>
    <t>シート（勤務報告書）の上部にある”西暦？？？？年？？月分”の表示をダブルクリックすると、</t>
    <rPh sb="4" eb="6">
      <t>キンム</t>
    </rPh>
    <rPh sb="6" eb="9">
      <t>ホウコクショ</t>
    </rPh>
    <rPh sb="11" eb="13">
      <t>ジョウブ</t>
    </rPh>
    <rPh sb="17" eb="19">
      <t>セイレキ</t>
    </rPh>
    <rPh sb="23" eb="24">
      <t>ネン</t>
    </rPh>
    <rPh sb="26" eb="27">
      <t>ガツ</t>
    </rPh>
    <rPh sb="27" eb="28">
      <t>ブン</t>
    </rPh>
    <rPh sb="30" eb="32">
      <t>ヒョウジ</t>
    </rPh>
    <phoneticPr fontId="2"/>
  </si>
  <si>
    <t>「次の月へ」ボタンを追加。</t>
    <rPh sb="1" eb="2">
      <t>ツギ</t>
    </rPh>
    <rPh sb="3" eb="4">
      <t>ツキ</t>
    </rPh>
    <rPh sb="10" eb="12">
      <t>ツイカ</t>
    </rPh>
    <phoneticPr fontId="2"/>
  </si>
  <si>
    <t>Question 9</t>
    <phoneticPr fontId="2"/>
  </si>
  <si>
    <t>チェックサムの値が赤く表示されている。</t>
    <rPh sb="7" eb="8">
      <t>アタイ</t>
    </rPh>
    <rPh sb="9" eb="10">
      <t>アカ</t>
    </rPh>
    <rPh sb="11" eb="13">
      <t>ヒョウジ</t>
    </rPh>
    <phoneticPr fontId="2"/>
  </si>
  <si>
    <t>作業時間のある作番には全て作番を入力する必要があります。</t>
    <rPh sb="0" eb="2">
      <t>サギョウ</t>
    </rPh>
    <rPh sb="2" eb="4">
      <t>ジカン</t>
    </rPh>
    <rPh sb="7" eb="8">
      <t>サク</t>
    </rPh>
    <rPh sb="8" eb="9">
      <t>バン</t>
    </rPh>
    <rPh sb="11" eb="12">
      <t>スベ</t>
    </rPh>
    <rPh sb="13" eb="14">
      <t>サク</t>
    </rPh>
    <rPh sb="14" eb="15">
      <t>バン</t>
    </rPh>
    <rPh sb="16" eb="18">
      <t>ニュウリョク</t>
    </rPh>
    <rPh sb="20" eb="22">
      <t>ヒツヨウ</t>
    </rPh>
    <phoneticPr fontId="2"/>
  </si>
  <si>
    <t>未入力の作番があった場合や、作業時間の無い作番が記入されている</t>
    <rPh sb="0" eb="3">
      <t>ミニュウリョク</t>
    </rPh>
    <rPh sb="4" eb="5">
      <t>サク</t>
    </rPh>
    <rPh sb="5" eb="6">
      <t>バン</t>
    </rPh>
    <rPh sb="10" eb="12">
      <t>バアイ</t>
    </rPh>
    <rPh sb="14" eb="16">
      <t>サギョウ</t>
    </rPh>
    <rPh sb="16" eb="18">
      <t>ジカン</t>
    </rPh>
    <rPh sb="19" eb="20">
      <t>ナ</t>
    </rPh>
    <rPh sb="21" eb="22">
      <t>サク</t>
    </rPh>
    <rPh sb="22" eb="23">
      <t>バン</t>
    </rPh>
    <rPh sb="24" eb="26">
      <t>キニュウ</t>
    </rPh>
    <phoneticPr fontId="2"/>
  </si>
  <si>
    <t>場合にはチェックサムを赤く表示して警告しています。</t>
    <rPh sb="0" eb="2">
      <t>バアイ</t>
    </rPh>
    <rPh sb="11" eb="12">
      <t>アカ</t>
    </rPh>
    <rPh sb="13" eb="15">
      <t>ヒョウジ</t>
    </rPh>
    <rPh sb="17" eb="19">
      <t>ケイコク</t>
    </rPh>
    <phoneticPr fontId="2"/>
  </si>
  <si>
    <t>Question10</t>
    <phoneticPr fontId="2"/>
  </si>
  <si>
    <t>「次の月へ」ボタンを使うと自動的に記入されます。</t>
    <rPh sb="1" eb="2">
      <t>ツギ</t>
    </rPh>
    <rPh sb="3" eb="4">
      <t>ツキ</t>
    </rPh>
    <rPh sb="10" eb="11">
      <t>ツカ</t>
    </rPh>
    <rPh sb="13" eb="16">
      <t>ジドウテキ</t>
    </rPh>
    <rPh sb="17" eb="19">
      <t>キニュウ</t>
    </rPh>
    <phoneticPr fontId="2"/>
  </si>
  <si>
    <t>前月実績までの累計が自動的に記入できますか。</t>
    <rPh sb="0" eb="2">
      <t>ゼンゲツ</t>
    </rPh>
    <rPh sb="2" eb="4">
      <t>ジッセキ</t>
    </rPh>
    <rPh sb="7" eb="9">
      <t>ルイケイ</t>
    </rPh>
    <rPh sb="10" eb="13">
      <t>ジドウテキ</t>
    </rPh>
    <rPh sb="14" eb="16">
      <t>キニュウ</t>
    </rPh>
    <phoneticPr fontId="2"/>
  </si>
  <si>
    <t>休出で振休取得時の振休取得時間の設定を追加。
休出した場合は全て時間外に計上されるが、振休取得時間で指定した時間が時間外から差し引かれる。</t>
    <rPh sb="0" eb="2">
      <t>キュウシュツ</t>
    </rPh>
    <rPh sb="3" eb="4">
      <t>フ</t>
    </rPh>
    <rPh sb="4" eb="5">
      <t>キュウ</t>
    </rPh>
    <rPh sb="5" eb="7">
      <t>シュトク</t>
    </rPh>
    <rPh sb="7" eb="8">
      <t>ジ</t>
    </rPh>
    <rPh sb="9" eb="10">
      <t>フ</t>
    </rPh>
    <rPh sb="10" eb="11">
      <t>キュウ</t>
    </rPh>
    <rPh sb="11" eb="13">
      <t>シュトク</t>
    </rPh>
    <rPh sb="13" eb="15">
      <t>ジカン</t>
    </rPh>
    <rPh sb="16" eb="18">
      <t>セッテイ</t>
    </rPh>
    <rPh sb="19" eb="21">
      <t>ツイカ</t>
    </rPh>
    <rPh sb="23" eb="25">
      <t>キュウシュツ</t>
    </rPh>
    <rPh sb="27" eb="29">
      <t>バアイ</t>
    </rPh>
    <rPh sb="30" eb="31">
      <t>スベ</t>
    </rPh>
    <rPh sb="32" eb="35">
      <t>ジカンガイ</t>
    </rPh>
    <rPh sb="36" eb="38">
      <t>ケイジョウ</t>
    </rPh>
    <rPh sb="50" eb="52">
      <t>シテイ</t>
    </rPh>
    <rPh sb="54" eb="56">
      <t>ジカン</t>
    </rPh>
    <rPh sb="57" eb="60">
      <t>ジカンガイ</t>
    </rPh>
    <rPh sb="62" eb="63">
      <t>サ</t>
    </rPh>
    <rPh sb="64" eb="65">
      <t>ヒ</t>
    </rPh>
    <phoneticPr fontId="2"/>
  </si>
  <si>
    <t>勤務報告書シートに直接入力するセル全てに入力規則を追加。</t>
    <rPh sb="0" eb="2">
      <t>キンム</t>
    </rPh>
    <rPh sb="2" eb="5">
      <t>ホウコクショ</t>
    </rPh>
    <rPh sb="9" eb="11">
      <t>チョクセツ</t>
    </rPh>
    <rPh sb="11" eb="13">
      <t>ニュウリョク</t>
    </rPh>
    <rPh sb="17" eb="18">
      <t>スベ</t>
    </rPh>
    <rPh sb="20" eb="22">
      <t>ニュウリョク</t>
    </rPh>
    <rPh sb="22" eb="24">
      <t>キソク</t>
    </rPh>
    <rPh sb="25" eb="27">
      <t>ツイカ</t>
    </rPh>
    <phoneticPr fontId="2"/>
  </si>
  <si>
    <t>TextBox20</t>
    <phoneticPr fontId="2"/>
  </si>
  <si>
    <t>Question11</t>
    <phoneticPr fontId="2"/>
  </si>
  <si>
    <t>時間外勤務、深夜時間勤務を非表示にできますか。</t>
    <rPh sb="0" eb="3">
      <t>ジカンガイ</t>
    </rPh>
    <rPh sb="3" eb="5">
      <t>キンム</t>
    </rPh>
    <rPh sb="6" eb="8">
      <t>シンヤ</t>
    </rPh>
    <rPh sb="8" eb="10">
      <t>ジカン</t>
    </rPh>
    <rPh sb="10" eb="12">
      <t>キンム</t>
    </rPh>
    <rPh sb="13" eb="16">
      <t>ヒヒョウジ</t>
    </rPh>
    <phoneticPr fontId="2"/>
  </si>
  <si>
    <t>勤務報告書の右側にあるチェックボックスにチェックしてください。</t>
    <rPh sb="0" eb="2">
      <t>キンム</t>
    </rPh>
    <rPh sb="2" eb="5">
      <t>ホウコクショ</t>
    </rPh>
    <rPh sb="6" eb="8">
      <t>ミギガワ</t>
    </rPh>
    <phoneticPr fontId="2"/>
  </si>
  <si>
    <t>春分の日計算</t>
    <rPh sb="0" eb="2">
      <t>シュンブン</t>
    </rPh>
    <rPh sb="3" eb="4">
      <t>ヒ</t>
    </rPh>
    <rPh sb="4" eb="6">
      <t>ケイサン</t>
    </rPh>
    <phoneticPr fontId="2"/>
  </si>
  <si>
    <t>秋分の日計算</t>
    <rPh sb="0" eb="2">
      <t>シュウブン</t>
    </rPh>
    <rPh sb="3" eb="4">
      <t>ヒ</t>
    </rPh>
    <rPh sb="4" eb="6">
      <t>ケイサン</t>
    </rPh>
    <phoneticPr fontId="2"/>
  </si>
  <si>
    <t>管理職用に時間外勤務、深夜時間勤務非表示機能を追加。</t>
    <rPh sb="0" eb="2">
      <t>カンリ</t>
    </rPh>
    <rPh sb="2" eb="3">
      <t>ショク</t>
    </rPh>
    <rPh sb="3" eb="4">
      <t>ヨウ</t>
    </rPh>
    <rPh sb="5" eb="8">
      <t>ジカンガイ</t>
    </rPh>
    <rPh sb="8" eb="10">
      <t>キンム</t>
    </rPh>
    <rPh sb="11" eb="13">
      <t>シンヤ</t>
    </rPh>
    <rPh sb="13" eb="15">
      <t>ジカン</t>
    </rPh>
    <rPh sb="15" eb="17">
      <t>キンム</t>
    </rPh>
    <rPh sb="17" eb="20">
      <t>ヒヒョウジ</t>
    </rPh>
    <rPh sb="20" eb="22">
      <t>キノウ</t>
    </rPh>
    <rPh sb="23" eb="25">
      <t>ツイカ</t>
    </rPh>
    <phoneticPr fontId="2"/>
  </si>
  <si>
    <t>秋分、秋分の日の計算式の誤りを修正。</t>
    <rPh sb="0" eb="2">
      <t>シュウブン</t>
    </rPh>
    <rPh sb="3" eb="5">
      <t>シュウブン</t>
    </rPh>
    <rPh sb="6" eb="7">
      <t>ヒ</t>
    </rPh>
    <rPh sb="8" eb="10">
      <t>ケイサン</t>
    </rPh>
    <rPh sb="10" eb="11">
      <t>シキ</t>
    </rPh>
    <rPh sb="12" eb="13">
      <t>アヤマ</t>
    </rPh>
    <rPh sb="15" eb="17">
      <t>シュウセイ</t>
    </rPh>
    <phoneticPr fontId="2"/>
  </si>
  <si>
    <t>９：３０分開始(2)</t>
    <rPh sb="4" eb="5">
      <t>フン</t>
    </rPh>
    <rPh sb="5" eb="7">
      <t>カイシ</t>
    </rPh>
    <phoneticPr fontId="2"/>
  </si>
  <si>
    <t>提出シート作成時に作番未入力等のチェック機能追加</t>
    <rPh sb="0" eb="2">
      <t>テイシュツ</t>
    </rPh>
    <rPh sb="5" eb="7">
      <t>サクセイ</t>
    </rPh>
    <rPh sb="7" eb="8">
      <t>ジ</t>
    </rPh>
    <rPh sb="9" eb="10">
      <t>サク</t>
    </rPh>
    <rPh sb="10" eb="11">
      <t>バン</t>
    </rPh>
    <rPh sb="11" eb="14">
      <t>ミニュウリョク</t>
    </rPh>
    <rPh sb="14" eb="15">
      <t>トウ</t>
    </rPh>
    <rPh sb="20" eb="22">
      <t>キノウ</t>
    </rPh>
    <rPh sb="22" eb="24">
      <t>ツイカ</t>
    </rPh>
    <phoneticPr fontId="2"/>
  </si>
  <si>
    <t>あああ</t>
    <phoneticPr fontId="2"/>
  </si>
  <si>
    <t>社員名記入欄に「印」を追加。</t>
    <rPh sb="0" eb="2">
      <t>シャイン</t>
    </rPh>
    <rPh sb="2" eb="3">
      <t>メイ</t>
    </rPh>
    <rPh sb="3" eb="5">
      <t>キニュウ</t>
    </rPh>
    <rPh sb="5" eb="6">
      <t>ラン</t>
    </rPh>
    <rPh sb="8" eb="9">
      <t>イン</t>
    </rPh>
    <rPh sb="11" eb="13">
      <t>ツイカ</t>
    </rPh>
    <phoneticPr fontId="2"/>
  </si>
  <si>
    <t>前月までの実績（時間外・休暇・遅・早・欠）に自動記入する際に法休出の時間外が加算されていない不具合に対応。</t>
    <rPh sb="0" eb="2">
      <t>ゼンゲツ</t>
    </rPh>
    <rPh sb="5" eb="7">
      <t>ジッセキ</t>
    </rPh>
    <rPh sb="8" eb="11">
      <t>ジカンガイ</t>
    </rPh>
    <rPh sb="12" eb="14">
      <t>キュウカ</t>
    </rPh>
    <rPh sb="15" eb="16">
      <t>チ</t>
    </rPh>
    <rPh sb="17" eb="18">
      <t>ハヤ</t>
    </rPh>
    <rPh sb="19" eb="20">
      <t>ケツ</t>
    </rPh>
    <rPh sb="22" eb="24">
      <t>ジドウ</t>
    </rPh>
    <rPh sb="24" eb="26">
      <t>キニュウ</t>
    </rPh>
    <rPh sb="28" eb="29">
      <t>サイ</t>
    </rPh>
    <rPh sb="30" eb="31">
      <t>ホウ</t>
    </rPh>
    <rPh sb="31" eb="33">
      <t>キュウシュツ</t>
    </rPh>
    <rPh sb="34" eb="37">
      <t>ジカンガイ</t>
    </rPh>
    <rPh sb="38" eb="40">
      <t>カサン</t>
    </rPh>
    <rPh sb="46" eb="49">
      <t>フグアイ</t>
    </rPh>
    <rPh sb="50" eb="52">
      <t>タイオウ</t>
    </rPh>
    <phoneticPr fontId="2"/>
  </si>
  <si>
    <t>バージョン4.2で前月までの実績（時間外・休暇・遅・早・欠）に自動記入する際に法休出の時間外が加算されていない不具合に対応したが、法休出の時間外は含まれないのが正しいので修正。</t>
    <rPh sb="65" eb="66">
      <t>ホウ</t>
    </rPh>
    <rPh sb="66" eb="68">
      <t>キュウシュツ</t>
    </rPh>
    <rPh sb="69" eb="72">
      <t>ジカンガイ</t>
    </rPh>
    <rPh sb="73" eb="74">
      <t>フク</t>
    </rPh>
    <rPh sb="80" eb="81">
      <t>タダ</t>
    </rPh>
    <rPh sb="85" eb="87">
      <t>シュウセイ</t>
    </rPh>
    <phoneticPr fontId="2"/>
  </si>
  <si>
    <t>法休出時かつ、振替休日取得時の時間外が法休出に加算されていた不具合に対応。通常残業に加算する。</t>
    <rPh sb="0" eb="1">
      <t>ホウ</t>
    </rPh>
    <rPh sb="1" eb="3">
      <t>キュウシュツ</t>
    </rPh>
    <rPh sb="3" eb="4">
      <t>ジ</t>
    </rPh>
    <rPh sb="7" eb="8">
      <t>フ</t>
    </rPh>
    <rPh sb="8" eb="9">
      <t>カ</t>
    </rPh>
    <rPh sb="9" eb="11">
      <t>キュウジツ</t>
    </rPh>
    <rPh sb="11" eb="13">
      <t>シュトク</t>
    </rPh>
    <rPh sb="13" eb="14">
      <t>ジ</t>
    </rPh>
    <rPh sb="15" eb="18">
      <t>ジカンガイ</t>
    </rPh>
    <rPh sb="19" eb="20">
      <t>ホウ</t>
    </rPh>
    <rPh sb="20" eb="22">
      <t>キュウシュツ</t>
    </rPh>
    <rPh sb="23" eb="25">
      <t>カサン</t>
    </rPh>
    <rPh sb="30" eb="33">
      <t>フグアイ</t>
    </rPh>
    <rPh sb="34" eb="36">
      <t>タイオウ</t>
    </rPh>
    <rPh sb="37" eb="39">
      <t>ツウジョウ</t>
    </rPh>
    <rPh sb="39" eb="41">
      <t>ザンギョウ</t>
    </rPh>
    <rPh sb="42" eb="44">
      <t>カサン</t>
    </rPh>
    <phoneticPr fontId="2"/>
  </si>
  <si>
    <t>「次の月へ」ボタンを押したときに正しく前月までの実績に反映されない不具合に対応。</t>
    <rPh sb="1" eb="2">
      <t>ツギ</t>
    </rPh>
    <rPh sb="3" eb="4">
      <t>ツキ</t>
    </rPh>
    <rPh sb="10" eb="11">
      <t>オ</t>
    </rPh>
    <rPh sb="16" eb="17">
      <t>タダ</t>
    </rPh>
    <rPh sb="19" eb="21">
      <t>ゼンゲツ</t>
    </rPh>
    <rPh sb="24" eb="26">
      <t>ジッセキ</t>
    </rPh>
    <rPh sb="27" eb="29">
      <t>ハンエイ</t>
    </rPh>
    <rPh sb="33" eb="36">
      <t>フグアイ</t>
    </rPh>
    <rPh sb="37" eb="39">
      <t>タイオウ</t>
    </rPh>
    <phoneticPr fontId="2"/>
  </si>
  <si>
    <t>　　　　 を分（Ｍ）表記する。深夜勤務時間は、２２：００～翌日５：００までの時間帯での勤務時間を分（Ｍ）表記にて記入する。</t>
    <rPh sb="17" eb="19">
      <t>キンム</t>
    </rPh>
    <rPh sb="29" eb="31">
      <t>ヨクジツ</t>
    </rPh>
    <rPh sb="38" eb="41">
      <t>ジカンタイ</t>
    </rPh>
    <phoneticPr fontId="2"/>
  </si>
  <si>
    <t>８：５０開始（夜勤）</t>
    <rPh sb="4" eb="6">
      <t>カイシ</t>
    </rPh>
    <rPh sb="7" eb="9">
      <t>ヤキン</t>
    </rPh>
    <phoneticPr fontId="2"/>
  </si>
  <si>
    <t>ヘッダーの表示を削除</t>
    <rPh sb="5" eb="7">
      <t>ヒョウジ</t>
    </rPh>
    <rPh sb="8" eb="10">
      <t>サクジョ</t>
    </rPh>
    <phoneticPr fontId="2"/>
  </si>
  <si>
    <t>様式番号を印刷範囲に追加</t>
    <rPh sb="0" eb="2">
      <t>ヨウシキ</t>
    </rPh>
    <rPh sb="2" eb="4">
      <t>バンゴウ</t>
    </rPh>
    <rPh sb="5" eb="7">
      <t>インサツ</t>
    </rPh>
    <rPh sb="7" eb="9">
      <t>ハンイ</t>
    </rPh>
    <rPh sb="10" eb="12">
      <t>ツイカ</t>
    </rPh>
    <phoneticPr fontId="2"/>
  </si>
  <si>
    <t>提出用シートの社員番号を６桁に訂正</t>
    <rPh sb="0" eb="3">
      <t>テイシュツヨウ</t>
    </rPh>
    <rPh sb="7" eb="9">
      <t>シャイン</t>
    </rPh>
    <rPh sb="9" eb="11">
      <t>バンゴウ</t>
    </rPh>
    <rPh sb="13" eb="14">
      <t>ケタ</t>
    </rPh>
    <rPh sb="15" eb="17">
      <t>テイセイ</t>
    </rPh>
    <phoneticPr fontId="2"/>
  </si>
  <si>
    <t>4月実績から前月実績までの累計が546:07を超えるとエラーになる件に対応。</t>
    <rPh sb="33" eb="34">
      <t>ケン</t>
    </rPh>
    <rPh sb="35" eb="37">
      <t>タイオウ</t>
    </rPh>
    <phoneticPr fontId="2"/>
  </si>
  <si>
    <t>一日を年休にしてから一括入力した際に、勤務日数がカウントされない不具合に対応。</t>
    <rPh sb="0" eb="2">
      <t>ツイタチ</t>
    </rPh>
    <rPh sb="3" eb="5">
      <t>ネンキュウ</t>
    </rPh>
    <rPh sb="10" eb="12">
      <t>イッカツ</t>
    </rPh>
    <rPh sb="12" eb="14">
      <t>ニュウリョク</t>
    </rPh>
    <rPh sb="16" eb="17">
      <t>サイ</t>
    </rPh>
    <rPh sb="19" eb="21">
      <t>キンム</t>
    </rPh>
    <rPh sb="21" eb="23">
      <t>ニッスウ</t>
    </rPh>
    <rPh sb="32" eb="35">
      <t>フグアイ</t>
    </rPh>
    <rPh sb="36" eb="38">
      <t>タイオウ</t>
    </rPh>
    <phoneticPr fontId="2"/>
  </si>
  <si>
    <t>提出用シートの印刷範囲を変更。</t>
    <rPh sb="0" eb="3">
      <t>テイシュツヨウ</t>
    </rPh>
    <rPh sb="7" eb="9">
      <t>インサツ</t>
    </rPh>
    <rPh sb="9" eb="11">
      <t>ハンイ</t>
    </rPh>
    <rPh sb="12" eb="14">
      <t>ヘンコウ</t>
    </rPh>
    <phoneticPr fontId="2"/>
  </si>
  <si>
    <t>前月までの45H/70H超過回数のカウント方法を45H/70Hジャストを含むカウント方法から45H/70Hを超える回数のカウント方法に修正。</t>
    <rPh sb="21" eb="23">
      <t>ホウホウ</t>
    </rPh>
    <rPh sb="36" eb="37">
      <t>フク</t>
    </rPh>
    <rPh sb="42" eb="44">
      <t>ホウホウ</t>
    </rPh>
    <rPh sb="54" eb="55">
      <t>コ</t>
    </rPh>
    <rPh sb="57" eb="59">
      <t>カイスウ</t>
    </rPh>
    <rPh sb="64" eb="66">
      <t>ホウホウ</t>
    </rPh>
    <rPh sb="67" eb="69">
      <t>シュウセイ</t>
    </rPh>
    <phoneticPr fontId="2"/>
  </si>
  <si>
    <t>年末年始</t>
    <rPh sb="0" eb="2">
      <t>ネンマツ</t>
    </rPh>
    <rPh sb="2" eb="4">
      <t>ネンシ</t>
    </rPh>
    <phoneticPr fontId="2"/>
  </si>
  <si>
    <t>祝日等（日付指定）</t>
    <rPh sb="0" eb="2">
      <t>シュクジツ</t>
    </rPh>
    <rPh sb="2" eb="3">
      <t>トウ</t>
    </rPh>
    <rPh sb="4" eb="6">
      <t>ヒヅケ</t>
    </rPh>
    <rPh sb="6" eb="8">
      <t>シテイ</t>
    </rPh>
    <phoneticPr fontId="2"/>
  </si>
  <si>
    <t>祝日等（曜日指定）</t>
    <rPh sb="0" eb="2">
      <t>シュクジツ</t>
    </rPh>
    <rPh sb="2" eb="3">
      <t>トウ</t>
    </rPh>
    <rPh sb="4" eb="6">
      <t>ヨウビ</t>
    </rPh>
    <rPh sb="6" eb="8">
      <t>シテイ</t>
    </rPh>
    <phoneticPr fontId="2"/>
  </si>
  <si>
    <t>休出時の時間外が１５分単位で計算されてしまう不具合を修正。</t>
    <rPh sb="0" eb="2">
      <t>キュウシュツ</t>
    </rPh>
    <rPh sb="2" eb="3">
      <t>ジ</t>
    </rPh>
    <rPh sb="4" eb="7">
      <t>ジカンガイ</t>
    </rPh>
    <rPh sb="10" eb="11">
      <t>フン</t>
    </rPh>
    <rPh sb="11" eb="13">
      <t>タンイ</t>
    </rPh>
    <rPh sb="14" eb="16">
      <t>ケイサン</t>
    </rPh>
    <rPh sb="22" eb="25">
      <t>フグアイ</t>
    </rPh>
    <rPh sb="26" eb="28">
      <t>シュウセイ</t>
    </rPh>
    <phoneticPr fontId="2"/>
  </si>
  <si>
    <t>交通費請求書　兼　精算書</t>
  </si>
  <si>
    <t>月分</t>
  </si>
  <si>
    <t>部門コード</t>
  </si>
  <si>
    <t>部 門 名</t>
  </si>
  <si>
    <t>社員番号</t>
  </si>
  <si>
    <t>氏　　　　　名</t>
  </si>
  <si>
    <t>　</t>
  </si>
  <si>
    <t>印</t>
  </si>
  <si>
    <t>日　付</t>
  </si>
  <si>
    <t>行先（駅名等）</t>
  </si>
  <si>
    <t>計</t>
  </si>
  <si>
    <t>領収書
有・無</t>
  </si>
  <si>
    <t>記　事</t>
  </si>
  <si>
    <t>リーダ
確認印</t>
  </si>
  <si>
    <t>合　　　　　　　計</t>
  </si>
  <si>
    <t>枚</t>
  </si>
  <si>
    <t>精算確認欄</t>
  </si>
  <si>
    <t>振　　　　込</t>
  </si>
  <si>
    <t>支　　払　　額</t>
  </si>
  <si>
    <t>確　認</t>
  </si>
  <si>
    <t>入　力</t>
  </si>
  <si>
    <t>担　当</t>
  </si>
  <si>
    <t>ページ（　　／　　）</t>
  </si>
  <si>
    <r>
      <t>請求欄　　</t>
    </r>
    <r>
      <rPr>
        <sz val="11"/>
        <rFont val="ＭＳ 明朝"/>
        <family val="1"/>
        <charset val="128"/>
      </rPr>
      <t>注）記事欄は、部門コード以外のコードが発生した場合のみ記入</t>
    </r>
  </si>
  <si>
    <t>目　的</t>
    <rPh sb="0" eb="1">
      <t>メ</t>
    </rPh>
    <rPh sb="2" eb="3">
      <t>マト</t>
    </rPh>
    <phoneticPr fontId="23"/>
  </si>
  <si>
    <t>金額</t>
    <rPh sb="0" eb="2">
      <t>キンガク</t>
    </rPh>
    <phoneticPr fontId="23"/>
  </si>
  <si>
    <t>出発地</t>
    <rPh sb="0" eb="2">
      <t>シュッパツ</t>
    </rPh>
    <rPh sb="2" eb="3">
      <t>チ</t>
    </rPh>
    <phoneticPr fontId="23"/>
  </si>
  <si>
    <t>到着地</t>
    <rPh sb="0" eb="2">
      <t>トウチャク</t>
    </rPh>
    <rPh sb="2" eb="3">
      <t>チ</t>
    </rPh>
    <phoneticPr fontId="23"/>
  </si>
  <si>
    <t>電車</t>
    <phoneticPr fontId="23"/>
  </si>
  <si>
    <t>バス</t>
    <phoneticPr fontId="23"/>
  </si>
  <si>
    <t>その他</t>
    <phoneticPr fontId="23"/>
  </si>
  <si>
    <t>以下 余白</t>
    <rPh sb="0" eb="2">
      <t>イカ</t>
    </rPh>
    <rPh sb="3" eb="5">
      <t>ヨハク</t>
    </rPh>
    <phoneticPr fontId="23"/>
  </si>
  <si>
    <t>（入力部署記入）</t>
    <rPh sb="1" eb="3">
      <t>ニュウリョク</t>
    </rPh>
    <rPh sb="3" eb="5">
      <t>ブショ</t>
    </rPh>
    <phoneticPr fontId="23"/>
  </si>
  <si>
    <t>交通費請求書兼精算書をシートに追加して、利便性を図る。</t>
    <rPh sb="15" eb="17">
      <t>ツイカ</t>
    </rPh>
    <rPh sb="20" eb="23">
      <t>リベンセイ</t>
    </rPh>
    <rPh sb="24" eb="25">
      <t>ハカ</t>
    </rPh>
    <phoneticPr fontId="2"/>
  </si>
  <si>
    <t>追加</t>
    <rPh sb="0" eb="2">
      <t>ツイカ</t>
    </rPh>
    <phoneticPr fontId="2"/>
  </si>
  <si>
    <t>削除</t>
    <rPh sb="0" eb="2">
      <t>サクジョ</t>
    </rPh>
    <phoneticPr fontId="2"/>
  </si>
  <si>
    <t>勤務時間入力のコンボボックス表示値の変更機能を追加。</t>
    <rPh sb="0" eb="2">
      <t>キンム</t>
    </rPh>
    <rPh sb="2" eb="4">
      <t>ジカン</t>
    </rPh>
    <rPh sb="4" eb="6">
      <t>ニュウリョク</t>
    </rPh>
    <rPh sb="14" eb="16">
      <t>ヒョウジ</t>
    </rPh>
    <rPh sb="16" eb="17">
      <t>チ</t>
    </rPh>
    <rPh sb="18" eb="20">
      <t>ヘンコウ</t>
    </rPh>
    <rPh sb="20" eb="22">
      <t>キノウ</t>
    </rPh>
    <rPh sb="23" eb="25">
      <t>ツイカ</t>
    </rPh>
    <phoneticPr fontId="2"/>
  </si>
  <si>
    <t>３６協定４５H/７０Hを月ごとに設定できるように修正。</t>
    <rPh sb="2" eb="4">
      <t>キョウテイ</t>
    </rPh>
    <rPh sb="12" eb="13">
      <t>ツキ</t>
    </rPh>
    <rPh sb="16" eb="18">
      <t>セッテイ</t>
    </rPh>
    <rPh sb="24" eb="26">
      <t>シュウセイ</t>
    </rPh>
    <phoneticPr fontId="2"/>
  </si>
  <si>
    <t>勤務時間入力のコンボボックス表示値が0:00分から15分区切りになっていた件を修正。（23:50の次は0:05になるように。）</t>
    <rPh sb="0" eb="2">
      <t>キンム</t>
    </rPh>
    <rPh sb="2" eb="4">
      <t>ジカン</t>
    </rPh>
    <rPh sb="4" eb="6">
      <t>ニュウリョク</t>
    </rPh>
    <rPh sb="14" eb="16">
      <t>ヒョウジ</t>
    </rPh>
    <rPh sb="16" eb="17">
      <t>チ</t>
    </rPh>
    <rPh sb="22" eb="23">
      <t>フン</t>
    </rPh>
    <rPh sb="27" eb="28">
      <t>フン</t>
    </rPh>
    <rPh sb="28" eb="30">
      <t>クギ</t>
    </rPh>
    <rPh sb="37" eb="38">
      <t>ケン</t>
    </rPh>
    <rPh sb="39" eb="41">
      <t>シュウセイ</t>
    </rPh>
    <rPh sb="49" eb="50">
      <t>ツギ</t>
    </rPh>
    <phoneticPr fontId="2"/>
  </si>
  <si>
    <t>Question 13</t>
    <phoneticPr fontId="2"/>
  </si>
  <si>
    <t>勤務時間入力時の候補を変更する事はできますか。</t>
    <rPh sb="0" eb="2">
      <t>キンム</t>
    </rPh>
    <rPh sb="2" eb="4">
      <t>ジカン</t>
    </rPh>
    <rPh sb="4" eb="6">
      <t>ニュウリョク</t>
    </rPh>
    <rPh sb="6" eb="7">
      <t>ジ</t>
    </rPh>
    <rPh sb="8" eb="10">
      <t>コウホ</t>
    </rPh>
    <rPh sb="11" eb="13">
      <t>ヘンコウ</t>
    </rPh>
    <rPh sb="15" eb="16">
      <t>コト</t>
    </rPh>
    <phoneticPr fontId="2"/>
  </si>
  <si>
    <t>シート（タイムテーブル）の右側にある設定値を修正してください。</t>
    <rPh sb="13" eb="15">
      <t>ミギガワ</t>
    </rPh>
    <rPh sb="18" eb="20">
      <t>セッテイ</t>
    </rPh>
    <rPh sb="20" eb="21">
      <t>チ</t>
    </rPh>
    <rPh sb="22" eb="24">
      <t>シュウセイ</t>
    </rPh>
    <phoneticPr fontId="2"/>
  </si>
  <si>
    <t>Question12</t>
    <phoneticPr fontId="2"/>
  </si>
  <si>
    <t>生休看休
欠務</t>
    <rPh sb="2" eb="3">
      <t>ミ</t>
    </rPh>
    <rPh sb="3" eb="4">
      <t>キュウ</t>
    </rPh>
    <phoneticPr fontId="2"/>
  </si>
  <si>
    <t>生休看休
欠務</t>
    <phoneticPr fontId="2"/>
  </si>
  <si>
    <t>4.10</t>
    <phoneticPr fontId="2"/>
  </si>
  <si>
    <t>看休を追加。</t>
    <rPh sb="0" eb="1">
      <t>ミ</t>
    </rPh>
    <rPh sb="1" eb="2">
      <t>キュウ</t>
    </rPh>
    <rPh sb="3" eb="5">
      <t>ツイカ</t>
    </rPh>
    <phoneticPr fontId="2"/>
  </si>
  <si>
    <t>社員番号が７桁（協力会社）に対応し、社員番号の入力チェックはおこなわないように修正。</t>
    <rPh sb="0" eb="2">
      <t>シャイン</t>
    </rPh>
    <rPh sb="2" eb="4">
      <t>バンゴウ</t>
    </rPh>
    <rPh sb="6" eb="7">
      <t>ケタ</t>
    </rPh>
    <rPh sb="8" eb="10">
      <t>キョウリョク</t>
    </rPh>
    <rPh sb="10" eb="12">
      <t>ガイシャ</t>
    </rPh>
    <rPh sb="14" eb="16">
      <t>タイオウ</t>
    </rPh>
    <rPh sb="18" eb="20">
      <t>シャイン</t>
    </rPh>
    <rPh sb="20" eb="22">
      <t>バンゴウ</t>
    </rPh>
    <rPh sb="23" eb="25">
      <t>ニュウリョク</t>
    </rPh>
    <rPh sb="39" eb="41">
      <t>シュウセイ</t>
    </rPh>
    <phoneticPr fontId="2"/>
  </si>
  <si>
    <t>4.11</t>
    <phoneticPr fontId="2"/>
  </si>
  <si>
    <t>提出シートの様式を（様式８）２００５．４に差し替え。</t>
    <rPh sb="0" eb="2">
      <t>テイシュツ</t>
    </rPh>
    <rPh sb="6" eb="8">
      <t>ヨウシキ</t>
    </rPh>
    <rPh sb="10" eb="12">
      <t>ヨウシキ</t>
    </rPh>
    <rPh sb="21" eb="22">
      <t>サ</t>
    </rPh>
    <rPh sb="23" eb="24">
      <t>カ</t>
    </rPh>
    <phoneticPr fontId="2"/>
  </si>
  <si>
    <t>振休</t>
    <rPh sb="0" eb="1">
      <t>フ</t>
    </rPh>
    <rPh sb="1" eb="2">
      <t>キュウ</t>
    </rPh>
    <phoneticPr fontId="2"/>
  </si>
  <si>
    <t>控除</t>
    <rPh sb="0" eb="2">
      <t>コウジョ</t>
    </rPh>
    <phoneticPr fontId="2"/>
  </si>
  <si>
    <t>TextBox21</t>
    <phoneticPr fontId="2"/>
  </si>
  <si>
    <t>CheckBox5</t>
    <phoneticPr fontId="2"/>
  </si>
  <si>
    <t>振休控除</t>
    <rPh sb="0" eb="1">
      <t>フ</t>
    </rPh>
    <rPh sb="1" eb="2">
      <t>キュウ</t>
    </rPh>
    <rPh sb="2" eb="4">
      <t>コウジョ</t>
    </rPh>
    <phoneticPr fontId="2"/>
  </si>
  <si>
    <t>C-SUM</t>
    <phoneticPr fontId="2"/>
  </si>
  <si>
    <t>前月までの
45H/70H超過回数</t>
    <phoneticPr fontId="2"/>
  </si>
  <si>
    <t>前月までの
45H/70H超過回数</t>
    <phoneticPr fontId="2"/>
  </si>
  <si>
    <t>30単位の時間</t>
    <rPh sb="2" eb="4">
      <t>タンイ</t>
    </rPh>
    <rPh sb="5" eb="7">
      <t>ジカン</t>
    </rPh>
    <phoneticPr fontId="2"/>
  </si>
  <si>
    <t>振休控除対応。</t>
    <rPh sb="0" eb="1">
      <t>オサム</t>
    </rPh>
    <rPh sb="1" eb="2">
      <t>キュウ</t>
    </rPh>
    <rPh sb="2" eb="4">
      <t>コウジョ</t>
    </rPh>
    <rPh sb="4" eb="6">
      <t>タイオウ</t>
    </rPh>
    <phoneticPr fontId="2"/>
  </si>
  <si>
    <t>振替
控除</t>
    <rPh sb="0" eb="2">
      <t>フリカエ</t>
    </rPh>
    <rPh sb="3" eb="5">
      <t>コウジョ</t>
    </rPh>
    <phoneticPr fontId="2"/>
  </si>
  <si>
    <t>5.0</t>
    <phoneticPr fontId="2"/>
  </si>
  <si>
    <t>（注２） 月次処理 ： 休出回数は、休日出勤（休出：土曜日/祝日）および法定の休日出勤（法休出：日曜日）を合計して記入する。</t>
    <rPh sb="5" eb="7">
      <t>ゲツジ</t>
    </rPh>
    <rPh sb="7" eb="9">
      <t>ショリ</t>
    </rPh>
    <phoneticPr fontId="2"/>
  </si>
  <si>
    <t>会　社　名</t>
    <rPh sb="0" eb="1">
      <t>カイ</t>
    </rPh>
    <rPh sb="2" eb="3">
      <t>シャ</t>
    </rPh>
    <rPh sb="4" eb="5">
      <t>メイ</t>
    </rPh>
    <phoneticPr fontId="2"/>
  </si>
  <si>
    <t>氏　　　名</t>
    <phoneticPr fontId="2"/>
  </si>
  <si>
    <t>日　付
(曜日)</t>
    <rPh sb="5" eb="7">
      <t>ヨウビ</t>
    </rPh>
    <phoneticPr fontId="2"/>
  </si>
  <si>
    <t>【ＤＴＳ使用欄】</t>
    <rPh sb="4" eb="6">
      <t>シヨウ</t>
    </rPh>
    <rPh sb="6" eb="7">
      <t>ラン</t>
    </rPh>
    <phoneticPr fontId="2"/>
  </si>
  <si>
    <t>担当者番号</t>
    <rPh sb="0" eb="3">
      <t>タントウシャ</t>
    </rPh>
    <rPh sb="3" eb="5">
      <t>バンゴウ</t>
    </rPh>
    <phoneticPr fontId="2"/>
  </si>
  <si>
    <t>確認者</t>
    <rPh sb="0" eb="2">
      <t>カクニン</t>
    </rPh>
    <rPh sb="2" eb="3">
      <t>シャ</t>
    </rPh>
    <phoneticPr fontId="2"/>
  </si>
  <si>
    <t>氏名</t>
    <rPh sb="0" eb="2">
      <t>シメイ</t>
    </rPh>
    <phoneticPr fontId="2"/>
  </si>
  <si>
    <t>氏　　名</t>
    <rPh sb="0" eb="1">
      <t>シ</t>
    </rPh>
    <rPh sb="3" eb="4">
      <t>メイ</t>
    </rPh>
    <phoneticPr fontId="2"/>
  </si>
  <si>
    <t>会 社 名</t>
    <rPh sb="0" eb="1">
      <t>カイ</t>
    </rPh>
    <rPh sb="2" eb="3">
      <t>シャ</t>
    </rPh>
    <rPh sb="4" eb="5">
      <t>メイ</t>
    </rPh>
    <phoneticPr fontId="2"/>
  </si>
  <si>
    <t>大杉　慎一郎</t>
    <phoneticPr fontId="2"/>
  </si>
  <si>
    <t>国民の休日</t>
    <rPh sb="0" eb="2">
      <t>コクミン</t>
    </rPh>
    <phoneticPr fontId="2"/>
  </si>
  <si>
    <t>振替休日</t>
    <rPh sb="0" eb="2">
      <t>フリカエ</t>
    </rPh>
    <rPh sb="2" eb="4">
      <t>キュウジツ</t>
    </rPh>
    <phoneticPr fontId="2"/>
  </si>
  <si>
    <t>派遣先管理台帳（２）</t>
    <rPh sb="0" eb="2">
      <t>ハケン</t>
    </rPh>
    <rPh sb="2" eb="3">
      <t>サキ</t>
    </rPh>
    <rPh sb="3" eb="5">
      <t>カンリ</t>
    </rPh>
    <rPh sb="5" eb="7">
      <t>ダイチョウ</t>
    </rPh>
    <phoneticPr fontId="24"/>
  </si>
  <si>
    <t>年</t>
    <rPh sb="0" eb="1">
      <t>ネン</t>
    </rPh>
    <phoneticPr fontId="24"/>
  </si>
  <si>
    <t>月分</t>
    <rPh sb="0" eb="2">
      <t>ガツブン</t>
    </rPh>
    <phoneticPr fontId="24"/>
  </si>
  <si>
    <t>派遣先</t>
    <rPh sb="0" eb="2">
      <t>ハケン</t>
    </rPh>
    <rPh sb="2" eb="3">
      <t>サキ</t>
    </rPh>
    <phoneticPr fontId="24"/>
  </si>
  <si>
    <t xml:space="preserve"> 就業場所</t>
    <rPh sb="1" eb="3">
      <t>シュウギョウ</t>
    </rPh>
    <rPh sb="3" eb="5">
      <t>バショ</t>
    </rPh>
    <phoneticPr fontId="24"/>
  </si>
  <si>
    <t xml:space="preserve"> 責任者</t>
    <rPh sb="1" eb="4">
      <t>セキニンシャ</t>
    </rPh>
    <phoneticPr fontId="24"/>
  </si>
  <si>
    <t xml:space="preserve"> 指揮命令者</t>
    <rPh sb="1" eb="3">
      <t>シキ</t>
    </rPh>
    <rPh sb="3" eb="5">
      <t>メイレイ</t>
    </rPh>
    <rPh sb="5" eb="6">
      <t>シャ</t>
    </rPh>
    <phoneticPr fontId="24"/>
  </si>
  <si>
    <t xml:space="preserve"> 就業時間</t>
    <rPh sb="1" eb="3">
      <t>シュウギョウ</t>
    </rPh>
    <rPh sb="3" eb="5">
      <t>ジカン</t>
    </rPh>
    <phoneticPr fontId="24"/>
  </si>
  <si>
    <t>日付</t>
    <rPh sb="0" eb="2">
      <t>ヒヅケ</t>
    </rPh>
    <phoneticPr fontId="24"/>
  </si>
  <si>
    <t>曜日</t>
    <rPh sb="0" eb="2">
      <t>ヨウビ</t>
    </rPh>
    <phoneticPr fontId="24"/>
  </si>
  <si>
    <t>勤怠状況</t>
    <rPh sb="0" eb="2">
      <t>キンタイ</t>
    </rPh>
    <rPh sb="2" eb="4">
      <t>ジョウキョウ</t>
    </rPh>
    <phoneticPr fontId="24"/>
  </si>
  <si>
    <t>確認印</t>
    <rPh sb="0" eb="2">
      <t>カクニン</t>
    </rPh>
    <rPh sb="2" eb="3">
      <t>イン</t>
    </rPh>
    <phoneticPr fontId="24"/>
  </si>
  <si>
    <t>合計時間</t>
    <rPh sb="0" eb="2">
      <t>ゴウケイ</t>
    </rPh>
    <rPh sb="2" eb="4">
      <t>ジカン</t>
    </rPh>
    <phoneticPr fontId="24"/>
  </si>
  <si>
    <t>派遣労働者から申出を受けた苦情の処理に関する記録</t>
    <rPh sb="0" eb="2">
      <t>ハケン</t>
    </rPh>
    <rPh sb="2" eb="5">
      <t>ロウドウシャ</t>
    </rPh>
    <rPh sb="7" eb="9">
      <t>モウシデ</t>
    </rPh>
    <rPh sb="10" eb="11">
      <t>ウ</t>
    </rPh>
    <rPh sb="13" eb="15">
      <t>クジョウ</t>
    </rPh>
    <rPh sb="16" eb="18">
      <t>ショリ</t>
    </rPh>
    <rPh sb="19" eb="20">
      <t>カン</t>
    </rPh>
    <rPh sb="22" eb="24">
      <t>キロク</t>
    </rPh>
    <phoneticPr fontId="24"/>
  </si>
  <si>
    <t>受付年月日</t>
    <rPh sb="0" eb="2">
      <t>ウケツケ</t>
    </rPh>
    <rPh sb="2" eb="5">
      <t>ネンガッピ</t>
    </rPh>
    <phoneticPr fontId="24"/>
  </si>
  <si>
    <t>受信者</t>
    <rPh sb="0" eb="3">
      <t>ジュシンシャ</t>
    </rPh>
    <phoneticPr fontId="24"/>
  </si>
  <si>
    <t>派遣労働者氏名</t>
    <rPh sb="0" eb="2">
      <t>ハケン</t>
    </rPh>
    <rPh sb="2" eb="5">
      <t>ロウドウシャ</t>
    </rPh>
    <rPh sb="5" eb="7">
      <t>シメイ</t>
    </rPh>
    <phoneticPr fontId="24"/>
  </si>
  <si>
    <t>苦情の内容及び苦情の処理状況</t>
    <rPh sb="0" eb="2">
      <t>クジョウ</t>
    </rPh>
    <rPh sb="3" eb="5">
      <t>ナイヨウ</t>
    </rPh>
    <rPh sb="5" eb="6">
      <t>オヨ</t>
    </rPh>
    <rPh sb="7" eb="9">
      <t>クジョウ</t>
    </rPh>
    <rPh sb="10" eb="12">
      <t>ショリ</t>
    </rPh>
    <rPh sb="12" eb="14">
      <t>ジョウキョウ</t>
    </rPh>
    <phoneticPr fontId="24"/>
  </si>
  <si>
    <t>処理終了日</t>
    <rPh sb="0" eb="2">
      <t>ショリ</t>
    </rPh>
    <rPh sb="2" eb="5">
      <t>シュウリョウビ</t>
    </rPh>
    <phoneticPr fontId="24"/>
  </si>
  <si>
    <t>検印</t>
    <rPh sb="0" eb="2">
      <t>ケンイン</t>
    </rPh>
    <phoneticPr fontId="24"/>
  </si>
  <si>
    <t>始業</t>
    <rPh sb="0" eb="2">
      <t>シギョウ</t>
    </rPh>
    <phoneticPr fontId="24"/>
  </si>
  <si>
    <t>終業</t>
    <rPh sb="0" eb="2">
      <t>シュウギョウ</t>
    </rPh>
    <phoneticPr fontId="24"/>
  </si>
  <si>
    <t>休憩</t>
    <rPh sb="0" eb="2">
      <t>キュウケイ</t>
    </rPh>
    <phoneticPr fontId="24"/>
  </si>
  <si>
    <t>担当者番号</t>
    <rPh sb="0" eb="3">
      <t>タントウシャ</t>
    </rPh>
    <rPh sb="3" eb="5">
      <t>バンゴウ</t>
    </rPh>
    <phoneticPr fontId="24"/>
  </si>
  <si>
    <t>日数</t>
    <rPh sb="0" eb="2">
      <t>ニッスウ</t>
    </rPh>
    <phoneticPr fontId="24"/>
  </si>
  <si>
    <t>「ＢＰ用　業務完了報告書」「派遣先管理台帳（２）」</t>
    <rPh sb="3" eb="4">
      <t>ヨウ</t>
    </rPh>
    <rPh sb="5" eb="7">
      <t>ギョウム</t>
    </rPh>
    <rPh sb="7" eb="9">
      <t>カンリョウ</t>
    </rPh>
    <rPh sb="9" eb="12">
      <t>ホウコクショ</t>
    </rPh>
    <rPh sb="14" eb="16">
      <t>ハケン</t>
    </rPh>
    <rPh sb="16" eb="17">
      <t>サキ</t>
    </rPh>
    <rPh sb="17" eb="19">
      <t>カンリ</t>
    </rPh>
    <rPh sb="19" eb="21">
      <t>ダイチョウ</t>
    </rPh>
    <phoneticPr fontId="2"/>
  </si>
  <si>
    <t>通信　一郎</t>
  </si>
  <si>
    <t>6.1</t>
    <phoneticPr fontId="2"/>
  </si>
  <si>
    <t>（ＢＰ部大杉にて改変）</t>
    <rPh sb="3" eb="4">
      <t>ブ</t>
    </rPh>
    <rPh sb="4" eb="6">
      <t>オオスギ</t>
    </rPh>
    <rPh sb="8" eb="10">
      <t>カイヘン</t>
    </rPh>
    <phoneticPr fontId="2"/>
  </si>
  <si>
    <t>株式会社○○○</t>
    <rPh sb="0" eb="4">
      <t>カブ</t>
    </rPh>
    <phoneticPr fontId="2"/>
  </si>
  <si>
    <t>通信　太郎</t>
    <rPh sb="0" eb="2">
      <t>ツウシン</t>
    </rPh>
    <rPh sb="3" eb="5">
      <t>タロウ</t>
    </rPh>
    <phoneticPr fontId="2"/>
  </si>
  <si>
    <t>6.7</t>
    <phoneticPr fontId="2"/>
  </si>
  <si>
    <t>「派遣先管理台帳（２）」「所定外」欄の数式を修正</t>
    <rPh sb="1" eb="3">
      <t>ハケン</t>
    </rPh>
    <rPh sb="3" eb="4">
      <t>サキ</t>
    </rPh>
    <rPh sb="4" eb="6">
      <t>カンリ</t>
    </rPh>
    <rPh sb="6" eb="8">
      <t>ダイチョウ</t>
    </rPh>
    <rPh sb="13" eb="15">
      <t>ショテイ</t>
    </rPh>
    <rPh sb="15" eb="16">
      <t>ガイ</t>
    </rPh>
    <rPh sb="17" eb="18">
      <t>ラン</t>
    </rPh>
    <rPh sb="19" eb="21">
      <t>スウシキ</t>
    </rPh>
    <rPh sb="22" eb="24">
      <t>シュウセイ</t>
    </rPh>
    <phoneticPr fontId="2"/>
  </si>
  <si>
    <t>（業推部大杉にて改変）</t>
    <rPh sb="1" eb="4">
      <t>ギョウスイ</t>
    </rPh>
    <rPh sb="4" eb="6">
      <t>オオスギ</t>
    </rPh>
    <rPh sb="8" eb="10">
      <t>カイヘン</t>
    </rPh>
    <phoneticPr fontId="2"/>
  </si>
  <si>
    <t>年始休業の表示不具合を修正。</t>
    <rPh sb="0" eb="2">
      <t>ネンシ</t>
    </rPh>
    <rPh sb="2" eb="4">
      <t>キュウギョウ</t>
    </rPh>
    <rPh sb="5" eb="7">
      <t>ヒョウジ</t>
    </rPh>
    <rPh sb="7" eb="10">
      <t>フグアイ</t>
    </rPh>
    <rPh sb="11" eb="12">
      <t>シュウ</t>
    </rPh>
    <rPh sb="12" eb="13">
      <t>セイ</t>
    </rPh>
    <phoneticPr fontId="2"/>
  </si>
  <si>
    <t>（ＢＰ部清野にて改変）</t>
    <rPh sb="3" eb="4">
      <t>ブ</t>
    </rPh>
    <rPh sb="4" eb="6">
      <t>キヨノ</t>
    </rPh>
    <rPh sb="8" eb="10">
      <t>カイヘン</t>
    </rPh>
    <phoneticPr fontId="2"/>
  </si>
  <si>
    <t>通信　太郎</t>
  </si>
  <si>
    <t>Excel２００７で「次の月へ」を実行すると日付が黒く塗りつぶされる不具合を修正。</t>
    <rPh sb="11" eb="12">
      <t>ツギ</t>
    </rPh>
    <rPh sb="13" eb="14">
      <t>ツキ</t>
    </rPh>
    <rPh sb="22" eb="24">
      <t>ヒヅケ</t>
    </rPh>
    <rPh sb="34" eb="37">
      <t>フグアイ</t>
    </rPh>
    <rPh sb="38" eb="40">
      <t>シュウセイ</t>
    </rPh>
    <phoneticPr fontId="2"/>
  </si>
  <si>
    <t>bp-keiyaku@dts.co.jp</t>
    <phoneticPr fontId="2"/>
  </si>
  <si>
    <t>会社名</t>
  </si>
  <si>
    <t>派遣労働者氏名</t>
    <phoneticPr fontId="24"/>
  </si>
  <si>
    <t>事業所名：</t>
    <rPh sb="0" eb="2">
      <t>ジギョウ</t>
    </rPh>
    <rPh sb="2" eb="3">
      <t>ショ</t>
    </rPh>
    <rPh sb="3" eb="4">
      <t>メイ</t>
    </rPh>
    <phoneticPr fontId="24"/>
  </si>
  <si>
    <t>部署名：</t>
    <rPh sb="0" eb="1">
      <t>ブ</t>
    </rPh>
    <rPh sb="1" eb="2">
      <t>ショ</t>
    </rPh>
    <rPh sb="2" eb="3">
      <t>メイ</t>
    </rPh>
    <phoneticPr fontId="24"/>
  </si>
  <si>
    <t>所在地：</t>
    <rPh sb="0" eb="1">
      <t>ショ</t>
    </rPh>
    <rPh sb="1" eb="2">
      <t>ザイ</t>
    </rPh>
    <rPh sb="2" eb="3">
      <t>チ</t>
    </rPh>
    <phoneticPr fontId="24"/>
  </si>
  <si>
    <t>ＴＥＬ：</t>
    <phoneticPr fontId="24"/>
  </si>
  <si>
    <t>部 署 名：</t>
    <rPh sb="0" eb="1">
      <t>ブ</t>
    </rPh>
    <rPh sb="2" eb="3">
      <t>ショ</t>
    </rPh>
    <rPh sb="4" eb="5">
      <t>メイ</t>
    </rPh>
    <phoneticPr fontId="24"/>
  </si>
  <si>
    <t>役職名：</t>
    <rPh sb="0" eb="1">
      <t>エキ</t>
    </rPh>
    <rPh sb="1" eb="2">
      <t>ショク</t>
    </rPh>
    <rPh sb="2" eb="3">
      <t>メイ</t>
    </rPh>
    <phoneticPr fontId="24"/>
  </si>
  <si>
    <t>氏名：</t>
    <rPh sb="0" eb="1">
      <t>シ</t>
    </rPh>
    <rPh sb="1" eb="2">
      <t>メイ</t>
    </rPh>
    <phoneticPr fontId="24"/>
  </si>
  <si>
    <t>ＴＥＬ：</t>
    <phoneticPr fontId="24"/>
  </si>
  <si>
    <t xml:space="preserve"> 就 業 日</t>
    <rPh sb="1" eb="2">
      <t>シュウ</t>
    </rPh>
    <rPh sb="3" eb="4">
      <t>ギョウ</t>
    </rPh>
    <rPh sb="5" eb="6">
      <t>ビ</t>
    </rPh>
    <phoneticPr fontId="24"/>
  </si>
  <si>
    <t xml:space="preserve"> 休　日</t>
    <rPh sb="1" eb="2">
      <t>キュウ</t>
    </rPh>
    <rPh sb="3" eb="4">
      <t>ヒ</t>
    </rPh>
    <phoneticPr fontId="24"/>
  </si>
  <si>
    <t xml:space="preserve"> 休　憩</t>
    <rPh sb="1" eb="2">
      <t>キュウ</t>
    </rPh>
    <rPh sb="3" eb="4">
      <t>イコイ</t>
    </rPh>
    <phoneticPr fontId="24"/>
  </si>
  <si>
    <t>法定休日</t>
    <rPh sb="0" eb="2">
      <t>ホウテイ</t>
    </rPh>
    <rPh sb="2" eb="4">
      <t>キュウジツ</t>
    </rPh>
    <phoneticPr fontId="24"/>
  </si>
  <si>
    <t>派遣元責任者</t>
    <phoneticPr fontId="24"/>
  </si>
  <si>
    <t>派遣先責任者ご承認欄</t>
    <phoneticPr fontId="24"/>
  </si>
  <si>
    <t>９：００開始</t>
    <rPh sb="4" eb="6">
      <t>カイシ</t>
    </rPh>
    <phoneticPr fontId="2"/>
  </si>
  <si>
    <t>法定
時間外</t>
    <rPh sb="0" eb="2">
      <t>ホウテイ</t>
    </rPh>
    <rPh sb="3" eb="5">
      <t>ジカン</t>
    </rPh>
    <rPh sb="5" eb="6">
      <t>ガイ</t>
    </rPh>
    <phoneticPr fontId="24"/>
  </si>
  <si>
    <t>法定時間外
合計</t>
    <rPh sb="0" eb="2">
      <t>ホウテイ</t>
    </rPh>
    <rPh sb="2" eb="4">
      <t>ジカン</t>
    </rPh>
    <rPh sb="4" eb="5">
      <t>ガイ</t>
    </rPh>
    <rPh sb="6" eb="8">
      <t>ゴウケイ</t>
    </rPh>
    <phoneticPr fontId="24"/>
  </si>
  <si>
    <t>7.0</t>
    <phoneticPr fontId="2"/>
  </si>
  <si>
    <t>（情シス部にて改変）</t>
    <rPh sb="1" eb="2">
      <t>ジョウ</t>
    </rPh>
    <rPh sb="4" eb="5">
      <t>ブ</t>
    </rPh>
    <rPh sb="7" eb="9">
      <t>カイヘン</t>
    </rPh>
    <phoneticPr fontId="2"/>
  </si>
  <si>
    <t>外注発注申請システムリリースに伴い派遣先管理台帳（２）にインポート、エクスポート機能追加</t>
    <rPh sb="0" eb="2">
      <t>ガイチュウ</t>
    </rPh>
    <rPh sb="2" eb="4">
      <t>ハッチュウ</t>
    </rPh>
    <rPh sb="4" eb="6">
      <t>シンセイ</t>
    </rPh>
    <rPh sb="15" eb="16">
      <t>トモナ</t>
    </rPh>
    <rPh sb="17" eb="20">
      <t>ハケンサキ</t>
    </rPh>
    <rPh sb="20" eb="22">
      <t>カンリ</t>
    </rPh>
    <rPh sb="22" eb="24">
      <t>ダイチョウ</t>
    </rPh>
    <rPh sb="40" eb="42">
      <t>キノウ</t>
    </rPh>
    <rPh sb="42" eb="44">
      <t>ツイカ</t>
    </rPh>
    <phoneticPr fontId="2"/>
  </si>
  <si>
    <t>7.1</t>
    <phoneticPr fontId="2"/>
  </si>
  <si>
    <t>（BP部にて改変）</t>
    <rPh sb="1" eb="4">
      <t>bp</t>
    </rPh>
    <rPh sb="6" eb="8">
      <t>カイヘン</t>
    </rPh>
    <phoneticPr fontId="2"/>
  </si>
  <si>
    <t>法定時間内</t>
    <rPh sb="0" eb="2">
      <t>ホウテイ</t>
    </rPh>
    <rPh sb="2" eb="4">
      <t>ジカン</t>
    </rPh>
    <rPh sb="4" eb="5">
      <t>ナイ</t>
    </rPh>
    <phoneticPr fontId="24"/>
  </si>
  <si>
    <t xml:space="preserve">派遣先管理台帳（２）の一部文言修正
・チェックボックス
　契約外時間を割増精算の対象とする
　　→法定時間外を割増精算の対象とする
・合計欄
　所定内時間→法定時間内
</t>
    <rPh sb="0" eb="3">
      <t>ハケンサキ</t>
    </rPh>
    <rPh sb="3" eb="5">
      <t>カンリ</t>
    </rPh>
    <rPh sb="5" eb="7">
      <t>ダイチョウ</t>
    </rPh>
    <rPh sb="11" eb="13">
      <t>イチブ</t>
    </rPh>
    <rPh sb="13" eb="15">
      <t>モンゴン</t>
    </rPh>
    <rPh sb="15" eb="17">
      <t>シュウセイ</t>
    </rPh>
    <rPh sb="49" eb="51">
      <t>ホウテイ</t>
    </rPh>
    <rPh sb="51" eb="54">
      <t>ジカンガイ</t>
    </rPh>
    <rPh sb="55" eb="57">
      <t>ワリマシ</t>
    </rPh>
    <rPh sb="57" eb="59">
      <t>セイサン</t>
    </rPh>
    <rPh sb="60" eb="62">
      <t>タイショウ</t>
    </rPh>
    <rPh sb="67" eb="69">
      <t>ゴウケイ</t>
    </rPh>
    <rPh sb="69" eb="70">
      <t>ラン</t>
    </rPh>
    <rPh sb="72" eb="75">
      <t>ショテイナイ</t>
    </rPh>
    <rPh sb="75" eb="77">
      <t>ジカン</t>
    </rPh>
    <rPh sb="78" eb="80">
      <t>ホウテイ</t>
    </rPh>
    <rPh sb="80" eb="82">
      <t>ジカン</t>
    </rPh>
    <rPh sb="82" eb="83">
      <t>ナイ</t>
    </rPh>
    <phoneticPr fontId="2"/>
  </si>
  <si>
    <t>7.11</t>
    <phoneticPr fontId="2"/>
  </si>
  <si>
    <t>指定休</t>
    <rPh sb="0" eb="2">
      <t>シテイ</t>
    </rPh>
    <rPh sb="2" eb="3">
      <t>キュウ</t>
    </rPh>
    <phoneticPr fontId="2"/>
  </si>
  <si>
    <t>明け</t>
    <rPh sb="0" eb="1">
      <t>ア</t>
    </rPh>
    <phoneticPr fontId="2"/>
  </si>
  <si>
    <t>詳細設定に”指定休”および”明け”を追加</t>
    <rPh sb="0" eb="2">
      <t>ショウサイ</t>
    </rPh>
    <rPh sb="2" eb="4">
      <t>セッテイ</t>
    </rPh>
    <rPh sb="6" eb="8">
      <t>シテイ</t>
    </rPh>
    <rPh sb="8" eb="9">
      <t>キュウ</t>
    </rPh>
    <rPh sb="14" eb="15">
      <t>ア</t>
    </rPh>
    <rPh sb="18" eb="20">
      <t>ツイカ</t>
    </rPh>
    <phoneticPr fontId="2"/>
  </si>
  <si>
    <t>7.12</t>
    <phoneticPr fontId="2"/>
  </si>
  <si>
    <t>（ビジ推進部にて改変）</t>
    <rPh sb="8" eb="10">
      <t>カイヘン</t>
    </rPh>
    <phoneticPr fontId="2"/>
  </si>
  <si>
    <t>派遣先管理台帳（タイムシート）の会社名欄の保護設定解除（データ取込でエラーになる為）</t>
    <rPh sb="16" eb="18">
      <t>カイシャ</t>
    </rPh>
    <rPh sb="18" eb="20">
      <t>メイラン</t>
    </rPh>
    <rPh sb="21" eb="23">
      <t>ホゴ</t>
    </rPh>
    <rPh sb="23" eb="25">
      <t>セッテイ</t>
    </rPh>
    <rPh sb="25" eb="27">
      <t>カイジョ</t>
    </rPh>
    <rPh sb="31" eb="33">
      <t>トリコミ</t>
    </rPh>
    <rPh sb="40" eb="41">
      <t>タメ</t>
    </rPh>
    <phoneticPr fontId="2"/>
  </si>
  <si>
    <t>13:55</t>
    <phoneticPr fontId="2"/>
  </si>
  <si>
    <t>9:45</t>
    <phoneticPr fontId="2"/>
  </si>
  <si>
    <t>18:30</t>
    <phoneticPr fontId="2"/>
  </si>
  <si>
    <t>13:00</t>
    <phoneticPr fontId="2"/>
  </si>
  <si>
    <t>8:50</t>
    <phoneticPr fontId="2"/>
  </si>
  <si>
    <t>17:35</t>
    <phoneticPr fontId="2"/>
  </si>
  <si>
    <t>10:00</t>
    <phoneticPr fontId="2"/>
  </si>
  <si>
    <t>13:40</t>
    <phoneticPr fontId="2"/>
  </si>
  <si>
    <t>9:30</t>
    <phoneticPr fontId="2"/>
  </si>
  <si>
    <t>18:15</t>
    <phoneticPr fontId="2"/>
  </si>
  <si>
    <t>13:30</t>
    <phoneticPr fontId="2"/>
  </si>
  <si>
    <t>18:05</t>
    <phoneticPr fontId="2"/>
  </si>
  <si>
    <t>Sample1</t>
    <phoneticPr fontId="2"/>
  </si>
  <si>
    <t>Sample2</t>
    <phoneticPr fontId="2"/>
  </si>
  <si>
    <t>８：５０開始</t>
    <phoneticPr fontId="2"/>
  </si>
  <si>
    <t>Test1</t>
    <phoneticPr fontId="2"/>
  </si>
  <si>
    <t>12:55</t>
    <phoneticPr fontId="2"/>
  </si>
  <si>
    <t>DTS</t>
    <phoneticPr fontId="2"/>
  </si>
  <si>
    <t>11:00</t>
    <phoneticPr fontId="2"/>
  </si>
  <si>
    <t>19:35</t>
    <phoneticPr fontId="2"/>
  </si>
  <si>
    <t>7.20</t>
    <phoneticPr fontId="2"/>
  </si>
  <si>
    <t>【派遣先管理台帳】シート
１．休憩時間チェック追加
２．就業単位（１ヶ月単位）の「その他」を削除
３．ＤＬ向けタイムテーブル追加</t>
    <rPh sb="1" eb="3">
      <t>ハケン</t>
    </rPh>
    <rPh sb="3" eb="4">
      <t>サキ</t>
    </rPh>
    <rPh sb="4" eb="6">
      <t>カンリ</t>
    </rPh>
    <rPh sb="6" eb="8">
      <t>ダイチョウ</t>
    </rPh>
    <rPh sb="15" eb="17">
      <t>キュウケイ</t>
    </rPh>
    <rPh sb="17" eb="19">
      <t>ジカン</t>
    </rPh>
    <rPh sb="23" eb="25">
      <t>ツイカ</t>
    </rPh>
    <rPh sb="28" eb="30">
      <t>シュウギョウ</t>
    </rPh>
    <rPh sb="30" eb="32">
      <t>タンイ</t>
    </rPh>
    <rPh sb="35" eb="36">
      <t>ゲツ</t>
    </rPh>
    <rPh sb="36" eb="38">
      <t>タンイ</t>
    </rPh>
    <rPh sb="43" eb="44">
      <t>タ</t>
    </rPh>
    <rPh sb="46" eb="48">
      <t>サクジョ</t>
    </rPh>
    <rPh sb="53" eb="54">
      <t>ム</t>
    </rPh>
    <rPh sb="62" eb="64">
      <t>ツイカ</t>
    </rPh>
    <phoneticPr fontId="2"/>
  </si>
  <si>
    <t>業務完了報告書</t>
    <rPh sb="0" eb="2">
      <t>ギョウム</t>
    </rPh>
    <rPh sb="2" eb="4">
      <t>カンリョウ</t>
    </rPh>
    <rPh sb="4" eb="6">
      <t>ホウコク</t>
    </rPh>
    <phoneticPr fontId="57"/>
  </si>
  <si>
    <t>株式会社ＤＴＳ　御中</t>
    <rPh sb="0" eb="7">
      <t>dts</t>
    </rPh>
    <rPh sb="8" eb="10">
      <t>オンチュウ</t>
    </rPh>
    <phoneticPr fontId="57"/>
  </si>
  <si>
    <t>住所</t>
    <rPh sb="0" eb="2">
      <t>ジュウショ</t>
    </rPh>
    <phoneticPr fontId="57"/>
  </si>
  <si>
    <t>社名</t>
    <rPh sb="0" eb="2">
      <t>シャメイ</t>
    </rPh>
    <phoneticPr fontId="57"/>
  </si>
  <si>
    <t>現場責任者氏名</t>
    <rPh sb="0" eb="2">
      <t>ゲンバ</t>
    </rPh>
    <rPh sb="2" eb="5">
      <t>セキニンシャ</t>
    </rPh>
    <rPh sb="5" eb="7">
      <t>シメイ</t>
    </rPh>
    <phoneticPr fontId="2"/>
  </si>
  <si>
    <t>印</t>
    <rPh sb="0" eb="1">
      <t>イン</t>
    </rPh>
    <phoneticPr fontId="57"/>
  </si>
  <si>
    <t>１．契約番号</t>
    <rPh sb="2" eb="4">
      <t>ケイヤク</t>
    </rPh>
    <rPh sb="4" eb="6">
      <t>バンゴウ</t>
    </rPh>
    <phoneticPr fontId="57"/>
  </si>
  <si>
    <t>２．業務名</t>
    <rPh sb="2" eb="5">
      <t>ギョウムメイ</t>
    </rPh>
    <phoneticPr fontId="57"/>
  </si>
  <si>
    <t>●●向け▲▲システム業務支援</t>
    <rPh sb="2" eb="3">
      <t>ム</t>
    </rPh>
    <rPh sb="10" eb="12">
      <t>ギョウム</t>
    </rPh>
    <rPh sb="12" eb="14">
      <t>シエン</t>
    </rPh>
    <phoneticPr fontId="57"/>
  </si>
  <si>
    <t>３．業務内容</t>
    <rPh sb="2" eb="4">
      <t>ギョウム</t>
    </rPh>
    <rPh sb="4" eb="6">
      <t>ナイヨウ</t>
    </rPh>
    <phoneticPr fontId="57"/>
  </si>
  <si>
    <t xml:space="preserve">▲▲システム構築にかかわる▼テストの実施  </t>
    <rPh sb="18" eb="20">
      <t>ジッシ</t>
    </rPh>
    <phoneticPr fontId="2"/>
  </si>
  <si>
    <t>４．業務委託期間</t>
    <rPh sb="2" eb="4">
      <t>ギョウム</t>
    </rPh>
    <rPh sb="4" eb="6">
      <t>イタク</t>
    </rPh>
    <rPh sb="6" eb="8">
      <t>キカン</t>
    </rPh>
    <phoneticPr fontId="57"/>
  </si>
  <si>
    <t>【株式会社ＤＴＳ使用欄】</t>
    <rPh sb="1" eb="3">
      <t>カブシキ</t>
    </rPh>
    <rPh sb="3" eb="5">
      <t>カイシャ</t>
    </rPh>
    <rPh sb="8" eb="10">
      <t>シヨウ</t>
    </rPh>
    <rPh sb="10" eb="11">
      <t>ラン</t>
    </rPh>
    <phoneticPr fontId="2"/>
  </si>
  <si>
    <t>確認日</t>
    <rPh sb="0" eb="2">
      <t>カクニン</t>
    </rPh>
    <rPh sb="2" eb="3">
      <t>ニチ</t>
    </rPh>
    <phoneticPr fontId="57"/>
  </si>
  <si>
    <t>所　属</t>
    <rPh sb="0" eb="1">
      <t>ショ</t>
    </rPh>
    <rPh sb="2" eb="3">
      <t>ゾク</t>
    </rPh>
    <phoneticPr fontId="57"/>
  </si>
  <si>
    <t>○○事業本部▲事業部★担当</t>
    <rPh sb="2" eb="4">
      <t>ジギョウ</t>
    </rPh>
    <rPh sb="4" eb="6">
      <t>ホンブ</t>
    </rPh>
    <rPh sb="7" eb="9">
      <t>ジギョウ</t>
    </rPh>
    <rPh sb="9" eb="10">
      <t>ブ</t>
    </rPh>
    <rPh sb="11" eb="13">
      <t>タントウ</t>
    </rPh>
    <phoneticPr fontId="2"/>
  </si>
  <si>
    <t>役　職</t>
    <rPh sb="0" eb="1">
      <t>ヤク</t>
    </rPh>
    <rPh sb="2" eb="3">
      <t>ショク</t>
    </rPh>
    <phoneticPr fontId="57"/>
  </si>
  <si>
    <t>氏　名</t>
    <rPh sb="0" eb="1">
      <t>シ</t>
    </rPh>
    <rPh sb="2" eb="3">
      <t>メイ</t>
    </rPh>
    <phoneticPr fontId="57"/>
  </si>
  <si>
    <t>実費</t>
    <rPh sb="0" eb="2">
      <t>ジッピ</t>
    </rPh>
    <phoneticPr fontId="2"/>
  </si>
  <si>
    <t>時間(作番別)</t>
    <rPh sb="0" eb="2">
      <t>ジカン</t>
    </rPh>
    <rPh sb="3" eb="4">
      <t>サク</t>
    </rPh>
    <rPh sb="4" eb="5">
      <t>バン</t>
    </rPh>
    <rPh sb="5" eb="6">
      <t>ベツ</t>
    </rPh>
    <phoneticPr fontId="2"/>
  </si>
  <si>
    <t>勤務状況</t>
    <rPh sb="0" eb="2">
      <t>キンム</t>
    </rPh>
    <phoneticPr fontId="2"/>
  </si>
  <si>
    <t xml:space="preserve"> 就 業 時 刻</t>
    <phoneticPr fontId="2"/>
  </si>
  <si>
    <t>(派遣契約のみ記載)</t>
    <rPh sb="1" eb="3">
      <t>ハケン</t>
    </rPh>
    <rPh sb="3" eb="5">
      <t>ケイヤク</t>
    </rPh>
    <rPh sb="7" eb="9">
      <t>キサイ</t>
    </rPh>
    <phoneticPr fontId="2"/>
  </si>
  <si>
    <t>プロジェクトリーダ</t>
    <phoneticPr fontId="2"/>
  </si>
  <si>
    <t>●●　◆◆</t>
    <phoneticPr fontId="2"/>
  </si>
  <si>
    <t>(稼働実績内訳書)</t>
    <rPh sb="1" eb="3">
      <t>カドウ</t>
    </rPh>
    <rPh sb="3" eb="5">
      <t>ジッセキ</t>
    </rPh>
    <rPh sb="5" eb="7">
      <t>ウチワケ</t>
    </rPh>
    <rPh sb="7" eb="8">
      <t>ショ</t>
    </rPh>
    <phoneticPr fontId="2"/>
  </si>
  <si>
    <t>（詳細は別紙「稼働実績内訳書」のとおりです）</t>
    <rPh sb="1" eb="3">
      <t>ショウサイ</t>
    </rPh>
    <rPh sb="4" eb="6">
      <t>ベッシ</t>
    </rPh>
    <rPh sb="7" eb="9">
      <t>カドウ</t>
    </rPh>
    <rPh sb="9" eb="11">
      <t>ジッセキ</t>
    </rPh>
    <rPh sb="11" eb="14">
      <t>ウチワケショ</t>
    </rPh>
    <phoneticPr fontId="2"/>
  </si>
  <si>
    <t>日数</t>
    <rPh sb="0" eb="2">
      <t>ニッスウ</t>
    </rPh>
    <phoneticPr fontId="2"/>
  </si>
  <si>
    <t>担当者番号</t>
    <rPh sb="0" eb="2">
      <t>タントウ</t>
    </rPh>
    <rPh sb="2" eb="3">
      <t>シャ</t>
    </rPh>
    <phoneticPr fontId="2"/>
  </si>
  <si>
    <t>業務委託契約に関わる作業実績を下記のとおり報告します。</t>
    <rPh sb="0" eb="2">
      <t>ギョウム</t>
    </rPh>
    <rPh sb="2" eb="4">
      <t>イタク</t>
    </rPh>
    <rPh sb="4" eb="6">
      <t>ケイヤク</t>
    </rPh>
    <rPh sb="7" eb="8">
      <t>カカ</t>
    </rPh>
    <rPh sb="10" eb="12">
      <t>サギョウ</t>
    </rPh>
    <rPh sb="12" eb="14">
      <t>ジッセキ</t>
    </rPh>
    <rPh sb="15" eb="17">
      <t>カキ</t>
    </rPh>
    <rPh sb="21" eb="23">
      <t>ホウコク</t>
    </rPh>
    <phoneticPr fontId="57"/>
  </si>
  <si>
    <t>５.実施作業内容</t>
    <rPh sb="2" eb="4">
      <t>ジッシ</t>
    </rPh>
    <rPh sb="4" eb="6">
      <t>サギョウ</t>
    </rPh>
    <rPh sb="6" eb="8">
      <t>ナイヨウ</t>
    </rPh>
    <phoneticPr fontId="2"/>
  </si>
  <si>
    <t>６.特記事項</t>
    <rPh sb="2" eb="4">
      <t>トッキ</t>
    </rPh>
    <rPh sb="4" eb="6">
      <t>ジコウ</t>
    </rPh>
    <phoneticPr fontId="2"/>
  </si>
  <si>
    <t>作番（ｈｈ：ｍｍ）</t>
    <rPh sb="0" eb="1">
      <t>サク</t>
    </rPh>
    <rPh sb="1" eb="2">
      <t>バン</t>
    </rPh>
    <phoneticPr fontId="2"/>
  </si>
  <si>
    <t>8.0</t>
    <phoneticPr fontId="2"/>
  </si>
  <si>
    <t>業務完了報告書を一面化。
従来の稼働実績は稼働実績内訳書に変更。
特休区分は削除。</t>
    <rPh sb="0" eb="2">
      <t>ギョウム</t>
    </rPh>
    <rPh sb="2" eb="4">
      <t>カンリョウ</t>
    </rPh>
    <rPh sb="4" eb="7">
      <t>ホウコクショ</t>
    </rPh>
    <rPh sb="8" eb="11">
      <t>イチメンカ</t>
    </rPh>
    <rPh sb="13" eb="15">
      <t>ジュウライ</t>
    </rPh>
    <rPh sb="16" eb="18">
      <t>カドウ</t>
    </rPh>
    <rPh sb="18" eb="20">
      <t>ジッセキ</t>
    </rPh>
    <rPh sb="21" eb="23">
      <t>カドウ</t>
    </rPh>
    <rPh sb="23" eb="25">
      <t>ジッセキ</t>
    </rPh>
    <rPh sb="25" eb="28">
      <t>ウチワケショ</t>
    </rPh>
    <rPh sb="29" eb="31">
      <t>ヘンコウ</t>
    </rPh>
    <rPh sb="33" eb="35">
      <t>トッキュウ</t>
    </rPh>
    <rPh sb="35" eb="37">
      <t>クブン</t>
    </rPh>
    <rPh sb="38" eb="40">
      <t>サクジョ</t>
    </rPh>
    <phoneticPr fontId="2"/>
  </si>
  <si>
    <t>7.25</t>
    <phoneticPr fontId="2"/>
  </si>
  <si>
    <t xml:space="preserve">タイムテーブル
１．不要テーブルを削除
数式の名前の管理
１．無効な参照範囲を定義した数式を削除
</t>
    <rPh sb="10" eb="12">
      <t>フヨウ</t>
    </rPh>
    <rPh sb="17" eb="19">
      <t>サクジョ</t>
    </rPh>
    <rPh sb="20" eb="22">
      <t>スウシキ</t>
    </rPh>
    <rPh sb="23" eb="25">
      <t>ナマエ</t>
    </rPh>
    <rPh sb="26" eb="28">
      <t>カンリ</t>
    </rPh>
    <rPh sb="31" eb="33">
      <t>ムコウ</t>
    </rPh>
    <rPh sb="34" eb="36">
      <t>サンショウ</t>
    </rPh>
    <rPh sb="36" eb="38">
      <t>ハンイ</t>
    </rPh>
    <rPh sb="39" eb="41">
      <t>テイギ</t>
    </rPh>
    <rPh sb="43" eb="45">
      <t>スウシキ</t>
    </rPh>
    <rPh sb="46" eb="48">
      <t>サクジョ</t>
    </rPh>
    <phoneticPr fontId="2"/>
  </si>
  <si>
    <t>教育訓練に関する記録</t>
    <rPh sb="0" eb="2">
      <t>キョウイク</t>
    </rPh>
    <rPh sb="2" eb="4">
      <t>クンレン</t>
    </rPh>
    <rPh sb="5" eb="6">
      <t>カン</t>
    </rPh>
    <rPh sb="8" eb="10">
      <t>キロク</t>
    </rPh>
    <phoneticPr fontId="24"/>
  </si>
  <si>
    <t>実施日</t>
    <rPh sb="0" eb="2">
      <t>ジッシ</t>
    </rPh>
    <rPh sb="2" eb="3">
      <t>ヒ</t>
    </rPh>
    <phoneticPr fontId="24"/>
  </si>
  <si>
    <t>実施内容</t>
    <rPh sb="0" eb="2">
      <t>ジッシ</t>
    </rPh>
    <rPh sb="2" eb="4">
      <t>ナイヨウ</t>
    </rPh>
    <phoneticPr fontId="24"/>
  </si>
  <si>
    <t>8.02</t>
    <phoneticPr fontId="2"/>
  </si>
  <si>
    <t>派遣法改正に伴い「教育訓練に関する記録」を追加</t>
    <rPh sb="0" eb="3">
      <t>ハケンホウ</t>
    </rPh>
    <rPh sb="3" eb="5">
      <t>カイセイ</t>
    </rPh>
    <rPh sb="6" eb="7">
      <t>トモナ</t>
    </rPh>
    <rPh sb="9" eb="11">
      <t>キョウイク</t>
    </rPh>
    <rPh sb="11" eb="13">
      <t>クンレン</t>
    </rPh>
    <rPh sb="14" eb="15">
      <t>カン</t>
    </rPh>
    <rPh sb="17" eb="19">
      <t>キロク</t>
    </rPh>
    <rPh sb="21" eb="23">
      <t>ツイカ</t>
    </rPh>
    <phoneticPr fontId="2"/>
  </si>
  <si>
    <t>8.03</t>
    <phoneticPr fontId="2"/>
  </si>
  <si>
    <t>「派遣先管理台帳（タイムシート）」の法定時間外の数式を修正。　「休出」時の稼動時間を常に表示する。</t>
    <rPh sb="18" eb="20">
      <t>ホウテイ</t>
    </rPh>
    <rPh sb="20" eb="23">
      <t>ジカンガイ</t>
    </rPh>
    <rPh sb="24" eb="26">
      <t>スウシキ</t>
    </rPh>
    <rPh sb="27" eb="29">
      <t>シュウセイ</t>
    </rPh>
    <rPh sb="32" eb="34">
      <t>キュウシュツ</t>
    </rPh>
    <rPh sb="35" eb="36">
      <t>ジ</t>
    </rPh>
    <rPh sb="37" eb="39">
      <t>カドウ</t>
    </rPh>
    <rPh sb="39" eb="41">
      <t>ジカン</t>
    </rPh>
    <rPh sb="42" eb="43">
      <t>ツネ</t>
    </rPh>
    <rPh sb="44" eb="46">
      <t>ヒョウジ</t>
    </rPh>
    <phoneticPr fontId="2"/>
  </si>
  <si>
    <t>　適宜、日にちを設定して下さい。</t>
    <rPh sb="1" eb="3">
      <t>テキギ</t>
    </rPh>
    <rPh sb="4" eb="5">
      <t>ヒ</t>
    </rPh>
    <rPh sb="8" eb="10">
      <t>セッテイ</t>
    </rPh>
    <rPh sb="12" eb="13">
      <t>クダ</t>
    </rPh>
    <phoneticPr fontId="2"/>
  </si>
  <si>
    <t>＊５月以外の「国民の休日」や「振替休日」は、</t>
    <rPh sb="2" eb="3">
      <t>ガツ</t>
    </rPh>
    <rPh sb="3" eb="5">
      <t>イガイ</t>
    </rPh>
    <rPh sb="7" eb="9">
      <t>コクミン</t>
    </rPh>
    <rPh sb="10" eb="12">
      <t>キュウジツ</t>
    </rPh>
    <rPh sb="15" eb="17">
      <t>フリカエ</t>
    </rPh>
    <rPh sb="17" eb="19">
      <t>キュウジツ</t>
    </rPh>
    <phoneticPr fontId="2"/>
  </si>
  <si>
    <t>8.04</t>
    <phoneticPr fontId="2"/>
  </si>
  <si>
    <t>（情シス部にて改変）</t>
    <phoneticPr fontId="2"/>
  </si>
  <si>
    <t>派遣先管理台帳（２）のインポート機能のVBAマクロについて、休日の取込部分の故障対応を実施。</t>
    <rPh sb="16" eb="18">
      <t>キノウ</t>
    </rPh>
    <rPh sb="30" eb="32">
      <t>キュウジツ</t>
    </rPh>
    <rPh sb="33" eb="35">
      <t>トリコミ</t>
    </rPh>
    <rPh sb="35" eb="37">
      <t>ブブン</t>
    </rPh>
    <rPh sb="38" eb="40">
      <t>コショウ</t>
    </rPh>
    <rPh sb="40" eb="42">
      <t>タイオウ</t>
    </rPh>
    <rPh sb="43" eb="45">
      <t>ジッシ</t>
    </rPh>
    <phoneticPr fontId="2"/>
  </si>
  <si>
    <t>8.05</t>
    <phoneticPr fontId="2"/>
  </si>
  <si>
    <t>派遣先管理台帳（２）のインポート機能において、就業時間と休憩時間に0：00が表示されない不具合を修正。</t>
    <rPh sb="23" eb="25">
      <t>シュウギョウ</t>
    </rPh>
    <rPh sb="25" eb="27">
      <t>ジカン</t>
    </rPh>
    <rPh sb="28" eb="30">
      <t>キュウケイ</t>
    </rPh>
    <rPh sb="30" eb="32">
      <t>ジカン</t>
    </rPh>
    <rPh sb="38" eb="40">
      <t>ヒョウジ</t>
    </rPh>
    <rPh sb="44" eb="47">
      <t>フグアイ</t>
    </rPh>
    <rPh sb="48" eb="50">
      <t>シュウセイ</t>
    </rPh>
    <phoneticPr fontId="2"/>
  </si>
  <si>
    <t>（情シス部にて改変）</t>
    <phoneticPr fontId="2"/>
  </si>
  <si>
    <t>8.06</t>
    <phoneticPr fontId="2"/>
  </si>
  <si>
    <t>名称のみ「交通費請求書」を「実費精算書」に変更。</t>
    <rPh sb="0" eb="2">
      <t>メイショウ</t>
    </rPh>
    <rPh sb="5" eb="8">
      <t>コウツウヒ</t>
    </rPh>
    <rPh sb="8" eb="10">
      <t>セイキュウ</t>
    </rPh>
    <rPh sb="10" eb="11">
      <t>ショ</t>
    </rPh>
    <rPh sb="14" eb="16">
      <t>ジッピ</t>
    </rPh>
    <rPh sb="16" eb="18">
      <t>セイサン</t>
    </rPh>
    <rPh sb="18" eb="19">
      <t>ショ</t>
    </rPh>
    <rPh sb="21" eb="23">
      <t>ヘンコウ</t>
    </rPh>
    <phoneticPr fontId="2"/>
  </si>
  <si>
    <t>8.07</t>
    <phoneticPr fontId="2"/>
  </si>
  <si>
    <t>「実費精算書」の様式番号を更新。</t>
    <rPh sb="1" eb="3">
      <t>ジッピ</t>
    </rPh>
    <rPh sb="3" eb="6">
      <t>セイサンショ</t>
    </rPh>
    <rPh sb="8" eb="10">
      <t>ヨウシキ</t>
    </rPh>
    <rPh sb="10" eb="12">
      <t>バンゴウ</t>
    </rPh>
    <rPh sb="13" eb="15">
      <t>コウシン</t>
    </rPh>
    <phoneticPr fontId="2"/>
  </si>
  <si>
    <t>8.08</t>
    <phoneticPr fontId="2"/>
  </si>
  <si>
    <t>「稼働実績内訳書」の作番別稼動時間合計の計算式修正</t>
    <rPh sb="10" eb="11">
      <t>サク</t>
    </rPh>
    <rPh sb="11" eb="12">
      <t>バン</t>
    </rPh>
    <rPh sb="12" eb="13">
      <t>ベツ</t>
    </rPh>
    <rPh sb="13" eb="15">
      <t>カドウ</t>
    </rPh>
    <rPh sb="15" eb="17">
      <t>ジカン</t>
    </rPh>
    <rPh sb="17" eb="19">
      <t>ゴウケイ</t>
    </rPh>
    <rPh sb="20" eb="23">
      <t>ケイサンシキ</t>
    </rPh>
    <rPh sb="23" eb="25">
      <t>シュウセイ</t>
    </rPh>
    <phoneticPr fontId="2"/>
  </si>
  <si>
    <t>(株)ＤＴＳ 御中</t>
    <rPh sb="0" eb="3">
      <t>カブ</t>
    </rPh>
    <rPh sb="7" eb="9">
      <t>オンチュウ</t>
    </rPh>
    <phoneticPr fontId="24"/>
  </si>
  <si>
    <t>作業実施責任者</t>
    <rPh sb="0" eb="2">
      <t>サギョウ</t>
    </rPh>
    <rPh sb="2" eb="4">
      <t>ジッシ</t>
    </rPh>
    <rPh sb="4" eb="7">
      <t>セキニンシャ</t>
    </rPh>
    <phoneticPr fontId="24"/>
  </si>
  <si>
    <t>（正）</t>
    <rPh sb="1" eb="2">
      <t>セイ</t>
    </rPh>
    <phoneticPr fontId="24"/>
  </si>
  <si>
    <t>（副）</t>
    <rPh sb="1" eb="2">
      <t>フク</t>
    </rPh>
    <phoneticPr fontId="24"/>
  </si>
  <si>
    <t>会社名</t>
    <rPh sb="0" eb="3">
      <t>カイシャメイ</t>
    </rPh>
    <phoneticPr fontId="24"/>
  </si>
  <si>
    <t>氏　　　　名</t>
    <rPh sb="0" eb="1">
      <t>シ</t>
    </rPh>
    <rPh sb="5" eb="6">
      <t>メイ</t>
    </rPh>
    <phoneticPr fontId="24"/>
  </si>
  <si>
    <t>経　　路</t>
    <rPh sb="0" eb="1">
      <t>キョウ</t>
    </rPh>
    <rPh sb="3" eb="4">
      <t>ミチ</t>
    </rPh>
    <phoneticPr fontId="24"/>
  </si>
  <si>
    <t>目的等</t>
    <rPh sb="2" eb="3">
      <t>トウ</t>
    </rPh>
    <phoneticPr fontId="24"/>
  </si>
  <si>
    <t>金額</t>
    <rPh sb="0" eb="2">
      <t>キンガク</t>
    </rPh>
    <phoneticPr fontId="24"/>
  </si>
  <si>
    <t>領収書</t>
    <rPh sb="0" eb="3">
      <t>リョウシュウショ</t>
    </rPh>
    <phoneticPr fontId="24"/>
  </si>
  <si>
    <t>出発駅</t>
    <rPh sb="0" eb="2">
      <t>シュッパツ</t>
    </rPh>
    <rPh sb="2" eb="3">
      <t>エキ</t>
    </rPh>
    <phoneticPr fontId="24"/>
  </si>
  <si>
    <t>経由駅</t>
    <rPh sb="0" eb="2">
      <t>ケイユ</t>
    </rPh>
    <rPh sb="2" eb="3">
      <t>エキ</t>
    </rPh>
    <phoneticPr fontId="24"/>
  </si>
  <si>
    <t>到着駅</t>
    <rPh sb="0" eb="2">
      <t>トウチャク</t>
    </rPh>
    <rPh sb="2" eb="3">
      <t>エキ</t>
    </rPh>
    <phoneticPr fontId="24"/>
  </si>
  <si>
    <t>往復/片道</t>
    <rPh sb="3" eb="5">
      <t>カタミチ</t>
    </rPh>
    <phoneticPr fontId="24"/>
  </si>
  <si>
    <t>電車</t>
    <rPh sb="0" eb="2">
      <t>デンシャ</t>
    </rPh>
    <phoneticPr fontId="24"/>
  </si>
  <si>
    <t>その他</t>
    <rPh sb="2" eb="3">
      <t>タ</t>
    </rPh>
    <phoneticPr fontId="24"/>
  </si>
  <si>
    <t>計</t>
    <rPh sb="0" eb="1">
      <t>ケイ</t>
    </rPh>
    <phoneticPr fontId="24"/>
  </si>
  <si>
    <t>枚数</t>
    <rPh sb="0" eb="2">
      <t>マイスウ</t>
    </rPh>
    <phoneticPr fontId="24"/>
  </si>
  <si>
    <t>往復</t>
    <rPh sb="0" eb="2">
      <t>オウフク</t>
    </rPh>
    <phoneticPr fontId="24"/>
  </si>
  <si>
    <t>片道</t>
    <rPh sb="0" eb="2">
      <t>カタミチ</t>
    </rPh>
    <phoneticPr fontId="24"/>
  </si>
  <si>
    <t>切符</t>
    <rPh sb="0" eb="2">
      <t>キップ</t>
    </rPh>
    <phoneticPr fontId="24"/>
  </si>
  <si>
    <t>現金</t>
    <rPh sb="0" eb="2">
      <t>ゲンキン</t>
    </rPh>
    <phoneticPr fontId="24"/>
  </si>
  <si>
    <t>作番</t>
    <rPh sb="0" eb="1">
      <t>サク</t>
    </rPh>
    <rPh sb="1" eb="2">
      <t>バン</t>
    </rPh>
    <phoneticPr fontId="24"/>
  </si>
  <si>
    <t>合計</t>
    <rPh sb="0" eb="1">
      <t>ゴウ</t>
    </rPh>
    <rPh sb="1" eb="2">
      <t>ケイ</t>
    </rPh>
    <phoneticPr fontId="24"/>
  </si>
  <si>
    <t>9.00</t>
    <phoneticPr fontId="2"/>
  </si>
  <si>
    <t>実費精算書</t>
    <phoneticPr fontId="2"/>
  </si>
  <si>
    <t>作番別合計</t>
    <rPh sb="0" eb="1">
      <t>サク</t>
    </rPh>
    <rPh sb="1" eb="2">
      <t>バン</t>
    </rPh>
    <rPh sb="2" eb="3">
      <t>ベツ</t>
    </rPh>
    <rPh sb="3" eb="5">
      <t>ゴウケイ</t>
    </rPh>
    <phoneticPr fontId="24"/>
  </si>
  <si>
    <t>領収書枚数</t>
    <rPh sb="0" eb="3">
      <t>リョウシュウショ</t>
    </rPh>
    <rPh sb="3" eb="5">
      <t>マイスウ</t>
    </rPh>
    <phoneticPr fontId="2"/>
  </si>
  <si>
    <t>確認者</t>
    <rPh sb="0" eb="3">
      <t>カクニンシャ</t>
    </rPh>
    <phoneticPr fontId="2"/>
  </si>
  <si>
    <t>確認日</t>
    <rPh sb="0" eb="2">
      <t>カクニン</t>
    </rPh>
    <rPh sb="2" eb="3">
      <t>ビ</t>
    </rPh>
    <phoneticPr fontId="2"/>
  </si>
  <si>
    <t>所属</t>
    <rPh sb="0" eb="2">
      <t>ショゾク</t>
    </rPh>
    <phoneticPr fontId="2"/>
  </si>
  <si>
    <t>役職</t>
    <rPh sb="0" eb="2">
      <t>ヤクショク</t>
    </rPh>
    <phoneticPr fontId="2"/>
  </si>
  <si>
    <t>・派遣先管理台帳に「組織単位」追加
・実費精算書改定</t>
    <rPh sb="1" eb="6">
      <t>ハケンサキカンリ</t>
    </rPh>
    <rPh sb="6" eb="8">
      <t>ダイチョウ</t>
    </rPh>
    <rPh sb="10" eb="12">
      <t>ソシキ</t>
    </rPh>
    <rPh sb="12" eb="14">
      <t>タンイ</t>
    </rPh>
    <rPh sb="15" eb="17">
      <t>ツイカ</t>
    </rPh>
    <rPh sb="19" eb="21">
      <t>ジッピ</t>
    </rPh>
    <rPh sb="21" eb="24">
      <t>セイサンショ</t>
    </rPh>
    <rPh sb="24" eb="26">
      <t>カイテイ</t>
    </rPh>
    <phoneticPr fontId="2"/>
  </si>
  <si>
    <t xml:space="preserve"> 組織単位</t>
    <rPh sb="1" eb="3">
      <t>ソシキ</t>
    </rPh>
    <rPh sb="3" eb="5">
      <t>タンイ</t>
    </rPh>
    <phoneticPr fontId="24"/>
  </si>
  <si>
    <t>（情シス部にて改変）</t>
    <phoneticPr fontId="2"/>
  </si>
  <si>
    <t>派遣先管理台帳（２）のインポート機能の対象に組織単位を追加。</t>
    <rPh sb="19" eb="21">
      <t>タイショウ</t>
    </rPh>
    <rPh sb="22" eb="24">
      <t>ソシキ</t>
    </rPh>
    <rPh sb="24" eb="26">
      <t>タンイ</t>
    </rPh>
    <rPh sb="27" eb="29">
      <t>ツイカ</t>
    </rPh>
    <phoneticPr fontId="2"/>
  </si>
  <si>
    <t>9.20</t>
    <phoneticPr fontId="2"/>
  </si>
  <si>
    <r>
      <t>合計欄　　</t>
    </r>
    <r>
      <rPr>
        <sz val="11"/>
        <color rgb="FFFF0000"/>
        <rFont val="ＭＳ ゴシック"/>
        <family val="3"/>
        <charset val="128"/>
      </rPr>
      <t>★使用した作番を全て記入</t>
    </r>
    <rPh sb="0" eb="1">
      <t>ゴウ</t>
    </rPh>
    <rPh sb="1" eb="2">
      <t>ケイ</t>
    </rPh>
    <rPh sb="2" eb="3">
      <t>ラン</t>
    </rPh>
    <rPh sb="6" eb="8">
      <t>シヨウ</t>
    </rPh>
    <rPh sb="10" eb="12">
      <t>サクバン</t>
    </rPh>
    <rPh sb="13" eb="14">
      <t>スベ</t>
    </rPh>
    <rPh sb="15" eb="17">
      <t>キニュウ</t>
    </rPh>
    <phoneticPr fontId="24"/>
  </si>
  <si>
    <t>日付
dd</t>
    <rPh sb="0" eb="2">
      <t>ヒヅケ</t>
    </rPh>
    <phoneticPr fontId="24"/>
  </si>
  <si>
    <t>作 番</t>
    <phoneticPr fontId="24"/>
  </si>
  <si>
    <t>バス</t>
    <phoneticPr fontId="24"/>
  </si>
  <si>
    <t>ＩＣ</t>
    <phoneticPr fontId="24"/>
  </si>
  <si>
    <t>9.10</t>
    <phoneticPr fontId="2"/>
  </si>
  <si>
    <t>実費精算書改定</t>
    <rPh sb="0" eb="2">
      <t>ジッピ</t>
    </rPh>
    <rPh sb="2" eb="5">
      <t>セイサンショ</t>
    </rPh>
    <rPh sb="5" eb="7">
      <t>カイテイ</t>
    </rPh>
    <phoneticPr fontId="2"/>
  </si>
  <si>
    <t>株式会社ＤＴＳ</t>
  </si>
  <si>
    <t>ＴＥＬ：03-3948-5488</t>
  </si>
  <si>
    <t>東京都中央区八丁堀２－２３－１　エンパイヤビル８F</t>
    <phoneticPr fontId="2"/>
  </si>
  <si>
    <t xml:space="preserve"> 所属コード</t>
    <phoneticPr fontId="2"/>
  </si>
  <si>
    <t>4月実績から前月実績までの累計</t>
    <rPh sb="1" eb="2">
      <t>ガツ</t>
    </rPh>
    <rPh sb="2" eb="4">
      <t>ジッセキ</t>
    </rPh>
    <rPh sb="6" eb="8">
      <t>ゼンゲツ</t>
    </rPh>
    <rPh sb="8" eb="10">
      <t>ジッセキ</t>
    </rPh>
    <phoneticPr fontId="2"/>
  </si>
  <si>
    <t>　　　管 理 印</t>
    <phoneticPr fontId="2"/>
  </si>
  <si>
    <t xml:space="preserve"> 社員コード</t>
    <phoneticPr fontId="2"/>
  </si>
  <si>
    <t xml:space="preserve"> 氏　　　名</t>
    <phoneticPr fontId="2"/>
  </si>
  <si>
    <t>年</t>
  </si>
  <si>
    <t>0:00</t>
  </si>
  <si>
    <t xml:space="preserve"> 就 業 時 刻</t>
    <phoneticPr fontId="2"/>
  </si>
  <si>
    <t>勤務</t>
  </si>
  <si>
    <t xml:space="preserve">     時間外勤務(M)</t>
    <phoneticPr fontId="23"/>
  </si>
  <si>
    <t>本人印</t>
    <rPh sb="0" eb="2">
      <t>ホンニン</t>
    </rPh>
    <rPh sb="2" eb="3">
      <t>イン</t>
    </rPh>
    <phoneticPr fontId="2"/>
  </si>
  <si>
    <t>確認印</t>
    <rPh sb="0" eb="2">
      <t>カクニン</t>
    </rPh>
    <rPh sb="2" eb="3">
      <t>イン</t>
    </rPh>
    <phoneticPr fontId="2"/>
  </si>
  <si>
    <t>状況</t>
  </si>
  <si>
    <t>　 休暇</t>
    <phoneticPr fontId="2"/>
  </si>
  <si>
    <t>夜　勤
回　数</t>
    <phoneticPr fontId="24"/>
  </si>
  <si>
    <t>遅・早・
欠勤回数</t>
    <phoneticPr fontId="24"/>
  </si>
  <si>
    <t>遅・早・
欠勤</t>
    <phoneticPr fontId="24"/>
  </si>
  <si>
    <t xml:space="preserve"> 合 計
 時 間</t>
    <phoneticPr fontId="24"/>
  </si>
  <si>
    <t>（H:M）</t>
    <phoneticPr fontId="2"/>
  </si>
  <si>
    <t>（H:M）</t>
    <phoneticPr fontId="24"/>
  </si>
  <si>
    <t>（H：M）</t>
    <phoneticPr fontId="24"/>
  </si>
  <si>
    <t>休出回数</t>
    <phoneticPr fontId="2"/>
  </si>
  <si>
    <t>C-SUM</t>
    <phoneticPr fontId="2"/>
  </si>
  <si>
    <t>前月までの
45H/70H超過回数</t>
    <phoneticPr fontId="2"/>
  </si>
  <si>
    <t>（注２） 月次処理 ： 休出回数は、休日出勤（休出：土曜日/祝日）および法定の休日出勤（法休出：日曜日）を合計して記入する。ただし、振替休日取得の場合の休日出勤分は回数に含まない。</t>
    <rPh sb="5" eb="7">
      <t>ゲツジ</t>
    </rPh>
    <rPh sb="7" eb="9">
      <t>ショリ</t>
    </rPh>
    <rPh sb="66" eb="68">
      <t>フリカエ</t>
    </rPh>
    <rPh sb="68" eb="70">
      <t>キュウジツ</t>
    </rPh>
    <rPh sb="70" eb="72">
      <t>シュトク</t>
    </rPh>
    <rPh sb="73" eb="75">
      <t>バアイ</t>
    </rPh>
    <rPh sb="76" eb="78">
      <t>キュウジツ</t>
    </rPh>
    <rPh sb="78" eb="80">
      <t>シュッキン</t>
    </rPh>
    <rPh sb="80" eb="81">
      <t>ブン</t>
    </rPh>
    <rPh sb="82" eb="84">
      <t>カイスウ</t>
    </rPh>
    <rPh sb="85" eb="86">
      <t>フク</t>
    </rPh>
    <phoneticPr fontId="2"/>
  </si>
  <si>
    <t>（様式８）２００６．４</t>
    <phoneticPr fontId="2"/>
  </si>
  <si>
    <t>0</t>
  </si>
  <si>
    <t>株式会社　ＤＴＳ</t>
    <rPh sb="0" eb="4">
      <t>カブシキガイシャ</t>
    </rPh>
    <phoneticPr fontId="2"/>
  </si>
  <si>
    <t>2019年　4　月　30　日</t>
    <rPh sb="4" eb="5">
      <t>ネン</t>
    </rPh>
    <rPh sb="5" eb="6">
      <t>ヘイネン</t>
    </rPh>
    <rPh sb="8" eb="9">
      <t>ゲツ</t>
    </rPh>
    <rPh sb="13" eb="14">
      <t>ニチ</t>
    </rPh>
    <phoneticPr fontId="57"/>
  </si>
  <si>
    <t>2019年4月分</t>
    <rPh sb="4" eb="5">
      <t>ネン</t>
    </rPh>
    <rPh sb="6" eb="8">
      <t>ガツブン</t>
    </rPh>
    <phoneticPr fontId="2"/>
  </si>
  <si>
    <t>　2019　年　5　月　1　日　</t>
    <phoneticPr fontId="57"/>
  </si>
  <si>
    <t>　(西暦）　　　年　　月　　日</t>
    <rPh sb="2" eb="4">
      <t>セイレキ</t>
    </rPh>
    <phoneticPr fontId="57"/>
  </si>
  <si>
    <t>（西暦）２０１９年４月１日～６月３０日</t>
    <rPh sb="1" eb="3">
      <t>セイレキ</t>
    </rPh>
    <rPh sb="8" eb="9">
      <t>ネン</t>
    </rPh>
    <rPh sb="10" eb="11">
      <t>ガツ</t>
    </rPh>
    <rPh sb="12" eb="13">
      <t>ニチ</t>
    </rPh>
    <rPh sb="15" eb="16">
      <t>ガツ</t>
    </rPh>
    <rPh sb="18" eb="19">
      <t>ニチ</t>
    </rPh>
    <phoneticPr fontId="2"/>
  </si>
  <si>
    <t>(様式８）</t>
  </si>
  <si>
    <t>　※発注申請画面からデータをエクスポートしてから「LoadFile」⇒「ReadData」ボタンを押下ください。</t>
    <rPh sb="2" eb="4">
      <t>ハッチュウ</t>
    </rPh>
    <rPh sb="4" eb="6">
      <t>シンセイ</t>
    </rPh>
    <rPh sb="6" eb="8">
      <t>ガメン</t>
    </rPh>
    <rPh sb="49" eb="51">
      <t>オウカ</t>
    </rPh>
    <phoneticPr fontId="24"/>
  </si>
  <si>
    <t>　　発注情報を黄色の項目にコピーすることができます。</t>
    <rPh sb="2" eb="4">
      <t>ハッチュウ</t>
    </rPh>
    <rPh sb="4" eb="6">
      <t>ジョウホウ</t>
    </rPh>
    <rPh sb="7" eb="9">
      <t>キイロ</t>
    </rPh>
    <rPh sb="10" eb="12">
      <t>コウモク</t>
    </rPh>
    <phoneticPr fontId="24"/>
  </si>
  <si>
    <t>　</t>
    <phoneticPr fontId="2"/>
  </si>
  <si>
    <t>9.30</t>
    <phoneticPr fontId="2"/>
  </si>
  <si>
    <t>派遣先管理台帳、稼動実績内訳書、入力シートをシート保護
派遣先管理台帳、稼動実績内訳書、業務完了報告書を西暦に変更
稼動実績内訳書の就業単位を追加（内部統制）</t>
    <rPh sb="0" eb="2">
      <t>ハケン</t>
    </rPh>
    <rPh sb="2" eb="3">
      <t>サキ</t>
    </rPh>
    <rPh sb="3" eb="5">
      <t>カンリ</t>
    </rPh>
    <rPh sb="5" eb="7">
      <t>ダイチョウ</t>
    </rPh>
    <rPh sb="8" eb="10">
      <t>カドウ</t>
    </rPh>
    <rPh sb="10" eb="12">
      <t>ジッセキ</t>
    </rPh>
    <rPh sb="12" eb="15">
      <t>ウチワケショ</t>
    </rPh>
    <rPh sb="16" eb="18">
      <t>ニュウリョク</t>
    </rPh>
    <rPh sb="25" eb="27">
      <t>ホゴ</t>
    </rPh>
    <rPh sb="44" eb="46">
      <t>ギョウム</t>
    </rPh>
    <rPh sb="46" eb="48">
      <t>カンリョウ</t>
    </rPh>
    <rPh sb="48" eb="51">
      <t>ホウコクショ</t>
    </rPh>
    <rPh sb="52" eb="54">
      <t>セイレキ</t>
    </rPh>
    <rPh sb="55" eb="57">
      <t>ヘンコウ</t>
    </rPh>
    <rPh sb="58" eb="60">
      <t>カドウ</t>
    </rPh>
    <rPh sb="60" eb="62">
      <t>ジッセキ</t>
    </rPh>
    <rPh sb="62" eb="65">
      <t>ウチワケショ</t>
    </rPh>
    <rPh sb="66" eb="68">
      <t>シュウギョウ</t>
    </rPh>
    <rPh sb="68" eb="70">
      <t>タンイ</t>
    </rPh>
    <rPh sb="71" eb="73">
      <t>ツイカ</t>
    </rPh>
    <rPh sb="74" eb="76">
      <t>ナイブ</t>
    </rPh>
    <rPh sb="76" eb="78">
      <t>トウセイ</t>
    </rPh>
    <phoneticPr fontId="2"/>
  </si>
  <si>
    <t>　従事した業務の種類：都度、従事した業務を記載すること。</t>
    <rPh sb="1" eb="3">
      <t>ジュウジ</t>
    </rPh>
    <rPh sb="5" eb="7">
      <t>ギョウム</t>
    </rPh>
    <rPh sb="8" eb="10">
      <t>シュルイ</t>
    </rPh>
    <phoneticPr fontId="24"/>
  </si>
  <si>
    <t xml:space="preserve"> 従事した業務
 の種類</t>
    <rPh sb="1" eb="3">
      <t>ジュウジ</t>
    </rPh>
    <rPh sb="5" eb="7">
      <t>ギョウム</t>
    </rPh>
    <rPh sb="10" eb="12">
      <t>シュルイ</t>
    </rPh>
    <phoneticPr fontId="24"/>
  </si>
  <si>
    <t>実費</t>
    <rPh sb="0" eb="2">
      <t>ジッピ</t>
    </rPh>
    <phoneticPr fontId="24"/>
  </si>
  <si>
    <t>合計</t>
    <rPh sb="0" eb="2">
      <t>ゴウケイ</t>
    </rPh>
    <phoneticPr fontId="24"/>
  </si>
  <si>
    <t>*合計時間は就業単位反映時間</t>
    <rPh sb="1" eb="3">
      <t>ゴウケイ</t>
    </rPh>
    <rPh sb="3" eb="5">
      <t>ジカン</t>
    </rPh>
    <rPh sb="6" eb="8">
      <t>シュウギョウ</t>
    </rPh>
    <phoneticPr fontId="2"/>
  </si>
  <si>
    <t>就業単位未反映時間（単純合計）</t>
    <rPh sb="0" eb="2">
      <t>シュウギョウ</t>
    </rPh>
    <rPh sb="2" eb="4">
      <t>タンイ</t>
    </rPh>
    <rPh sb="4" eb="7">
      <t>ミハンエイ</t>
    </rPh>
    <rPh sb="7" eb="9">
      <t>ジカン</t>
    </rPh>
    <rPh sb="10" eb="12">
      <t>タンジュン</t>
    </rPh>
    <rPh sb="12" eb="14">
      <t>ゴウケイ</t>
    </rPh>
    <phoneticPr fontId="2"/>
  </si>
  <si>
    <t>9.40</t>
    <phoneticPr fontId="2"/>
  </si>
  <si>
    <t xml:space="preserve">令和天皇誕生日他2020年休日設定
会社名欄（長い会社名対応）
稼働実績内訳書「合計時間」…就業単位を適用
稼働実績内訳書「実費」…１０万円以上を正しく表示
派遣台帳…「実費」欄追加
稼働実績内訳書、派遣台帳…「実費」欄に実費精算書の合計金額を表示
実費精算書…２ページ目以降ＢＰ要員名表示
タイムテーブル　旧DL削除
</t>
    <rPh sb="0" eb="2">
      <t>レイワ</t>
    </rPh>
    <rPh sb="2" eb="4">
      <t>テンノウ</t>
    </rPh>
    <rPh sb="4" eb="7">
      <t>タンジョウビ</t>
    </rPh>
    <rPh sb="7" eb="8">
      <t>ホカ</t>
    </rPh>
    <rPh sb="12" eb="13">
      <t>ネン</t>
    </rPh>
    <rPh sb="13" eb="15">
      <t>キュウジツ</t>
    </rPh>
    <rPh sb="15" eb="17">
      <t>セッテイ</t>
    </rPh>
    <rPh sb="18" eb="21">
      <t>カイシャメイ</t>
    </rPh>
    <rPh sb="21" eb="22">
      <t>ラン</t>
    </rPh>
    <rPh sb="23" eb="24">
      <t>ナガ</t>
    </rPh>
    <rPh sb="25" eb="28">
      <t>カイシャメイ</t>
    </rPh>
    <rPh sb="28" eb="30">
      <t>タイオウ</t>
    </rPh>
    <rPh sb="32" eb="34">
      <t>カドウ</t>
    </rPh>
    <rPh sb="34" eb="36">
      <t>ジッセキ</t>
    </rPh>
    <rPh sb="36" eb="39">
      <t>ウチワケショ</t>
    </rPh>
    <rPh sb="40" eb="42">
      <t>ゴウケイ</t>
    </rPh>
    <rPh sb="42" eb="44">
      <t>ジカン</t>
    </rPh>
    <rPh sb="46" eb="48">
      <t>シュウギョウ</t>
    </rPh>
    <rPh sb="48" eb="50">
      <t>タンイ</t>
    </rPh>
    <rPh sb="51" eb="53">
      <t>テキヨウ</t>
    </rPh>
    <rPh sb="62" eb="64">
      <t>ジッピ</t>
    </rPh>
    <rPh sb="68" eb="72">
      <t>マンエンイジョウ</t>
    </rPh>
    <rPh sb="73" eb="74">
      <t>タダ</t>
    </rPh>
    <rPh sb="76" eb="78">
      <t>ヒョウジ</t>
    </rPh>
    <rPh sb="79" eb="81">
      <t>ハケン</t>
    </rPh>
    <rPh sb="81" eb="83">
      <t>ダイチョウ</t>
    </rPh>
    <rPh sb="85" eb="87">
      <t>ジッピ</t>
    </rPh>
    <rPh sb="88" eb="89">
      <t>ラン</t>
    </rPh>
    <rPh sb="89" eb="91">
      <t>ツイカ</t>
    </rPh>
    <rPh sb="92" eb="94">
      <t>カドウ</t>
    </rPh>
    <rPh sb="94" eb="96">
      <t>ジッセキ</t>
    </rPh>
    <rPh sb="96" eb="99">
      <t>ウチワケショ</t>
    </rPh>
    <rPh sb="100" eb="102">
      <t>ハケン</t>
    </rPh>
    <rPh sb="102" eb="104">
      <t>ダイチョウ</t>
    </rPh>
    <rPh sb="106" eb="108">
      <t>ジッピ</t>
    </rPh>
    <rPh sb="109" eb="110">
      <t>ラン</t>
    </rPh>
    <rPh sb="111" eb="113">
      <t>ジッピ</t>
    </rPh>
    <rPh sb="113" eb="116">
      <t>セイサンショ</t>
    </rPh>
    <rPh sb="117" eb="119">
      <t>ゴウケイ</t>
    </rPh>
    <rPh sb="119" eb="121">
      <t>キンガク</t>
    </rPh>
    <rPh sb="122" eb="124">
      <t>ヒョウジ</t>
    </rPh>
    <rPh sb="125" eb="127">
      <t>ジッピ</t>
    </rPh>
    <rPh sb="127" eb="129">
      <t>セイサン</t>
    </rPh>
    <rPh sb="129" eb="130">
      <t>ショ</t>
    </rPh>
    <rPh sb="135" eb="136">
      <t>メ</t>
    </rPh>
    <rPh sb="136" eb="138">
      <t>イコウ</t>
    </rPh>
    <rPh sb="140" eb="142">
      <t>ヨウイン</t>
    </rPh>
    <rPh sb="142" eb="143">
      <t>メイ</t>
    </rPh>
    <rPh sb="143" eb="145">
      <t>ヒョウジ</t>
    </rPh>
    <rPh sb="154" eb="155">
      <t>キュウ</t>
    </rPh>
    <rPh sb="157" eb="159">
      <t>サクジョ</t>
    </rPh>
    <phoneticPr fontId="2"/>
  </si>
  <si>
    <t>様式（BP）2019.12　Ver9.40</t>
    <phoneticPr fontId="2"/>
  </si>
  <si>
    <t>９：３０分開始</t>
    <phoneticPr fontId="2"/>
  </si>
  <si>
    <t>担当氏名</t>
    <rPh sb="0" eb="2">
      <t>タントウ</t>
    </rPh>
    <rPh sb="2" eb="4">
      <t>シメイ</t>
    </rPh>
    <phoneticPr fontId="2"/>
  </si>
  <si>
    <t>守屋　省志</t>
    <rPh sb="0" eb="2">
      <t>モリヤ</t>
    </rPh>
    <phoneticPr fontId="2"/>
  </si>
  <si>
    <t>法人ソリューション事業本部　第二法人ソリューション事業部　TERASOLUNA担当</t>
    <phoneticPr fontId="2"/>
  </si>
  <si>
    <t>李　長帥</t>
  </si>
  <si>
    <t>要件定義, 基本設計, 詳細設計, プログラミング, 単体テスト, 結合テスト</t>
    <phoneticPr fontId="2"/>
  </si>
  <si>
    <t>以下余白</t>
  </si>
  <si>
    <t>振替休日</t>
    <phoneticPr fontId="2"/>
  </si>
  <si>
    <t>フォレストソフト株式会社</t>
    <phoneticPr fontId="2"/>
  </si>
  <si>
    <t>紀　恒</t>
    <rPh sb="0" eb="1">
      <t>キ</t>
    </rPh>
    <rPh sb="2" eb="3">
      <t>コウ</t>
    </rPh>
    <phoneticPr fontId="2"/>
  </si>
  <si>
    <t>ＡＣＳ様システム開発／保守対応（2020年06月～08月）</t>
    <phoneticPr fontId="2"/>
  </si>
  <si>
    <t>ＡＣＳ様システム開発／保守</t>
    <phoneticPr fontId="2"/>
  </si>
  <si>
    <t>東京都中央区日本橋浜町２－１６－５</t>
    <rPh sb="3" eb="6">
      <t>チュウオウク</t>
    </rPh>
    <rPh sb="6" eb="9">
      <t>ニホンバシ</t>
    </rPh>
    <phoneticPr fontId="2"/>
  </si>
  <si>
    <t>（西暦）２０２０年６月１日～８月３１日</t>
    <phoneticPr fontId="2"/>
  </si>
  <si>
    <t>紀 恒</t>
  </si>
  <si>
    <t>トウ 剣</t>
  </si>
  <si>
    <t>王 嬌</t>
  </si>
  <si>
    <t>李 学強</t>
    <rPh sb="0" eb="4">
      <t>リガクキョウ</t>
    </rPh>
    <phoneticPr fontId="2"/>
  </si>
  <si>
    <t>3521-05434</t>
    <phoneticPr fontId="2"/>
  </si>
  <si>
    <t>李 学強</t>
  </si>
  <si>
    <t>年末年始</t>
  </si>
  <si>
    <t>年末年始</t>
    <phoneticPr fontId="2"/>
  </si>
  <si>
    <t>年末年始（振替休日）</t>
  </si>
  <si>
    <t>成人の日</t>
  </si>
  <si>
    <t>9:30</t>
    <phoneticPr fontId="2"/>
  </si>
  <si>
    <t>18:15</t>
    <phoneticPr fontId="2"/>
  </si>
  <si>
    <t>7:45</t>
    <phoneticPr fontId="2"/>
  </si>
  <si>
    <t>９：３０分開始</t>
    <phoneticPr fontId="2"/>
  </si>
  <si>
    <t>3</t>
    <phoneticPr fontId="2"/>
  </si>
  <si>
    <t>1</t>
    <phoneticPr fontId="2"/>
  </si>
  <si>
    <t>1:00</t>
    <phoneticPr fontId="2"/>
  </si>
  <si>
    <t>9:30</t>
    <phoneticPr fontId="2"/>
  </si>
  <si>
    <t>18:15</t>
    <phoneticPr fontId="2"/>
  </si>
  <si>
    <t>7:45</t>
    <phoneticPr fontId="2"/>
  </si>
  <si>
    <t>休出</t>
    <phoneticPr fontId="2"/>
  </si>
  <si>
    <t>９：３０分開始</t>
    <phoneticPr fontId="2"/>
  </si>
  <si>
    <t>3</t>
    <phoneticPr fontId="2"/>
  </si>
  <si>
    <t>1</t>
    <phoneticPr fontId="2"/>
  </si>
  <si>
    <t>1:00</t>
    <phoneticPr fontId="2"/>
  </si>
  <si>
    <t>10:00</t>
    <phoneticPr fontId="2"/>
  </si>
  <si>
    <t>19:30</t>
    <phoneticPr fontId="2"/>
  </si>
  <si>
    <t>8:00</t>
    <phoneticPr fontId="2"/>
  </si>
  <si>
    <t>9:30</t>
    <phoneticPr fontId="2"/>
  </si>
  <si>
    <t>９：３０分開始</t>
    <phoneticPr fontId="2"/>
  </si>
  <si>
    <t>3</t>
    <phoneticPr fontId="2"/>
  </si>
  <si>
    <t>1</t>
    <phoneticPr fontId="2"/>
  </si>
  <si>
    <t>1:00</t>
    <phoneticPr fontId="2"/>
  </si>
  <si>
    <t>7:45</t>
    <phoneticPr fontId="2"/>
  </si>
  <si>
    <t>20:45</t>
    <phoneticPr fontId="2"/>
  </si>
  <si>
    <t>9:45</t>
    <phoneticPr fontId="2"/>
  </si>
  <si>
    <t>9:30</t>
    <phoneticPr fontId="2"/>
  </si>
  <si>
    <t>20:45</t>
    <phoneticPr fontId="2"/>
  </si>
  <si>
    <t>9:45</t>
    <phoneticPr fontId="2"/>
  </si>
  <si>
    <t>９：３０分開始</t>
    <phoneticPr fontId="2"/>
  </si>
  <si>
    <t>3</t>
    <phoneticPr fontId="2"/>
  </si>
  <si>
    <t>1</t>
    <phoneticPr fontId="2"/>
  </si>
  <si>
    <t>1:00</t>
    <phoneticPr fontId="2"/>
  </si>
  <si>
    <t>7:45</t>
    <phoneticPr fontId="2"/>
  </si>
  <si>
    <t>9:30</t>
    <phoneticPr fontId="2"/>
  </si>
  <si>
    <t>3</t>
    <phoneticPr fontId="2"/>
  </si>
  <si>
    <t>1</t>
    <phoneticPr fontId="2"/>
  </si>
  <si>
    <t>1:00</t>
    <phoneticPr fontId="2"/>
  </si>
  <si>
    <t>7:45</t>
    <phoneticPr fontId="2"/>
  </si>
  <si>
    <t>19:30</t>
    <phoneticPr fontId="2"/>
  </si>
  <si>
    <t>8:30</t>
    <phoneticPr fontId="2"/>
  </si>
  <si>
    <t>９：３０分開始</t>
    <phoneticPr fontId="2"/>
  </si>
  <si>
    <t>9:30</t>
    <phoneticPr fontId="2"/>
  </si>
  <si>
    <t>16:30</t>
    <phoneticPr fontId="2"/>
  </si>
  <si>
    <t>6:00</t>
    <phoneticPr fontId="2"/>
  </si>
  <si>
    <t>９：３０分開始</t>
    <phoneticPr fontId="2"/>
  </si>
  <si>
    <t>3</t>
    <phoneticPr fontId="2"/>
  </si>
  <si>
    <t>1</t>
    <phoneticPr fontId="2"/>
  </si>
  <si>
    <t>1:00</t>
    <phoneticPr fontId="2"/>
  </si>
  <si>
    <t>7:45</t>
    <phoneticPr fontId="2"/>
  </si>
  <si>
    <t>9:30</t>
    <phoneticPr fontId="2"/>
  </si>
  <si>
    <t>19:15</t>
    <phoneticPr fontId="2"/>
  </si>
  <si>
    <t>8:15</t>
    <phoneticPr fontId="2"/>
  </si>
  <si>
    <t>９：３０分開始</t>
    <phoneticPr fontId="2"/>
  </si>
  <si>
    <t>3</t>
    <phoneticPr fontId="2"/>
  </si>
  <si>
    <t>1</t>
    <phoneticPr fontId="2"/>
  </si>
  <si>
    <t>1:00</t>
    <phoneticPr fontId="2"/>
  </si>
  <si>
    <t>7:45</t>
    <phoneticPr fontId="2"/>
  </si>
  <si>
    <t>9:30</t>
    <phoneticPr fontId="2"/>
  </si>
  <si>
    <t>９：３０分開始</t>
    <phoneticPr fontId="2"/>
  </si>
  <si>
    <t>3</t>
    <phoneticPr fontId="2"/>
  </si>
  <si>
    <t>1</t>
    <phoneticPr fontId="2"/>
  </si>
  <si>
    <t>1:00</t>
    <phoneticPr fontId="2"/>
  </si>
  <si>
    <t>7:45</t>
    <phoneticPr fontId="2"/>
  </si>
  <si>
    <t>19:45</t>
    <phoneticPr fontId="2"/>
  </si>
  <si>
    <t>8:45</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</si>
</sst>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9">
    <numFmt numFmtId="5" formatCode="&quot;¥&quot;#,##0;&quot;¥&quot;\-#,##0"/>
    <numFmt numFmtId="176" formatCode="[$-411]ggge&quot;年&quot;m&quot;月&quot;"/>
    <numFmt numFmtId="177" formatCode="0_ "/>
    <numFmt numFmtId="178" formatCode="0_);[Red]\(0\)"/>
    <numFmt numFmtId="179" formatCode="[$-411]ggg\ \ e\ \ &quot;年&quot;\ \ m\ \ &quot;月分&quot;"/>
    <numFmt numFmtId="180" formatCode="[h]:mm"/>
    <numFmt numFmtId="181" formatCode="0.0"/>
    <numFmt numFmtId="182" formatCode="0.0_ "/>
    <numFmt numFmtId="183" formatCode="d\ \(aaa\)"/>
    <numFmt numFmtId="184" formatCode="&quot;（西暦）”0000年&quot;"/>
    <numFmt numFmtId="185" formatCode="#0&quot;月&quot;"/>
    <numFmt numFmtId="186" formatCode="yyyy"/>
    <numFmt numFmtId="187" formatCode="&quot;&quot;0&quot;&quot;"/>
    <numFmt numFmtId="188" formatCode="0.00_ "/>
    <numFmt numFmtId="189" formatCode="0000"/>
    <numFmt numFmtId="190" formatCode="yyyy/m/d;@"/>
    <numFmt numFmtId="191" formatCode="000000"/>
    <numFmt numFmtId="192" formatCode="yyyy&quot;年&quot;\ \ \ m&quot;月&quot;"/>
    <numFmt numFmtId="193" formatCode="0&quot;日&quot;"/>
    <numFmt numFmtId="194" formatCode="????"/>
    <numFmt numFmtId="195" formatCode="aaa"/>
    <numFmt numFmtId="196" formatCode="[h]:mm;;"/>
    <numFmt numFmtId="197" formatCode="#,##0_);[Red]\(#,##0\)"/>
    <numFmt numFmtId="198" formatCode="00000000"/>
    <numFmt numFmtId="199" formatCode="#,##0;[Red]#,##0"/>
    <numFmt numFmtId="200" formatCode="0;[Red]0"/>
    <numFmt numFmtId="201" formatCode="h:mm;;"/>
    <numFmt numFmtId="202" formatCode="[$-411]ggg\ e&quot; 年 &quot;mm&quot; 月 &quot;dd&quot; 日&quot;"/>
    <numFmt numFmtId="203" formatCode="[$-411]ge\.m\.d;@"/>
    <numFmt numFmtId="204" formatCode="ggg\ e"/>
    <numFmt numFmtId="205" formatCode="[h]:mm;"/>
    <numFmt numFmtId="206" formatCode="&quot;( &quot;@&quot; )&quot;"/>
    <numFmt numFmtId="207" formatCode="General&quot;枚&quot;"/>
    <numFmt numFmtId="208" formatCode="&quot;¥&quot;#,##0;[Red]&quot;¥&quot;#,##0"/>
    <numFmt numFmtId="209" formatCode="d"/>
    <numFmt numFmtId="210" formatCode="yyyy&quot;年&quot;\ m&quot;月分&quot;"/>
    <numFmt numFmtId="211" formatCode="yyyy&quot; 年 &quot;mm&quot; 月 &quot;dd&quot; 日&quot;"/>
    <numFmt numFmtId="212" formatCode="[$-F400]h:mm:ss\ AM/PM"/>
    <numFmt numFmtId="213" formatCode="yyyy\ &quot;年 &quot;\ m\ &quot;月&quot;\ d\ &quot;日&quot;"/>
  </numFmts>
  <fonts count="105">
    <font>
      <sz val="11"/>
      <name val="ＭＳ Ｐゴシック"/>
      <family val="3"/>
      <charset val="128"/>
    </font>
    <font>
      <sz val="11"/>
      <name val="ＭＳ Ｐゴシック"/>
      <family val="3"/>
      <charset val="128"/>
    </font>
    <font>
      <sz val="6"/>
      <name val="ＭＳ Ｐゴシック"/>
      <family val="3"/>
      <charset val="128"/>
    </font>
    <font>
      <sz val="8"/>
      <name val="ＭＳ Ｐゴシック"/>
      <family val="3"/>
      <charset val="128"/>
    </font>
    <font>
      <sz val="9"/>
      <name val="ＭＳ Ｐゴシック"/>
      <family val="3"/>
      <charset val="128"/>
    </font>
    <font>
      <sz val="18"/>
      <name val="ＭＳ Ｐゴシック"/>
      <family val="3"/>
      <charset val="128"/>
    </font>
    <font>
      <sz val="9"/>
      <color indexed="81"/>
      <name val="ＭＳ Ｐゴシック"/>
      <family val="3"/>
      <charset val="128"/>
    </font>
    <font>
      <b/>
      <sz val="9"/>
      <color indexed="81"/>
      <name val="ＭＳ Ｐゴシック"/>
      <family val="3"/>
      <charset val="128"/>
    </font>
    <font>
      <sz val="11"/>
      <name val="ＭＳ 明朝"/>
      <family val="1"/>
      <charset val="128"/>
    </font>
    <font>
      <sz val="9"/>
      <name val="ＭＳ 明朝"/>
      <family val="1"/>
      <charset val="128"/>
    </font>
    <font>
      <sz val="14"/>
      <name val="ＭＳ 明朝"/>
      <family val="1"/>
      <charset val="128"/>
    </font>
    <font>
      <b/>
      <sz val="10"/>
      <name val="ＭＳ 明朝"/>
      <family val="1"/>
      <charset val="128"/>
    </font>
    <font>
      <sz val="14"/>
      <color indexed="8"/>
      <name val="ＭＳ 明朝"/>
      <family val="1"/>
      <charset val="128"/>
    </font>
    <font>
      <sz val="10"/>
      <name val="ＭＳ 明朝"/>
      <family val="1"/>
      <charset val="128"/>
    </font>
    <font>
      <sz val="16"/>
      <name val="ＭＳ 明朝"/>
      <family val="1"/>
      <charset val="128"/>
    </font>
    <font>
      <sz val="20"/>
      <name val="ＭＳ 明朝"/>
      <family val="1"/>
      <charset val="128"/>
    </font>
    <font>
      <sz val="11"/>
      <color indexed="9"/>
      <name val="ＭＳ Ｐゴシック"/>
      <family val="3"/>
      <charset val="128"/>
    </font>
    <font>
      <u/>
      <sz val="11"/>
      <color indexed="12"/>
      <name val="ＭＳ Ｐゴシック"/>
      <family val="3"/>
      <charset val="128"/>
    </font>
    <font>
      <b/>
      <sz val="11"/>
      <name val="ＭＳ Ｐゴシック"/>
      <family val="3"/>
      <charset val="128"/>
    </font>
    <font>
      <sz val="11"/>
      <name val="ＭＳ Ｐゴシック"/>
      <family val="3"/>
      <charset val="128"/>
    </font>
    <font>
      <sz val="12"/>
      <name val="ＭＳ 明朝"/>
      <family val="1"/>
      <charset val="128"/>
    </font>
    <font>
      <sz val="9.1999999999999993"/>
      <name val="ＭＳ 明朝"/>
      <family val="1"/>
      <charset val="128"/>
    </font>
    <font>
      <sz val="18"/>
      <name val="ＭＳ 明朝"/>
      <family val="1"/>
      <charset val="128"/>
    </font>
    <font>
      <sz val="6"/>
      <name val="ＭＳ 明朝"/>
      <family val="1"/>
      <charset val="128"/>
    </font>
    <font>
      <sz val="6"/>
      <name val="ＭＳ ゴシック"/>
      <family val="3"/>
      <charset val="128"/>
    </font>
    <font>
      <sz val="10"/>
      <name val="ＭＳ Ｐゴシック"/>
      <family val="3"/>
      <charset val="128"/>
    </font>
    <font>
      <b/>
      <sz val="18"/>
      <name val="ＭＳ Ｐゴシック"/>
      <family val="3"/>
      <charset val="128"/>
    </font>
    <font>
      <sz val="14"/>
      <name val="ＭＳ Ｐゴシック"/>
      <family val="3"/>
      <charset val="128"/>
    </font>
    <font>
      <i/>
      <sz val="11"/>
      <name val="ＭＳ Ｐゴシック"/>
      <family val="3"/>
      <charset val="128"/>
    </font>
    <font>
      <sz val="11"/>
      <color indexed="10"/>
      <name val="ＭＳ Ｐゴシック"/>
      <family val="3"/>
      <charset val="128"/>
    </font>
    <font>
      <sz val="11"/>
      <color indexed="10"/>
      <name val="ＭＳ 明朝"/>
      <family val="1"/>
      <charset val="128"/>
    </font>
    <font>
      <sz val="14"/>
      <color indexed="10"/>
      <name val="ＭＳ Ｐゴシック"/>
      <family val="3"/>
      <charset val="128"/>
    </font>
    <font>
      <strike/>
      <sz val="11"/>
      <name val="ＭＳ Ｐゴシック"/>
      <family val="3"/>
      <charset val="128"/>
    </font>
    <font>
      <u/>
      <sz val="14"/>
      <name val="ＭＳ Ｐゴシック"/>
      <family val="3"/>
      <charset val="128"/>
    </font>
    <font>
      <u/>
      <sz val="14"/>
      <name val="ＭＳ 明朝"/>
      <family val="1"/>
      <charset val="128"/>
    </font>
    <font>
      <sz val="11"/>
      <name val="ＭＳ 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u/>
      <sz val="14"/>
      <name val="ＭＳ ゴシック"/>
      <family val="3"/>
      <charset val="128"/>
    </font>
    <font>
      <sz val="8"/>
      <name val="ＭＳ 明朝"/>
      <family val="1"/>
      <charset val="128"/>
    </font>
    <font>
      <sz val="11"/>
      <color rgb="FFFF0000"/>
      <name val="ＭＳ Ｐゴシック"/>
      <family val="3"/>
      <charset val="128"/>
    </font>
    <font>
      <sz val="9"/>
      <color rgb="FF0000FF"/>
      <name val="ＭＳ 明朝"/>
      <family val="1"/>
      <charset val="128"/>
    </font>
    <font>
      <sz val="10"/>
      <color theme="1"/>
      <name val="ＭＳ ゴシック"/>
      <family val="2"/>
      <charset val="128"/>
    </font>
    <font>
      <sz val="6"/>
      <name val="ＭＳ ゴシック"/>
      <family val="2"/>
      <charset val="128"/>
    </font>
    <font>
      <sz val="16"/>
      <color theme="1"/>
      <name val="ＭＳ ゴシック"/>
      <family val="2"/>
      <charset val="128"/>
    </font>
    <font>
      <sz val="11"/>
      <color theme="1"/>
      <name val="ＭＳ ゴシック"/>
      <family val="2"/>
      <charset val="128"/>
    </font>
    <font>
      <u val="double"/>
      <sz val="18"/>
      <color theme="1"/>
      <name val="ＭＳ ゴシック"/>
      <family val="2"/>
      <charset val="128"/>
    </font>
    <font>
      <sz val="12"/>
      <color theme="1"/>
      <name val="ＭＳ ゴシック"/>
      <family val="2"/>
      <charset val="128"/>
    </font>
    <font>
      <sz val="10"/>
      <name val="ＭＳ ゴシック"/>
      <family val="2"/>
      <charset val="128"/>
    </font>
    <font>
      <sz val="10"/>
      <name val="ＭＳ ゴシック"/>
      <family val="3"/>
      <charset val="128"/>
    </font>
    <font>
      <sz val="8"/>
      <color theme="1"/>
      <name val="ＭＳ ゴシック"/>
      <family val="2"/>
      <charset val="128"/>
    </font>
    <font>
      <sz val="10"/>
      <color theme="1"/>
      <name val="ＭＳ ゴシック"/>
      <family val="3"/>
      <charset val="128"/>
    </font>
    <font>
      <sz val="11"/>
      <color theme="1"/>
      <name val="ＭＳ ゴシック"/>
      <family val="3"/>
      <charset val="128"/>
    </font>
    <font>
      <sz val="9"/>
      <color theme="1"/>
      <name val="ＭＳ ゴシック"/>
      <family val="2"/>
      <charset val="128"/>
    </font>
    <font>
      <sz val="11"/>
      <color theme="0"/>
      <name val="ＭＳ 明朝"/>
      <family val="1"/>
      <charset val="128"/>
    </font>
    <font>
      <sz val="9"/>
      <color rgb="FF000000"/>
      <name val="MS UI Gothic"/>
      <family val="3"/>
      <charset val="128"/>
    </font>
    <font>
      <sz val="11"/>
      <color rgb="FF000000"/>
      <name val="ＭＳ Ｐゴシック"/>
      <family val="3"/>
      <charset val="128"/>
    </font>
    <font>
      <b/>
      <sz val="18"/>
      <name val="ＭＳ ゴシック"/>
      <family val="3"/>
      <charset val="128"/>
    </font>
    <font>
      <sz val="12"/>
      <name val="ＭＳ ゴシック"/>
      <family val="3"/>
      <charset val="128"/>
    </font>
    <font>
      <sz val="14"/>
      <name val="ＭＳ ゴシック"/>
      <family val="3"/>
      <charset val="128"/>
    </font>
    <font>
      <b/>
      <sz val="22"/>
      <name val="ＭＳ ゴシック"/>
      <family val="3"/>
      <charset val="128"/>
    </font>
    <font>
      <sz val="22"/>
      <name val="ＭＳ ゴシック"/>
      <family val="3"/>
      <charset val="128"/>
    </font>
    <font>
      <sz val="8"/>
      <name val="ＭＳ ゴシック"/>
      <family val="3"/>
      <charset val="128"/>
    </font>
    <font>
      <b/>
      <sz val="12"/>
      <name val="ＭＳ ゴシック"/>
      <family val="3"/>
      <charset val="128"/>
    </font>
    <font>
      <b/>
      <sz val="11"/>
      <name val="ＭＳ ゴシック"/>
      <family val="3"/>
      <charset val="128"/>
    </font>
    <font>
      <sz val="11"/>
      <color rgb="FFFF0000"/>
      <name val="ＭＳ ゴシック"/>
      <family val="3"/>
      <charset val="128"/>
    </font>
    <font>
      <b/>
      <sz val="12"/>
      <color rgb="FF0000FF"/>
      <name val="ＭＳ ゴシック"/>
      <family val="3"/>
      <charset val="128"/>
    </font>
    <font>
      <b/>
      <sz val="14"/>
      <color rgb="FF0000FF"/>
      <name val="ＭＳ ゴシック"/>
      <family val="3"/>
      <charset val="128"/>
    </font>
    <font>
      <sz val="10"/>
      <color theme="1" tint="0.249977111117893"/>
      <name val="ＭＳ ゴシック"/>
      <family val="2"/>
      <charset val="128"/>
    </font>
    <font>
      <sz val="10"/>
      <color theme="1" tint="0.249977111117893"/>
      <name val="ＭＳ ゴシック"/>
      <family val="3"/>
      <charset val="128"/>
    </font>
    <font>
      <sz val="12"/>
      <name val="HG丸ｺﾞｼｯｸM-PRO"/>
      <family val="3"/>
      <charset val="128"/>
    </font>
    <font>
      <sz val="11"/>
      <color theme="0" tint="-0.14999847407452621"/>
      <name val="ＭＳ Ｐゴシック"/>
      <family val="3"/>
      <charset val="128"/>
    </font>
    <font>
      <sz val="10"/>
      <name val="Meiryo UI"/>
      <family val="3"/>
      <charset val="128"/>
    </font>
    <font>
      <sz val="11"/>
      <name val="Meiryo UI"/>
      <family val="3"/>
      <charset val="128"/>
    </font>
    <font>
      <b/>
      <sz val="12"/>
      <color rgb="FFFF0000"/>
      <name val="Meiryo UI"/>
      <family val="3"/>
      <charset val="128"/>
    </font>
    <font>
      <sz val="9"/>
      <color rgb="FF0000FF"/>
      <name val="ＭＳ ゴシック"/>
      <family val="3"/>
      <charset val="128"/>
    </font>
    <font>
      <sz val="10"/>
      <color theme="1" tint="0.249977111117893"/>
      <name val="ＭＳ Ｐゴシック"/>
      <family val="3"/>
      <charset val="128"/>
    </font>
    <font>
      <sz val="8"/>
      <name val="Meiryo UI"/>
      <family val="3"/>
      <charset val="128"/>
    </font>
    <font>
      <sz val="10"/>
      <color theme="0" tint="-0.14999847407452621"/>
      <name val="ＭＳ 明朝"/>
      <family val="1"/>
      <charset val="128"/>
    </font>
    <font>
      <sz val="9"/>
      <color theme="0" tint="-0.14999847407452621"/>
      <name val="ＭＳ 明朝"/>
      <family val="1"/>
      <charset val="128"/>
    </font>
    <font>
      <sz val="10"/>
      <color theme="0" tint="-0.14999847407452621"/>
      <name val="Meiryo UI"/>
      <family val="3"/>
      <charset val="128"/>
    </font>
    <font>
      <b/>
      <sz val="9"/>
      <name val="ＭＳ 明朝"/>
      <family val="1"/>
      <charset val="128"/>
    </font>
    <font>
      <b/>
      <sz val="10"/>
      <name val="Meiryo UI"/>
      <family val="3"/>
      <charset val="128"/>
    </font>
    <font>
      <b/>
      <sz val="9"/>
      <name val="ＭＳ ゴシック"/>
      <family val="3"/>
      <charset val="128"/>
    </font>
    <font>
      <sz val="10"/>
      <color rgb="FF0000FF"/>
      <name val="ＭＳ ゴシック"/>
      <family val="3"/>
      <charset val="128"/>
    </font>
    <font>
      <sz val="11"/>
      <color theme="0" tint="-0.249977111117893"/>
      <name val="ＭＳ 明朝"/>
      <family val="1"/>
      <charset val="128"/>
    </font>
    <font>
      <sz val="9"/>
      <color theme="0" tint="-0.249977111117893"/>
      <name val="ＭＳ 明朝"/>
      <family val="1"/>
      <charset val="128"/>
    </font>
    <font>
      <sz val="11"/>
      <color theme="0" tint="-0.249977111117893"/>
      <name val="ＭＳ Ｐゴシック"/>
      <family val="3"/>
      <charset val="128"/>
    </font>
    <font>
      <b/>
      <sz val="11"/>
      <color rgb="FFFF0000"/>
      <name val="ＭＳ 明朝"/>
      <family val="1"/>
      <charset val="128"/>
    </font>
    <font>
      <sz val="11"/>
      <color rgb="FFFF0000"/>
      <name val="ＭＳ 明朝"/>
      <family val="1"/>
      <charset val="128"/>
    </font>
    <font>
      <sz val="9"/>
      <color indexed="81"/>
      <name val="MS P ゴシック"/>
      <family val="3"/>
      <charset val="128"/>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10"/>
        <bgColor indexed="64"/>
      </patternFill>
    </fill>
    <fill>
      <patternFill patternType="solid">
        <fgColor indexed="41"/>
        <bgColor indexed="64"/>
      </patternFill>
    </fill>
    <fill>
      <patternFill patternType="solid">
        <fgColor indexed="43"/>
        <bgColor indexed="64"/>
      </patternFill>
    </fill>
    <fill>
      <patternFill patternType="solid">
        <fgColor indexed="13"/>
        <bgColor indexed="64"/>
      </patternFill>
    </fill>
    <fill>
      <patternFill patternType="solid">
        <fgColor indexed="45"/>
        <bgColor indexed="64"/>
      </patternFill>
    </fill>
    <fill>
      <patternFill patternType="solid">
        <fgColor indexed="11"/>
        <bgColor indexed="64"/>
      </patternFill>
    </fill>
    <fill>
      <patternFill patternType="solid">
        <fgColor indexed="44"/>
        <bgColor indexed="64"/>
      </patternFill>
    </fill>
    <fill>
      <patternFill patternType="solid">
        <fgColor indexed="51"/>
        <bgColor indexed="64"/>
      </patternFill>
    </fill>
    <fill>
      <patternFill patternType="solid">
        <fgColor indexed="23"/>
        <bgColor indexed="64"/>
      </patternFill>
    </fill>
    <fill>
      <patternFill patternType="solid">
        <fgColor indexed="9"/>
        <bgColor indexed="64"/>
      </patternFill>
    </fill>
    <fill>
      <patternFill patternType="solid">
        <fgColor indexed="20"/>
        <bgColor indexed="64"/>
      </patternFill>
    </fill>
    <fill>
      <patternFill patternType="solid">
        <fgColor theme="1"/>
        <bgColor indexed="64"/>
      </patternFill>
    </fill>
    <fill>
      <patternFill patternType="solid">
        <fgColor rgb="FFFFFF00"/>
        <bgColor indexed="64"/>
      </patternFill>
    </fill>
    <fill>
      <patternFill patternType="solid">
        <fgColor rgb="FFCCFFFF"/>
        <bgColor indexed="64"/>
      </patternFill>
    </fill>
    <fill>
      <patternFill patternType="solid">
        <fgColor rgb="FFFFFFCC"/>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rgb="FFFFEBEB"/>
        <bgColor indexed="64"/>
      </patternFill>
    </fill>
    <fill>
      <patternFill patternType="solid">
        <fgColor theme="0" tint="-0.34998626667073579"/>
        <bgColor indexed="64"/>
      </patternFill>
    </fill>
  </fills>
  <borders count="203">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hair">
        <color indexed="64"/>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thin">
        <color indexed="64"/>
      </bottom>
      <diagonal/>
    </border>
    <border>
      <left/>
      <right/>
      <top style="hair">
        <color indexed="64"/>
      </top>
      <bottom style="thin">
        <color indexed="64"/>
      </bottom>
      <diagonal/>
    </border>
    <border>
      <left style="thin">
        <color indexed="64"/>
      </left>
      <right style="hair">
        <color indexed="64"/>
      </right>
      <top/>
      <bottom style="thin">
        <color indexed="64"/>
      </bottom>
      <diagonal/>
    </border>
    <border>
      <left style="thin">
        <color indexed="64"/>
      </left>
      <right/>
      <top/>
      <bottom style="hair">
        <color indexed="64"/>
      </bottom>
      <diagonal/>
    </border>
    <border>
      <left/>
      <right style="hair">
        <color indexed="64"/>
      </right>
      <top/>
      <bottom style="hair">
        <color indexed="64"/>
      </bottom>
      <diagonal/>
    </border>
    <border>
      <left style="thin">
        <color indexed="64"/>
      </left>
      <right style="hair">
        <color indexed="64"/>
      </right>
      <top/>
      <bottom style="hair">
        <color indexed="64"/>
      </bottom>
      <diagonal/>
    </border>
    <border>
      <left/>
      <right style="thin">
        <color indexed="64"/>
      </right>
      <top/>
      <bottom style="hair">
        <color indexed="64"/>
      </bottom>
      <diagonal/>
    </border>
    <border>
      <left style="thin">
        <color indexed="64"/>
      </left>
      <right/>
      <top style="hair">
        <color indexed="64"/>
      </top>
      <bottom style="thin">
        <color indexed="64"/>
      </bottom>
      <diagonal/>
    </border>
    <border>
      <left/>
      <right style="thin">
        <color indexed="64"/>
      </right>
      <top/>
      <bottom/>
      <diagonal/>
    </border>
    <border>
      <left style="thin">
        <color indexed="64"/>
      </left>
      <right style="thin">
        <color indexed="64"/>
      </right>
      <top/>
      <bottom style="hair">
        <color indexed="64"/>
      </bottom>
      <diagonal/>
    </border>
    <border>
      <left/>
      <right/>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style="hair">
        <color indexed="64"/>
      </right>
      <top style="thin">
        <color indexed="64"/>
      </top>
      <bottom/>
      <diagonal/>
    </border>
    <border>
      <left/>
      <right style="hair">
        <color indexed="64"/>
      </right>
      <top style="thin">
        <color indexed="64"/>
      </top>
      <bottom/>
      <diagonal/>
    </border>
    <border>
      <left/>
      <right style="thin">
        <color indexed="64"/>
      </right>
      <top style="thin">
        <color indexed="64"/>
      </top>
      <bottom/>
      <diagonal/>
    </border>
    <border>
      <left style="hair">
        <color indexed="64"/>
      </left>
      <right style="thin">
        <color indexed="64"/>
      </right>
      <top style="thin">
        <color indexed="64"/>
      </top>
      <bottom style="thin">
        <color indexed="64"/>
      </bottom>
      <diagonal/>
    </border>
    <border diagonalDown="1">
      <left style="thin">
        <color indexed="64"/>
      </left>
      <right/>
      <top/>
      <bottom/>
      <diagonal style="thin">
        <color indexed="64"/>
      </diagonal>
    </border>
    <border diagonalUp="1">
      <left style="thin">
        <color indexed="64"/>
      </left>
      <right/>
      <top/>
      <bottom/>
      <diagonal style="thin">
        <color indexed="64"/>
      </diagonal>
    </border>
    <border>
      <left style="hair">
        <color indexed="64"/>
      </left>
      <right style="hair">
        <color indexed="64"/>
      </right>
      <top style="hair">
        <color indexed="64"/>
      </top>
      <bottom style="thin">
        <color indexed="64"/>
      </bottom>
      <diagonal/>
    </border>
    <border>
      <left/>
      <right style="thin">
        <color indexed="64"/>
      </right>
      <top style="hair">
        <color indexed="64"/>
      </top>
      <bottom style="hair">
        <color indexed="64"/>
      </bottom>
      <diagonal/>
    </border>
    <border>
      <left style="thin">
        <color indexed="64"/>
      </left>
      <right/>
      <top style="thin">
        <color indexed="64"/>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thin">
        <color indexed="64"/>
      </left>
      <right/>
      <top style="hair">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style="medium">
        <color indexed="64"/>
      </top>
      <bottom style="hair">
        <color indexed="64"/>
      </bottom>
      <diagonal/>
    </border>
    <border>
      <left/>
      <right style="hair">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style="thin">
        <color indexed="64"/>
      </left>
      <right/>
      <top/>
      <bottom/>
      <diagonal/>
    </border>
    <border>
      <left style="medium">
        <color indexed="64"/>
      </left>
      <right style="thin">
        <color indexed="64"/>
      </right>
      <top style="thin">
        <color indexed="64"/>
      </top>
      <bottom/>
      <diagonal/>
    </border>
    <border>
      <left style="medium">
        <color indexed="64"/>
      </left>
      <right style="thin">
        <color indexed="64"/>
      </right>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dotted">
        <color indexed="64"/>
      </top>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dotted">
        <color indexed="64"/>
      </bottom>
      <diagonal/>
    </border>
    <border>
      <left style="medium">
        <color indexed="64"/>
      </left>
      <right/>
      <top/>
      <bottom style="hair">
        <color indexed="64"/>
      </bottom>
      <diagonal/>
    </border>
    <border>
      <left/>
      <right style="thin">
        <color indexed="64"/>
      </right>
      <top style="hair">
        <color indexed="64"/>
      </top>
      <bottom style="medium">
        <color indexed="64"/>
      </bottom>
      <diagonal/>
    </border>
    <border>
      <left/>
      <right/>
      <top style="hair">
        <color indexed="64"/>
      </top>
      <bottom style="medium">
        <color indexed="64"/>
      </bottom>
      <diagonal/>
    </border>
    <border>
      <left style="medium">
        <color indexed="64"/>
      </left>
      <right/>
      <top style="hair">
        <color indexed="64"/>
      </top>
      <bottom style="medium">
        <color indexed="64"/>
      </bottom>
      <diagonal/>
    </border>
    <border>
      <left style="medium">
        <color indexed="64"/>
      </left>
      <right/>
      <top style="medium">
        <color indexed="64"/>
      </top>
      <bottom/>
      <diagonal/>
    </border>
    <border>
      <left style="hair">
        <color indexed="64"/>
      </left>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style="thin">
        <color indexed="64"/>
      </top>
      <bottom/>
      <diagonal/>
    </border>
    <border>
      <left style="thick">
        <color indexed="64"/>
      </left>
      <right/>
      <top/>
      <bottom style="thick">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23"/>
      </left>
      <right style="thin">
        <color indexed="23"/>
      </right>
      <top style="thin">
        <color indexed="64"/>
      </top>
      <bottom style="hair">
        <color indexed="64"/>
      </bottom>
      <diagonal/>
    </border>
    <border>
      <left style="thin">
        <color indexed="23"/>
      </left>
      <right style="thin">
        <color indexed="64"/>
      </right>
      <top style="thin">
        <color indexed="64"/>
      </top>
      <bottom style="hair">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hair">
        <color indexed="64"/>
      </left>
      <right style="thin">
        <color indexed="23"/>
      </right>
      <top style="medium">
        <color indexed="64"/>
      </top>
      <bottom style="thin">
        <color indexed="64"/>
      </bottom>
      <diagonal/>
    </border>
    <border>
      <left style="thin">
        <color indexed="23"/>
      </left>
      <right style="thin">
        <color indexed="23"/>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hair">
        <color indexed="64"/>
      </top>
      <bottom style="hair">
        <color indexed="64"/>
      </bottom>
      <diagonal/>
    </border>
    <border>
      <left style="hair">
        <color indexed="64"/>
      </left>
      <right style="thin">
        <color indexed="23"/>
      </right>
      <top style="thin">
        <color indexed="64"/>
      </top>
      <bottom style="hair">
        <color indexed="64"/>
      </bottom>
      <diagonal/>
    </border>
    <border>
      <left style="thin">
        <color indexed="23"/>
      </left>
      <right style="thin">
        <color indexed="23"/>
      </right>
      <top style="hair">
        <color indexed="64"/>
      </top>
      <bottom style="medium">
        <color indexed="64"/>
      </bottom>
      <diagonal/>
    </border>
    <border>
      <left style="thin">
        <color indexed="23"/>
      </left>
      <right style="thin">
        <color indexed="64"/>
      </right>
      <top style="hair">
        <color indexed="64"/>
      </top>
      <bottom style="medium">
        <color indexed="64"/>
      </bottom>
      <diagonal/>
    </border>
    <border>
      <left style="thin">
        <color indexed="23"/>
      </left>
      <right style="thin">
        <color indexed="64"/>
      </right>
      <top style="medium">
        <color indexed="64"/>
      </top>
      <bottom style="thin">
        <color indexed="64"/>
      </bottom>
      <diagonal/>
    </border>
    <border>
      <left style="hair">
        <color indexed="64"/>
      </left>
      <right style="thin">
        <color indexed="23"/>
      </right>
      <top style="hair">
        <color indexed="64"/>
      </top>
      <bottom style="medium">
        <color indexed="64"/>
      </bottom>
      <diagonal/>
    </border>
    <border>
      <left/>
      <right/>
      <top style="thin">
        <color theme="0" tint="-0.34998626667073579"/>
      </top>
      <bottom style="thin">
        <color theme="0" tint="-0.34998626667073579"/>
      </bottom>
      <diagonal/>
    </border>
    <border>
      <left style="thin">
        <color indexed="64"/>
      </left>
      <right/>
      <top style="thin">
        <color theme="0" tint="-0.34998626667073579"/>
      </top>
      <bottom style="thin">
        <color theme="0" tint="-0.34998626667073579"/>
      </bottom>
      <diagonal/>
    </border>
    <border>
      <left/>
      <right style="thin">
        <color indexed="64"/>
      </right>
      <top style="thin">
        <color theme="0" tint="-0.34998626667073579"/>
      </top>
      <bottom style="thin">
        <color theme="0" tint="-0.34998626667073579"/>
      </bottom>
      <diagonal/>
    </border>
    <border>
      <left/>
      <right/>
      <top/>
      <bottom style="double">
        <color indexed="64"/>
      </bottom>
      <diagonal/>
    </border>
    <border>
      <left style="thin">
        <color indexed="64"/>
      </left>
      <right/>
      <top style="thin">
        <color indexed="64"/>
      </top>
      <bottom style="thin">
        <color theme="0" tint="-0.34998626667073579"/>
      </bottom>
      <diagonal/>
    </border>
    <border>
      <left/>
      <right/>
      <top style="thin">
        <color indexed="64"/>
      </top>
      <bottom style="thin">
        <color theme="0" tint="-0.34998626667073579"/>
      </bottom>
      <diagonal/>
    </border>
    <border>
      <left/>
      <right style="thin">
        <color indexed="64"/>
      </right>
      <top style="thin">
        <color indexed="64"/>
      </top>
      <bottom style="thin">
        <color theme="0" tint="-0.34998626667073579"/>
      </bottom>
      <diagonal/>
    </border>
    <border>
      <left style="thin">
        <color indexed="64"/>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right style="medium">
        <color indexed="64"/>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style="medium">
        <color indexed="64"/>
      </right>
      <top style="medium">
        <color indexed="64"/>
      </top>
      <bottom/>
      <diagonal/>
    </border>
    <border>
      <left style="hair">
        <color indexed="64"/>
      </left>
      <right style="thin">
        <color indexed="64"/>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hair">
        <color indexed="64"/>
      </right>
      <top style="medium">
        <color indexed="64"/>
      </top>
      <bottom/>
      <diagonal/>
    </border>
    <border>
      <left style="hair">
        <color indexed="64"/>
      </left>
      <right/>
      <top style="medium">
        <color indexed="64"/>
      </top>
      <bottom/>
      <diagonal/>
    </border>
    <border>
      <left/>
      <right style="hair">
        <color indexed="64"/>
      </right>
      <top style="medium">
        <color indexed="64"/>
      </top>
      <bottom style="thin">
        <color indexed="64"/>
      </bottom>
      <diagonal/>
    </border>
    <border>
      <left style="hair">
        <color indexed="64"/>
      </left>
      <right/>
      <top style="medium">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s>
  <cellStyleXfs count="53">
    <xf numFmtId="0" fontId="0" fillId="0" borderId="0"/>
    <xf numFmtId="0" fontId="37" fillId="2" borderId="0" applyNumberFormat="0" applyBorder="0" applyAlignment="0" applyProtection="0">
      <alignment vertical="center"/>
    </xf>
    <xf numFmtId="0" fontId="37" fillId="3" borderId="0" applyNumberFormat="0" applyBorder="0" applyAlignment="0" applyProtection="0">
      <alignment vertical="center"/>
    </xf>
    <xf numFmtId="0" fontId="37" fillId="4" borderId="0" applyNumberFormat="0" applyBorder="0" applyAlignment="0" applyProtection="0">
      <alignment vertical="center"/>
    </xf>
    <xf numFmtId="0" fontId="37" fillId="5" borderId="0" applyNumberFormat="0" applyBorder="0" applyAlignment="0" applyProtection="0">
      <alignment vertical="center"/>
    </xf>
    <xf numFmtId="0" fontId="37" fillId="6" borderId="0" applyNumberFormat="0" applyBorder="0" applyAlignment="0" applyProtection="0">
      <alignment vertical="center"/>
    </xf>
    <xf numFmtId="0" fontId="37" fillId="7" borderId="0" applyNumberFormat="0" applyBorder="0" applyAlignment="0" applyProtection="0">
      <alignment vertical="center"/>
    </xf>
    <xf numFmtId="0" fontId="37" fillId="8" borderId="0" applyNumberFormat="0" applyBorder="0" applyAlignment="0" applyProtection="0">
      <alignment vertical="center"/>
    </xf>
    <xf numFmtId="0" fontId="37" fillId="9" borderId="0" applyNumberFormat="0" applyBorder="0" applyAlignment="0" applyProtection="0">
      <alignment vertical="center"/>
    </xf>
    <xf numFmtId="0" fontId="37" fillId="10" borderId="0" applyNumberFormat="0" applyBorder="0" applyAlignment="0" applyProtection="0">
      <alignment vertical="center"/>
    </xf>
    <xf numFmtId="0" fontId="37" fillId="5" borderId="0" applyNumberFormat="0" applyBorder="0" applyAlignment="0" applyProtection="0">
      <alignment vertical="center"/>
    </xf>
    <xf numFmtId="0" fontId="37" fillId="8" borderId="0" applyNumberFormat="0" applyBorder="0" applyAlignment="0" applyProtection="0">
      <alignment vertical="center"/>
    </xf>
    <xf numFmtId="0" fontId="37" fillId="11" borderId="0" applyNumberFormat="0" applyBorder="0" applyAlignment="0" applyProtection="0">
      <alignment vertical="center"/>
    </xf>
    <xf numFmtId="0" fontId="16" fillId="12" borderId="0" applyNumberFormat="0" applyBorder="0" applyAlignment="0" applyProtection="0">
      <alignment vertical="center"/>
    </xf>
    <xf numFmtId="0" fontId="16" fillId="9" borderId="0" applyNumberFormat="0" applyBorder="0" applyAlignment="0" applyProtection="0">
      <alignment vertical="center"/>
    </xf>
    <xf numFmtId="0" fontId="16" fillId="10"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5" borderId="0" applyNumberFormat="0" applyBorder="0" applyAlignment="0" applyProtection="0">
      <alignment vertical="center"/>
    </xf>
    <xf numFmtId="0" fontId="16" fillId="16" borderId="0" applyNumberFormat="0" applyBorder="0" applyAlignment="0" applyProtection="0">
      <alignment vertical="center"/>
    </xf>
    <xf numFmtId="0" fontId="16" fillId="17" borderId="0" applyNumberFormat="0" applyBorder="0" applyAlignment="0" applyProtection="0">
      <alignment vertical="center"/>
    </xf>
    <xf numFmtId="0" fontId="16" fillId="18" borderId="0" applyNumberFormat="0" applyBorder="0" applyAlignment="0" applyProtection="0">
      <alignment vertical="center"/>
    </xf>
    <xf numFmtId="0" fontId="16" fillId="13" borderId="0" applyNumberFormat="0" applyBorder="0" applyAlignment="0" applyProtection="0">
      <alignment vertical="center"/>
    </xf>
    <xf numFmtId="0" fontId="16" fillId="14" borderId="0" applyNumberFormat="0" applyBorder="0" applyAlignment="0" applyProtection="0">
      <alignment vertical="center"/>
    </xf>
    <xf numFmtId="0" fontId="16" fillId="19" borderId="0" applyNumberFormat="0" applyBorder="0" applyAlignment="0" applyProtection="0">
      <alignment vertical="center"/>
    </xf>
    <xf numFmtId="0" fontId="38" fillId="0" borderId="0" applyNumberFormat="0" applyFill="0" applyBorder="0" applyAlignment="0" applyProtection="0">
      <alignment vertical="center"/>
    </xf>
    <xf numFmtId="0" fontId="39" fillId="20" borderId="1" applyNumberFormat="0" applyAlignment="0" applyProtection="0">
      <alignment vertical="center"/>
    </xf>
    <xf numFmtId="0" fontId="40" fillId="21" borderId="0" applyNumberFormat="0" applyBorder="0" applyAlignment="0" applyProtection="0">
      <alignment vertical="center"/>
    </xf>
    <xf numFmtId="0" fontId="17" fillId="0" borderId="0" applyNumberFormat="0" applyFill="0" applyBorder="0" applyAlignment="0" applyProtection="0">
      <alignment vertical="top"/>
      <protection locked="0"/>
    </xf>
    <xf numFmtId="0" fontId="1" fillId="22" borderId="2" applyNumberFormat="0" applyFont="0" applyAlignment="0" applyProtection="0">
      <alignment vertical="center"/>
    </xf>
    <xf numFmtId="0" fontId="41" fillId="0" borderId="3" applyNumberFormat="0" applyFill="0" applyAlignment="0" applyProtection="0">
      <alignment vertical="center"/>
    </xf>
    <xf numFmtId="0" fontId="42" fillId="3" borderId="0" applyNumberFormat="0" applyBorder="0" applyAlignment="0" applyProtection="0">
      <alignment vertical="center"/>
    </xf>
    <xf numFmtId="0" fontId="43" fillId="23" borderId="4" applyNumberFormat="0" applyAlignment="0" applyProtection="0">
      <alignment vertical="center"/>
    </xf>
    <xf numFmtId="0" fontId="29" fillId="0" borderId="0" applyNumberFormat="0" applyFill="0" applyBorder="0" applyAlignment="0" applyProtection="0">
      <alignment vertical="center"/>
    </xf>
    <xf numFmtId="38" fontId="1" fillId="0" borderId="0" applyFont="0" applyFill="0" applyBorder="0" applyAlignment="0" applyProtection="0"/>
    <xf numFmtId="0" fontId="44" fillId="0" borderId="5" applyNumberFormat="0" applyFill="0" applyAlignment="0" applyProtection="0">
      <alignment vertical="center"/>
    </xf>
    <xf numFmtId="0" fontId="45" fillId="0" borderId="6" applyNumberFormat="0" applyFill="0" applyAlignment="0" applyProtection="0">
      <alignment vertical="center"/>
    </xf>
    <xf numFmtId="0" fontId="46" fillId="0" borderId="7" applyNumberFormat="0" applyFill="0" applyAlignment="0" applyProtection="0">
      <alignment vertical="center"/>
    </xf>
    <xf numFmtId="0" fontId="46" fillId="0" borderId="0" applyNumberFormat="0" applyFill="0" applyBorder="0" applyAlignment="0" applyProtection="0">
      <alignment vertical="center"/>
    </xf>
    <xf numFmtId="0" fontId="47" fillId="0" borderId="8" applyNumberFormat="0" applyFill="0" applyAlignment="0" applyProtection="0">
      <alignment vertical="center"/>
    </xf>
    <xf numFmtId="0" fontId="48" fillId="23" borderId="9" applyNumberFormat="0" applyAlignment="0" applyProtection="0">
      <alignment vertical="center"/>
    </xf>
    <xf numFmtId="0" fontId="49" fillId="0" borderId="0" applyNumberFormat="0" applyFill="0" applyBorder="0" applyAlignment="0" applyProtection="0">
      <alignment vertical="center"/>
    </xf>
    <xf numFmtId="0" fontId="50" fillId="7" borderId="4" applyNumberFormat="0" applyAlignment="0" applyProtection="0">
      <alignment vertical="center"/>
    </xf>
    <xf numFmtId="0" fontId="25" fillId="0" borderId="0"/>
    <xf numFmtId="0" fontId="8" fillId="0" borderId="0"/>
    <xf numFmtId="0" fontId="8" fillId="0" borderId="0"/>
    <xf numFmtId="0" fontId="35" fillId="0" borderId="0">
      <alignment vertical="center"/>
    </xf>
    <xf numFmtId="0" fontId="51" fillId="4" borderId="0" applyNumberFormat="0" applyBorder="0" applyAlignment="0" applyProtection="0">
      <alignment vertical="center"/>
    </xf>
    <xf numFmtId="0" fontId="56" fillId="0" borderId="0">
      <alignment vertical="center"/>
    </xf>
    <xf numFmtId="0" fontId="63" fillId="0" borderId="0"/>
    <xf numFmtId="0" fontId="63" fillId="0" borderId="0"/>
    <xf numFmtId="0" fontId="63" fillId="0" borderId="0"/>
    <xf numFmtId="38" fontId="63" fillId="0" borderId="0" applyFont="0" applyFill="0" applyBorder="0" applyAlignment="0" applyProtection="0"/>
  </cellStyleXfs>
  <cellXfs count="1473">
    <xf numFmtId="0" fontId="0" fillId="0" borderId="0" xfId="0"/>
    <xf numFmtId="49" fontId="0" fillId="0" borderId="0" xfId="0" applyNumberFormat="1"/>
    <xf numFmtId="0" fontId="0" fillId="0" borderId="0" xfId="0" applyProtection="1"/>
    <xf numFmtId="14" fontId="0" fillId="0" borderId="0" xfId="0" applyNumberFormat="1" applyProtection="1"/>
    <xf numFmtId="176" fontId="0" fillId="0" borderId="0" xfId="0" applyNumberFormat="1" applyProtection="1"/>
    <xf numFmtId="178" fontId="0" fillId="0" borderId="0" xfId="0" applyNumberFormat="1" applyProtection="1"/>
    <xf numFmtId="177" fontId="0" fillId="0" borderId="0" xfId="0" applyNumberFormat="1" applyProtection="1"/>
    <xf numFmtId="0" fontId="0" fillId="0" borderId="0" xfId="0" applyProtection="1">
      <protection locked="0"/>
    </xf>
    <xf numFmtId="14" fontId="0" fillId="0" borderId="0" xfId="0" applyNumberFormat="1" applyProtection="1">
      <protection locked="0"/>
    </xf>
    <xf numFmtId="0" fontId="0" fillId="0" borderId="0" xfId="0" applyAlignment="1" applyProtection="1">
      <alignment horizontal="center"/>
    </xf>
    <xf numFmtId="178" fontId="0" fillId="0" borderId="0" xfId="0" applyNumberFormat="1" applyAlignment="1" applyProtection="1">
      <alignment horizontal="center"/>
    </xf>
    <xf numFmtId="49" fontId="0" fillId="0" borderId="10"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14" xfId="0" applyNumberFormat="1" applyBorder="1"/>
    <xf numFmtId="49" fontId="0" fillId="0" borderId="15" xfId="0" applyNumberFormat="1" applyBorder="1"/>
    <xf numFmtId="49" fontId="0" fillId="0" borderId="16" xfId="0" applyNumberFormat="1" applyBorder="1"/>
    <xf numFmtId="49" fontId="0" fillId="0" borderId="17" xfId="0" applyNumberFormat="1" applyBorder="1"/>
    <xf numFmtId="49" fontId="0" fillId="0" borderId="18" xfId="0" applyNumberFormat="1" applyBorder="1"/>
    <xf numFmtId="0" fontId="0" fillId="0" borderId="10" xfId="0" applyNumberFormat="1" applyBorder="1"/>
    <xf numFmtId="0" fontId="0" fillId="0" borderId="11" xfId="0" applyBorder="1" applyAlignment="1" applyProtection="1">
      <alignment horizontal="right" vertical="center"/>
    </xf>
    <xf numFmtId="20" fontId="0" fillId="0" borderId="12" xfId="0" applyNumberFormat="1" applyBorder="1" applyAlignment="1" applyProtection="1">
      <alignment horizontal="center" vertical="center"/>
    </xf>
    <xf numFmtId="0" fontId="0" fillId="0" borderId="13" xfId="0" applyBorder="1" applyAlignment="1" applyProtection="1">
      <alignment horizontal="center" vertical="center"/>
      <protection locked="0"/>
    </xf>
    <xf numFmtId="0" fontId="0" fillId="0" borderId="14" xfId="0" applyBorder="1" applyAlignment="1" applyProtection="1">
      <alignment horizontal="right" vertical="center"/>
    </xf>
    <xf numFmtId="20" fontId="0" fillId="0" borderId="10" xfId="0" applyNumberFormat="1" applyBorder="1" applyAlignment="1" applyProtection="1">
      <alignment horizontal="center" vertical="center"/>
    </xf>
    <xf numFmtId="0" fontId="0" fillId="0" borderId="15" xfId="0" applyBorder="1" applyAlignment="1" applyProtection="1">
      <alignment horizontal="center" vertical="center"/>
      <protection locked="0"/>
    </xf>
    <xf numFmtId="0" fontId="0" fillId="0" borderId="16" xfId="0" applyBorder="1" applyAlignment="1" applyProtection="1">
      <alignment horizontal="right" vertical="center"/>
    </xf>
    <xf numFmtId="20" fontId="0" fillId="0" borderId="17" xfId="0" applyNumberFormat="1" applyBorder="1" applyAlignment="1" applyProtection="1">
      <alignment horizontal="center" vertical="center"/>
    </xf>
    <xf numFmtId="0" fontId="0" fillId="0" borderId="18" xfId="0" applyBorder="1" applyAlignment="1" applyProtection="1">
      <alignment horizontal="center" vertical="center"/>
      <protection locked="0"/>
    </xf>
    <xf numFmtId="0" fontId="0" fillId="0" borderId="0" xfId="0" applyBorder="1" applyProtection="1"/>
    <xf numFmtId="49" fontId="0" fillId="0" borderId="19" xfId="0" applyNumberFormat="1" applyBorder="1"/>
    <xf numFmtId="49" fontId="0" fillId="0" borderId="0" xfId="0" applyNumberFormat="1" applyBorder="1"/>
    <xf numFmtId="49" fontId="0" fillId="0" borderId="20" xfId="0" applyNumberFormat="1" applyBorder="1"/>
    <xf numFmtId="0" fontId="0" fillId="0" borderId="14" xfId="0" applyNumberFormat="1" applyBorder="1"/>
    <xf numFmtId="0" fontId="0" fillId="0" borderId="15" xfId="0" applyNumberFormat="1" applyBorder="1"/>
    <xf numFmtId="49" fontId="0" fillId="0" borderId="21" xfId="0" applyNumberFormat="1" applyBorder="1"/>
    <xf numFmtId="49" fontId="0" fillId="0" borderId="22" xfId="0" applyNumberFormat="1" applyBorder="1"/>
    <xf numFmtId="49" fontId="0" fillId="0" borderId="23" xfId="0" applyNumberFormat="1" applyBorder="1"/>
    <xf numFmtId="0" fontId="0" fillId="0" borderId="15" xfId="0" applyNumberFormat="1" applyBorder="1" applyAlignment="1">
      <alignment horizontal="right"/>
    </xf>
    <xf numFmtId="49" fontId="0" fillId="0" borderId="24" xfId="0" applyNumberFormat="1" applyBorder="1"/>
    <xf numFmtId="49" fontId="0" fillId="0" borderId="25" xfId="0" applyNumberFormat="1" applyBorder="1"/>
    <xf numFmtId="49" fontId="0" fillId="0" borderId="0" xfId="0" applyNumberFormat="1" applyProtection="1"/>
    <xf numFmtId="0" fontId="9" fillId="0" borderId="0" xfId="44" applyFont="1" applyBorder="1" applyAlignment="1">
      <alignment vertical="center"/>
    </xf>
    <xf numFmtId="0" fontId="8" fillId="0" borderId="0" xfId="44" applyFont="1" applyBorder="1" applyAlignment="1">
      <alignment vertical="center"/>
    </xf>
    <xf numFmtId="0" fontId="8" fillId="0" borderId="0" xfId="44" applyFont="1" applyAlignment="1">
      <alignment vertical="center"/>
    </xf>
    <xf numFmtId="0" fontId="9" fillId="0" borderId="0" xfId="44" applyFont="1" applyBorder="1" applyAlignment="1">
      <alignment horizontal="centerContinuous" vertical="center"/>
    </xf>
    <xf numFmtId="0" fontId="8" fillId="0" borderId="0" xfId="44" applyFont="1" applyBorder="1" applyAlignment="1">
      <alignment horizontal="centerContinuous" vertical="center"/>
    </xf>
    <xf numFmtId="0" fontId="10" fillId="0" borderId="0" xfId="44" applyFont="1" applyBorder="1" applyAlignment="1">
      <alignment vertical="center"/>
    </xf>
    <xf numFmtId="0" fontId="8" fillId="0" borderId="0" xfId="44" applyFont="1" applyBorder="1" applyAlignment="1" applyProtection="1">
      <alignment horizontal="centerContinuous" vertical="center"/>
    </xf>
    <xf numFmtId="0" fontId="8" fillId="0" borderId="0" xfId="44" applyFont="1" applyAlignment="1">
      <alignment horizontal="center" vertical="center"/>
    </xf>
    <xf numFmtId="0" fontId="9" fillId="0" borderId="27" xfId="44" applyNumberFormat="1" applyFont="1" applyBorder="1" applyAlignment="1">
      <alignment horizontal="centerContinuous" vertical="center" wrapText="1"/>
    </xf>
    <xf numFmtId="0" fontId="9" fillId="0" borderId="28" xfId="44" applyNumberFormat="1" applyFont="1" applyBorder="1" applyAlignment="1">
      <alignment horizontal="centerContinuous" vertical="center" wrapText="1"/>
    </xf>
    <xf numFmtId="0" fontId="13" fillId="0" borderId="0" xfId="44" applyFont="1" applyAlignment="1">
      <alignment horizontal="center" vertical="center"/>
    </xf>
    <xf numFmtId="0" fontId="8" fillId="0" borderId="0" xfId="0" applyFont="1" applyProtection="1"/>
    <xf numFmtId="49" fontId="0" fillId="0" borderId="15" xfId="0" applyNumberFormat="1" applyBorder="1" applyAlignment="1">
      <alignment horizontal="right"/>
    </xf>
    <xf numFmtId="177" fontId="0" fillId="0" borderId="14" xfId="0" applyNumberFormat="1" applyBorder="1" applyAlignment="1">
      <alignment horizontal="right"/>
    </xf>
    <xf numFmtId="177" fontId="0" fillId="0" borderId="10" xfId="0" applyNumberFormat="1" applyBorder="1" applyAlignment="1">
      <alignment horizontal="right"/>
    </xf>
    <xf numFmtId="177" fontId="0" fillId="0" borderId="16" xfId="0" applyNumberFormat="1" applyBorder="1"/>
    <xf numFmtId="177" fontId="0" fillId="0" borderId="17" xfId="0" applyNumberFormat="1" applyBorder="1"/>
    <xf numFmtId="0" fontId="0" fillId="0" borderId="10" xfId="0" applyBorder="1" applyProtection="1"/>
    <xf numFmtId="49" fontId="0" fillId="0" borderId="10" xfId="0" applyNumberFormat="1" applyBorder="1" applyProtection="1"/>
    <xf numFmtId="0" fontId="0" fillId="0" borderId="10" xfId="0" applyBorder="1" applyAlignment="1" applyProtection="1">
      <alignment wrapText="1"/>
    </xf>
    <xf numFmtId="0" fontId="0" fillId="0" borderId="24"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29" xfId="0" applyBorder="1" applyAlignment="1" applyProtection="1">
      <alignment horizontal="center" vertical="center"/>
      <protection locked="0"/>
    </xf>
    <xf numFmtId="0" fontId="0" fillId="0" borderId="0" xfId="0" applyNumberFormat="1" applyProtection="1"/>
    <xf numFmtId="0" fontId="0" fillId="0" borderId="10" xfId="0" applyNumberFormat="1" applyBorder="1" applyProtection="1"/>
    <xf numFmtId="20" fontId="0" fillId="0" borderId="30" xfId="0" applyNumberFormat="1" applyBorder="1" applyAlignment="1" applyProtection="1">
      <alignment horizontal="center" vertical="center"/>
    </xf>
    <xf numFmtId="0" fontId="0" fillId="0" borderId="0" xfId="0" applyNumberFormat="1" applyBorder="1" applyProtection="1"/>
    <xf numFmtId="0" fontId="0" fillId="0" borderId="31" xfId="0" applyNumberFormat="1" applyBorder="1" applyProtection="1"/>
    <xf numFmtId="0" fontId="0" fillId="0" borderId="32" xfId="0" applyNumberFormat="1" applyBorder="1" applyProtection="1"/>
    <xf numFmtId="0" fontId="0" fillId="0" borderId="33" xfId="0" applyNumberFormat="1" applyBorder="1" applyProtection="1"/>
    <xf numFmtId="0" fontId="0" fillId="0" borderId="14" xfId="0" applyNumberFormat="1" applyBorder="1" applyProtection="1"/>
    <xf numFmtId="0" fontId="0" fillId="0" borderId="22" xfId="0" applyNumberFormat="1" applyBorder="1" applyProtection="1"/>
    <xf numFmtId="0" fontId="0" fillId="0" borderId="34" xfId="0" applyNumberFormat="1" applyBorder="1" applyProtection="1"/>
    <xf numFmtId="0" fontId="0" fillId="0" borderId="35" xfId="0" applyNumberFormat="1" applyBorder="1" applyProtection="1"/>
    <xf numFmtId="0" fontId="0" fillId="0" borderId="36" xfId="0" applyNumberFormat="1" applyBorder="1" applyProtection="1"/>
    <xf numFmtId="0" fontId="0" fillId="0" borderId="12" xfId="0" applyNumberFormat="1" applyBorder="1" applyAlignment="1" applyProtection="1">
      <alignment horizontal="center" vertical="center"/>
    </xf>
    <xf numFmtId="0" fontId="0" fillId="0" borderId="37" xfId="0" applyNumberFormat="1" applyBorder="1" applyAlignment="1" applyProtection="1">
      <alignment horizontal="center" vertical="center"/>
    </xf>
    <xf numFmtId="20" fontId="0" fillId="0" borderId="11" xfId="0" applyNumberFormat="1" applyBorder="1" applyAlignment="1" applyProtection="1">
      <alignment horizontal="center" vertical="center"/>
    </xf>
    <xf numFmtId="20" fontId="0" fillId="0" borderId="13" xfId="0" applyNumberFormat="1" applyBorder="1" applyAlignment="1" applyProtection="1">
      <alignment horizontal="center" vertical="center"/>
    </xf>
    <xf numFmtId="0" fontId="0" fillId="0" borderId="10" xfId="0" applyNumberFormat="1" applyBorder="1" applyAlignment="1" applyProtection="1">
      <alignment horizontal="center" vertical="center"/>
    </xf>
    <xf numFmtId="0" fontId="0" fillId="0" borderId="17" xfId="0" applyNumberFormat="1" applyBorder="1" applyAlignment="1" applyProtection="1">
      <alignment horizontal="center" vertical="center"/>
    </xf>
    <xf numFmtId="0" fontId="0" fillId="0" borderId="31" xfId="0" applyNumberFormat="1" applyBorder="1" applyAlignment="1" applyProtection="1">
      <alignment horizontal="center" vertical="center"/>
    </xf>
    <xf numFmtId="0" fontId="0" fillId="0" borderId="38" xfId="0" applyNumberFormat="1" applyBorder="1" applyAlignment="1" applyProtection="1">
      <alignment horizontal="center" vertical="center"/>
    </xf>
    <xf numFmtId="20" fontId="0" fillId="0" borderId="14" xfId="0" applyNumberFormat="1" applyBorder="1" applyAlignment="1" applyProtection="1">
      <alignment horizontal="center" vertical="center"/>
    </xf>
    <xf numFmtId="20" fontId="0" fillId="0" borderId="15" xfId="0" applyNumberFormat="1" applyBorder="1" applyAlignment="1" applyProtection="1">
      <alignment horizontal="center" vertical="center"/>
    </xf>
    <xf numFmtId="20" fontId="0" fillId="0" borderId="16" xfId="0" applyNumberFormat="1" applyBorder="1" applyAlignment="1" applyProtection="1">
      <alignment horizontal="center" vertical="center"/>
    </xf>
    <xf numFmtId="20" fontId="0" fillId="0" borderId="18" xfId="0" applyNumberFormat="1" applyBorder="1" applyAlignment="1" applyProtection="1">
      <alignment horizontal="center" vertical="center"/>
    </xf>
    <xf numFmtId="20" fontId="3" fillId="0" borderId="12" xfId="0" applyNumberFormat="1" applyFont="1" applyBorder="1" applyAlignment="1" applyProtection="1">
      <alignment horizontal="center" vertical="center"/>
    </xf>
    <xf numFmtId="20" fontId="3" fillId="0" borderId="10" xfId="0" applyNumberFormat="1" applyFont="1" applyBorder="1" applyAlignment="1" applyProtection="1">
      <alignment horizontal="center" vertical="center"/>
    </xf>
    <xf numFmtId="20" fontId="3" fillId="0" borderId="17" xfId="0" applyNumberFormat="1" applyFont="1" applyBorder="1" applyAlignment="1" applyProtection="1">
      <alignment horizontal="center" vertical="center"/>
    </xf>
    <xf numFmtId="0" fontId="0" fillId="0" borderId="10" xfId="0" applyNumberFormat="1" applyBorder="1" applyProtection="1">
      <protection locked="0"/>
    </xf>
    <xf numFmtId="0" fontId="0" fillId="24" borderId="10" xfId="0" applyNumberFormat="1" applyFill="1" applyBorder="1" applyProtection="1">
      <protection locked="0"/>
    </xf>
    <xf numFmtId="49" fontId="0" fillId="24" borderId="10" xfId="0" applyNumberFormat="1" applyFill="1" applyBorder="1" applyProtection="1">
      <protection locked="0"/>
    </xf>
    <xf numFmtId="0" fontId="0" fillId="24" borderId="34" xfId="0" applyNumberFormat="1" applyFill="1" applyBorder="1" applyProtection="1">
      <protection locked="0"/>
    </xf>
    <xf numFmtId="0" fontId="0" fillId="0" borderId="39" xfId="0" applyNumberFormat="1" applyBorder="1" applyProtection="1"/>
    <xf numFmtId="0" fontId="0" fillId="25" borderId="40" xfId="0" applyFill="1" applyBorder="1" applyAlignment="1">
      <alignment horizontal="left"/>
    </xf>
    <xf numFmtId="0" fontId="0" fillId="25" borderId="41" xfId="0" applyFill="1" applyBorder="1" applyAlignment="1">
      <alignment horizontal="left"/>
    </xf>
    <xf numFmtId="0" fontId="0" fillId="25" borderId="26" xfId="0" applyFill="1" applyBorder="1" applyAlignment="1">
      <alignment horizontal="left"/>
    </xf>
    <xf numFmtId="0" fontId="0" fillId="25" borderId="42" xfId="0" applyFill="1" applyBorder="1" applyAlignment="1">
      <alignment horizontal="left"/>
    </xf>
    <xf numFmtId="0" fontId="0" fillId="25" borderId="43" xfId="0" applyFill="1" applyBorder="1" applyAlignment="1">
      <alignment horizontal="left"/>
    </xf>
    <xf numFmtId="0" fontId="0" fillId="0" borderId="41" xfId="0" applyBorder="1" applyAlignment="1">
      <alignment horizontal="left"/>
    </xf>
    <xf numFmtId="0" fontId="0" fillId="0" borderId="42" xfId="0" applyBorder="1" applyAlignment="1">
      <alignment horizontal="left"/>
    </xf>
    <xf numFmtId="0" fontId="0" fillId="26" borderId="41" xfId="0" applyFill="1" applyBorder="1" applyAlignment="1">
      <alignment horizontal="left"/>
    </xf>
    <xf numFmtId="0" fontId="0" fillId="26" borderId="43" xfId="0" applyFill="1" applyBorder="1" applyAlignment="1">
      <alignment horizontal="left"/>
    </xf>
    <xf numFmtId="0" fontId="0" fillId="26" borderId="40" xfId="0" applyFill="1" applyBorder="1" applyAlignment="1">
      <alignment horizontal="left"/>
    </xf>
    <xf numFmtId="0" fontId="0" fillId="26" borderId="42" xfId="0" applyFill="1" applyBorder="1" applyAlignment="1">
      <alignment horizontal="left"/>
    </xf>
    <xf numFmtId="0" fontId="0" fillId="26" borderId="26" xfId="0" applyFill="1" applyBorder="1" applyAlignment="1">
      <alignment horizontal="left"/>
    </xf>
    <xf numFmtId="0" fontId="0" fillId="0" borderId="35" xfId="0" applyBorder="1" applyAlignment="1">
      <alignment horizontal="left"/>
    </xf>
    <xf numFmtId="0" fontId="0" fillId="0" borderId="44" xfId="0" applyBorder="1" applyAlignment="1">
      <alignment horizontal="left"/>
    </xf>
    <xf numFmtId="0" fontId="0" fillId="0" borderId="29" xfId="0" applyBorder="1" applyAlignment="1">
      <alignment horizontal="left"/>
    </xf>
    <xf numFmtId="0" fontId="0" fillId="0" borderId="38" xfId="0" applyBorder="1" applyAlignment="1">
      <alignment horizontal="left"/>
    </xf>
    <xf numFmtId="0" fontId="0" fillId="26" borderId="35" xfId="0" applyFill="1" applyBorder="1" applyAlignment="1">
      <alignment horizontal="left"/>
    </xf>
    <xf numFmtId="0" fontId="0" fillId="26" borderId="44" xfId="0" applyFill="1" applyBorder="1" applyAlignment="1">
      <alignment horizontal="left"/>
    </xf>
    <xf numFmtId="0" fontId="0" fillId="26" borderId="29" xfId="0" applyFill="1" applyBorder="1" applyAlignment="1">
      <alignment horizontal="left"/>
    </xf>
    <xf numFmtId="0" fontId="0" fillId="26" borderId="38" xfId="0" applyFill="1" applyBorder="1" applyAlignment="1">
      <alignment horizontal="left"/>
    </xf>
    <xf numFmtId="0" fontId="0" fillId="26" borderId="45" xfId="0" applyFill="1" applyBorder="1" applyAlignment="1">
      <alignment horizontal="left"/>
    </xf>
    <xf numFmtId="0" fontId="0" fillId="0" borderId="45" xfId="0" applyBorder="1" applyAlignment="1">
      <alignment horizontal="left"/>
    </xf>
    <xf numFmtId="0" fontId="0" fillId="27" borderId="44" xfId="0" applyFill="1" applyBorder="1" applyAlignment="1">
      <alignment horizontal="left"/>
    </xf>
    <xf numFmtId="0" fontId="0" fillId="27" borderId="38" xfId="0" applyFill="1" applyBorder="1" applyAlignment="1">
      <alignment horizontal="left"/>
    </xf>
    <xf numFmtId="0" fontId="0" fillId="27" borderId="45" xfId="0" applyFill="1" applyBorder="1" applyAlignment="1">
      <alignment horizontal="left"/>
    </xf>
    <xf numFmtId="0" fontId="0" fillId="27" borderId="35" xfId="0" applyFill="1" applyBorder="1" applyAlignment="1">
      <alignment horizontal="left"/>
    </xf>
    <xf numFmtId="0" fontId="0" fillId="27" borderId="29" xfId="0" applyFill="1" applyBorder="1" applyAlignment="1">
      <alignment horizontal="left"/>
    </xf>
    <xf numFmtId="0" fontId="0" fillId="25" borderId="38" xfId="0" applyFill="1" applyBorder="1" applyAlignment="1">
      <alignment horizontal="left"/>
    </xf>
    <xf numFmtId="0" fontId="0" fillId="25" borderId="44" xfId="0" applyFill="1" applyBorder="1" applyAlignment="1">
      <alignment horizontal="left"/>
    </xf>
    <xf numFmtId="0" fontId="0" fillId="25" borderId="45" xfId="0" applyFill="1" applyBorder="1" applyAlignment="1">
      <alignment horizontal="left"/>
    </xf>
    <xf numFmtId="0" fontId="0" fillId="25" borderId="35" xfId="0" applyFill="1" applyBorder="1" applyAlignment="1">
      <alignment horizontal="left"/>
    </xf>
    <xf numFmtId="0" fontId="0" fillId="0" borderId="38" xfId="0" applyFill="1" applyBorder="1" applyAlignment="1">
      <alignment horizontal="left"/>
    </xf>
    <xf numFmtId="0" fontId="0" fillId="26" borderId="37" xfId="0" applyFill="1" applyBorder="1" applyAlignment="1">
      <alignment horizontal="left"/>
    </xf>
    <xf numFmtId="0" fontId="0" fillId="0" borderId="44" xfId="0" applyFill="1" applyBorder="1" applyAlignment="1">
      <alignment horizontal="left"/>
    </xf>
    <xf numFmtId="0" fontId="0" fillId="0" borderId="35" xfId="0" applyFill="1" applyBorder="1" applyAlignment="1">
      <alignment horizontal="left"/>
    </xf>
    <xf numFmtId="0" fontId="0" fillId="0" borderId="45" xfId="0" applyFill="1" applyBorder="1" applyAlignment="1">
      <alignment horizontal="left"/>
    </xf>
    <xf numFmtId="0" fontId="0" fillId="27" borderId="42" xfId="0" applyFill="1" applyBorder="1" applyAlignment="1">
      <alignment horizontal="left"/>
    </xf>
    <xf numFmtId="0" fontId="0" fillId="27" borderId="43" xfId="0" applyFill="1" applyBorder="1" applyAlignment="1">
      <alignment horizontal="left"/>
    </xf>
    <xf numFmtId="0" fontId="0" fillId="27" borderId="40" xfId="0" applyFill="1" applyBorder="1" applyAlignment="1">
      <alignment horizontal="left"/>
    </xf>
    <xf numFmtId="0" fontId="0" fillId="27" borderId="41" xfId="0" applyFill="1" applyBorder="1" applyAlignment="1">
      <alignment horizontal="left"/>
    </xf>
    <xf numFmtId="0" fontId="0" fillId="27" borderId="26" xfId="0" applyFill="1" applyBorder="1" applyAlignment="1">
      <alignment horizontal="left"/>
    </xf>
    <xf numFmtId="0" fontId="0" fillId="0" borderId="40" xfId="0" applyFill="1" applyBorder="1" applyAlignment="1">
      <alignment horizontal="left"/>
    </xf>
    <xf numFmtId="0" fontId="0" fillId="0" borderId="41" xfId="0" applyFill="1" applyBorder="1" applyAlignment="1">
      <alignment horizontal="left"/>
    </xf>
    <xf numFmtId="0" fontId="0" fillId="0" borderId="26" xfId="0" applyFill="1" applyBorder="1" applyAlignment="1">
      <alignment horizontal="left"/>
    </xf>
    <xf numFmtId="0" fontId="0" fillId="0" borderId="42" xfId="0" applyFill="1" applyBorder="1" applyAlignment="1">
      <alignment horizontal="left"/>
    </xf>
    <xf numFmtId="0" fontId="0" fillId="0" borderId="43" xfId="0" applyFill="1" applyBorder="1" applyAlignment="1">
      <alignment horizontal="left"/>
    </xf>
    <xf numFmtId="0" fontId="0" fillId="0" borderId="16" xfId="0" applyNumberFormat="1" applyBorder="1"/>
    <xf numFmtId="0" fontId="0" fillId="0" borderId="18" xfId="0" applyNumberFormat="1" applyBorder="1"/>
    <xf numFmtId="0" fontId="0" fillId="28" borderId="10" xfId="0" applyNumberFormat="1" applyFill="1" applyBorder="1" applyProtection="1"/>
    <xf numFmtId="0" fontId="0" fillId="0" borderId="25" xfId="0" applyNumberFormat="1" applyBorder="1" applyProtection="1"/>
    <xf numFmtId="0" fontId="17" fillId="0" borderId="0" xfId="28" applyAlignment="1" applyProtection="1"/>
    <xf numFmtId="49" fontId="0" fillId="0" borderId="46" xfId="0" applyNumberFormat="1" applyBorder="1"/>
    <xf numFmtId="0" fontId="18" fillId="0" borderId="0" xfId="0" applyFont="1" applyAlignment="1">
      <alignment horizontal="center"/>
    </xf>
    <xf numFmtId="49" fontId="0" fillId="0" borderId="33" xfId="0" applyNumberFormat="1" applyBorder="1"/>
    <xf numFmtId="49" fontId="0" fillId="24" borderId="31" xfId="0" applyNumberFormat="1" applyFill="1" applyBorder="1" applyProtection="1">
      <protection locked="0"/>
    </xf>
    <xf numFmtId="0" fontId="0" fillId="0" borderId="25" xfId="0" applyBorder="1" applyProtection="1">
      <protection locked="0"/>
    </xf>
    <xf numFmtId="177" fontId="0" fillId="0" borderId="10" xfId="0" applyNumberFormat="1" applyBorder="1"/>
    <xf numFmtId="0" fontId="0" fillId="0" borderId="25" xfId="0" applyNumberFormat="1" applyBorder="1"/>
    <xf numFmtId="0" fontId="0" fillId="0" borderId="34" xfId="0" applyNumberFormat="1" applyBorder="1"/>
    <xf numFmtId="0" fontId="0" fillId="0" borderId="31" xfId="0" applyNumberFormat="1" applyBorder="1"/>
    <xf numFmtId="0" fontId="0" fillId="0" borderId="47" xfId="0" applyNumberFormat="1" applyBorder="1"/>
    <xf numFmtId="0" fontId="0" fillId="0" borderId="48" xfId="0" applyNumberFormat="1" applyBorder="1"/>
    <xf numFmtId="0" fontId="0" fillId="0" borderId="49" xfId="0" applyNumberFormat="1" applyBorder="1"/>
    <xf numFmtId="49" fontId="0" fillId="0" borderId="18" xfId="0" applyNumberFormat="1" applyBorder="1" applyAlignment="1">
      <alignment horizontal="right"/>
    </xf>
    <xf numFmtId="0" fontId="0" fillId="0" borderId="10" xfId="0" applyBorder="1" applyProtection="1">
      <protection locked="0"/>
    </xf>
    <xf numFmtId="49" fontId="0" fillId="0" borderId="50" xfId="0" applyNumberFormat="1" applyBorder="1"/>
    <xf numFmtId="0" fontId="18" fillId="0" borderId="0" xfId="0" applyFont="1" applyAlignment="1">
      <alignment horizontal="center" vertical="top"/>
    </xf>
    <xf numFmtId="0" fontId="0" fillId="0" borderId="0" xfId="0" applyAlignment="1">
      <alignment vertical="top"/>
    </xf>
    <xf numFmtId="0" fontId="0" fillId="0" borderId="0" xfId="0" applyAlignment="1">
      <alignment vertical="top" wrapText="1"/>
    </xf>
    <xf numFmtId="0" fontId="0" fillId="25" borderId="32" xfId="0" applyFill="1" applyBorder="1" applyAlignment="1">
      <alignment horizontal="left" vertical="center"/>
    </xf>
    <xf numFmtId="0" fontId="0" fillId="25" borderId="37" xfId="0" applyFill="1" applyBorder="1" applyAlignment="1">
      <alignment horizontal="left" vertical="center"/>
    </xf>
    <xf numFmtId="0" fontId="0" fillId="25" borderId="51" xfId="0" applyFill="1" applyBorder="1" applyAlignment="1">
      <alignment horizontal="left" vertical="center"/>
    </xf>
    <xf numFmtId="0" fontId="0" fillId="0" borderId="32" xfId="0" applyFill="1" applyBorder="1" applyAlignment="1">
      <alignment horizontal="left" vertical="center"/>
    </xf>
    <xf numFmtId="0" fontId="0" fillId="0" borderId="37" xfId="0" applyFill="1" applyBorder="1" applyAlignment="1">
      <alignment horizontal="left" vertical="center"/>
    </xf>
    <xf numFmtId="0" fontId="0" fillId="27" borderId="51" xfId="0" applyFill="1" applyBorder="1" applyAlignment="1">
      <alignment horizontal="left" vertical="center"/>
    </xf>
    <xf numFmtId="0" fontId="0" fillId="27" borderId="32" xfId="0" applyFill="1" applyBorder="1" applyAlignment="1">
      <alignment horizontal="left" vertical="center"/>
    </xf>
    <xf numFmtId="0" fontId="0" fillId="27" borderId="37" xfId="0" applyFill="1" applyBorder="1" applyAlignment="1">
      <alignment horizontal="left" vertical="center"/>
    </xf>
    <xf numFmtId="0" fontId="0" fillId="27" borderId="24" xfId="0" applyFill="1" applyBorder="1" applyAlignment="1">
      <alignment horizontal="left" vertical="center"/>
    </xf>
    <xf numFmtId="0" fontId="0" fillId="0" borderId="46" xfId="0" applyFill="1" applyBorder="1" applyAlignment="1">
      <alignment horizontal="left" vertical="center"/>
    </xf>
    <xf numFmtId="0" fontId="0" fillId="27" borderId="46" xfId="0" applyFill="1" applyBorder="1" applyAlignment="1">
      <alignment horizontal="left" vertical="center"/>
    </xf>
    <xf numFmtId="0" fontId="0" fillId="27" borderId="20" xfId="0" applyFill="1" applyBorder="1" applyAlignment="1">
      <alignment horizontal="left" vertical="center"/>
    </xf>
    <xf numFmtId="0" fontId="0" fillId="27" borderId="52" xfId="0" applyFill="1" applyBorder="1" applyAlignment="1">
      <alignment horizontal="left" vertical="center"/>
    </xf>
    <xf numFmtId="0" fontId="0" fillId="0" borderId="20" xfId="0" applyBorder="1" applyAlignment="1">
      <alignment horizontal="left" vertical="center"/>
    </xf>
    <xf numFmtId="0" fontId="0" fillId="26" borderId="53" xfId="0" applyFill="1" applyBorder="1" applyAlignment="1">
      <alignment horizontal="left" vertical="center"/>
    </xf>
    <xf numFmtId="0" fontId="0" fillId="26" borderId="20" xfId="0" applyFill="1" applyBorder="1" applyAlignment="1">
      <alignment horizontal="left" vertical="center"/>
    </xf>
    <xf numFmtId="0" fontId="0" fillId="26" borderId="52" xfId="0" applyFill="1" applyBorder="1" applyAlignment="1">
      <alignment horizontal="left" vertical="center"/>
    </xf>
    <xf numFmtId="0" fontId="0" fillId="0" borderId="52" xfId="0" applyFill="1" applyBorder="1" applyAlignment="1">
      <alignment horizontal="left" vertical="center"/>
    </xf>
    <xf numFmtId="0" fontId="0" fillId="0" borderId="20" xfId="0" applyFill="1" applyBorder="1" applyAlignment="1">
      <alignment horizontal="left" vertical="center"/>
    </xf>
    <xf numFmtId="0" fontId="0" fillId="0" borderId="53" xfId="0" applyFill="1" applyBorder="1" applyAlignment="1">
      <alignment horizontal="left" vertical="center"/>
    </xf>
    <xf numFmtId="0" fontId="0" fillId="0" borderId="54" xfId="0" applyFill="1" applyBorder="1" applyAlignment="1">
      <alignment horizontal="left" vertical="center"/>
    </xf>
    <xf numFmtId="0" fontId="0" fillId="26" borderId="55" xfId="0" applyFill="1" applyBorder="1" applyAlignment="1">
      <alignment horizontal="left" vertical="center"/>
    </xf>
    <xf numFmtId="0" fontId="0" fillId="0" borderId="53" xfId="0" applyBorder="1" applyAlignment="1">
      <alignment horizontal="left" vertical="center"/>
    </xf>
    <xf numFmtId="0" fontId="0" fillId="25" borderId="20" xfId="0" applyFill="1" applyBorder="1" applyAlignment="1">
      <alignment horizontal="left" vertical="center"/>
    </xf>
    <xf numFmtId="0" fontId="0" fillId="25" borderId="52" xfId="0" applyFill="1" applyBorder="1" applyAlignment="1">
      <alignment horizontal="left" vertical="center"/>
    </xf>
    <xf numFmtId="0" fontId="0" fillId="25" borderId="53" xfId="0" applyFill="1" applyBorder="1" applyAlignment="1">
      <alignment horizontal="left" vertical="center"/>
    </xf>
    <xf numFmtId="0" fontId="0" fillId="25" borderId="55" xfId="0" applyFill="1" applyBorder="1" applyAlignment="1">
      <alignment horizontal="left" vertical="center"/>
    </xf>
    <xf numFmtId="0" fontId="0" fillId="26" borderId="32" xfId="0" applyFill="1" applyBorder="1" applyAlignment="1">
      <alignment horizontal="left" vertical="center"/>
    </xf>
    <xf numFmtId="0" fontId="0" fillId="26" borderId="37" xfId="0" applyFill="1" applyBorder="1" applyAlignment="1">
      <alignment horizontal="left" vertical="center"/>
    </xf>
    <xf numFmtId="0" fontId="0" fillId="26" borderId="51" xfId="0" applyFill="1" applyBorder="1" applyAlignment="1">
      <alignment horizontal="left" vertical="center"/>
    </xf>
    <xf numFmtId="0" fontId="0" fillId="0" borderId="51" xfId="0" applyFill="1" applyBorder="1" applyAlignment="1">
      <alignment horizontal="left" vertical="center"/>
    </xf>
    <xf numFmtId="0" fontId="0" fillId="25" borderId="24" xfId="0" applyFill="1" applyBorder="1" applyAlignment="1">
      <alignment horizontal="left" vertical="center"/>
    </xf>
    <xf numFmtId="0" fontId="0" fillId="27" borderId="53" xfId="0" applyFill="1" applyBorder="1" applyAlignment="1">
      <alignment horizontal="left" vertical="center"/>
    </xf>
    <xf numFmtId="0" fontId="0" fillId="27" borderId="54" xfId="0" applyFill="1" applyBorder="1" applyAlignment="1">
      <alignment horizontal="left" vertical="center"/>
    </xf>
    <xf numFmtId="0" fontId="0" fillId="27" borderId="55" xfId="0" applyFill="1" applyBorder="1" applyAlignment="1">
      <alignment horizontal="left" vertical="center"/>
    </xf>
    <xf numFmtId="0" fontId="0" fillId="0" borderId="50" xfId="0" applyBorder="1"/>
    <xf numFmtId="0" fontId="20" fillId="0" borderId="0" xfId="44" applyNumberFormat="1" applyFont="1" applyAlignment="1">
      <alignment vertical="center"/>
    </xf>
    <xf numFmtId="0" fontId="8" fillId="0" borderId="0" xfId="44" applyFont="1" applyBorder="1" applyAlignment="1">
      <alignment horizontal="center" vertical="center"/>
    </xf>
    <xf numFmtId="0" fontId="20" fillId="0" borderId="0" xfId="44" applyNumberFormat="1" applyFont="1" applyBorder="1" applyAlignment="1">
      <alignment vertical="center"/>
    </xf>
    <xf numFmtId="0" fontId="9" fillId="0" borderId="0" xfId="44" applyFont="1" applyBorder="1" applyAlignment="1" applyProtection="1">
      <protection locked="0"/>
    </xf>
    <xf numFmtId="185" fontId="22" fillId="0" borderId="41" xfId="44" applyNumberFormat="1" applyFont="1" applyBorder="1" applyAlignment="1" applyProtection="1">
      <alignment horizontal="left" vertical="center"/>
    </xf>
    <xf numFmtId="0" fontId="8" fillId="0" borderId="0" xfId="44" applyFont="1" applyBorder="1" applyAlignment="1" applyProtection="1">
      <alignment vertical="center"/>
    </xf>
    <xf numFmtId="186" fontId="9" fillId="0" borderId="0" xfId="44" applyNumberFormat="1" applyFont="1" applyBorder="1" applyAlignment="1" applyProtection="1">
      <alignment horizontal="centerContinuous"/>
      <protection locked="0"/>
    </xf>
    <xf numFmtId="0" fontId="9" fillId="0" borderId="0" xfId="44" applyFont="1" applyBorder="1" applyAlignment="1" applyProtection="1">
      <alignment horizontal="centerContinuous"/>
      <protection locked="0"/>
    </xf>
    <xf numFmtId="0" fontId="20" fillId="0" borderId="0" xfId="44" applyFont="1" applyBorder="1" applyAlignment="1" applyProtection="1">
      <alignment horizontal="center" vertical="center"/>
    </xf>
    <xf numFmtId="0" fontId="20" fillId="0" borderId="28" xfId="44" applyFont="1" applyBorder="1" applyAlignment="1">
      <alignment horizontal="centerContinuous" vertical="center"/>
    </xf>
    <xf numFmtId="0" fontId="20" fillId="0" borderId="63" xfId="44" applyNumberFormat="1" applyFont="1" applyBorder="1" applyAlignment="1">
      <alignment horizontal="centerContinuous" vertical="center" wrapText="1"/>
    </xf>
    <xf numFmtId="0" fontId="9" fillId="0" borderId="64" xfId="44" applyNumberFormat="1" applyFont="1" applyBorder="1" applyAlignment="1">
      <alignment horizontal="centerContinuous" vertical="center" wrapText="1"/>
    </xf>
    <xf numFmtId="0" fontId="20" fillId="0" borderId="65" xfId="44" applyFont="1" applyBorder="1" applyAlignment="1">
      <alignment horizontal="center" vertical="center"/>
    </xf>
    <xf numFmtId="0" fontId="20" fillId="0" borderId="66" xfId="44" applyFont="1" applyBorder="1" applyAlignment="1">
      <alignment horizontal="center" vertical="center"/>
    </xf>
    <xf numFmtId="183" fontId="8" fillId="0" borderId="68" xfId="44" applyNumberFormat="1" applyFont="1" applyBorder="1" applyAlignment="1">
      <alignment horizontal="center" vertical="center"/>
    </xf>
    <xf numFmtId="183" fontId="8" fillId="0" borderId="69" xfId="44" applyNumberFormat="1" applyFont="1" applyBorder="1" applyAlignment="1">
      <alignment horizontal="left" vertical="center"/>
    </xf>
    <xf numFmtId="183" fontId="13" fillId="0" borderId="68" xfId="44" applyNumberFormat="1" applyFont="1" applyBorder="1" applyAlignment="1">
      <alignment horizontal="center" vertical="center"/>
    </xf>
    <xf numFmtId="183" fontId="13" fillId="0" borderId="72" xfId="44" applyNumberFormat="1" applyFont="1" applyBorder="1" applyAlignment="1">
      <alignment horizontal="center" vertical="center"/>
    </xf>
    <xf numFmtId="0" fontId="0" fillId="0" borderId="0" xfId="0" applyFill="1"/>
    <xf numFmtId="0" fontId="8" fillId="0" borderId="0" xfId="44" applyFont="1" applyAlignment="1">
      <alignment horizontal="right" vertical="center"/>
    </xf>
    <xf numFmtId="183" fontId="8" fillId="0" borderId="65" xfId="44" applyNumberFormat="1" applyFont="1" applyBorder="1" applyAlignment="1">
      <alignment horizontal="left" vertical="center"/>
    </xf>
    <xf numFmtId="0" fontId="8" fillId="0" borderId="41" xfId="44" applyFont="1" applyBorder="1" applyAlignment="1" applyProtection="1">
      <alignment vertical="center"/>
    </xf>
    <xf numFmtId="0" fontId="8" fillId="0" borderId="41" xfId="44" applyFont="1" applyBorder="1" applyAlignment="1" applyProtection="1">
      <alignment horizontal="center" vertical="center"/>
    </xf>
    <xf numFmtId="189" fontId="22" fillId="0" borderId="41" xfId="44" applyNumberFormat="1" applyFont="1" applyBorder="1" applyAlignment="1" applyProtection="1">
      <alignment horizontal="centerContinuous" vertical="center"/>
    </xf>
    <xf numFmtId="184" fontId="22" fillId="0" borderId="41" xfId="44" applyNumberFormat="1" applyFont="1" applyBorder="1" applyAlignment="1" applyProtection="1">
      <alignment horizontal="left" vertical="center"/>
    </xf>
    <xf numFmtId="20" fontId="8" fillId="0" borderId="69" xfId="44" applyNumberFormat="1" applyFont="1" applyBorder="1" applyAlignment="1" applyProtection="1">
      <alignment horizontal="center" vertical="center"/>
    </xf>
    <xf numFmtId="0" fontId="20" fillId="0" borderId="74" xfId="44" applyNumberFormat="1" applyFont="1" applyBorder="1" applyAlignment="1" applyProtection="1">
      <alignment horizontal="center" vertical="center"/>
    </xf>
    <xf numFmtId="0" fontId="20" fillId="0" borderId="75" xfId="44" applyNumberFormat="1" applyFont="1" applyBorder="1" applyAlignment="1" applyProtection="1">
      <alignment vertical="center"/>
    </xf>
    <xf numFmtId="0" fontId="20" fillId="0" borderId="70" xfId="44" applyNumberFormat="1" applyFont="1" applyBorder="1" applyAlignment="1" applyProtection="1">
      <alignment horizontal="center" vertical="center"/>
    </xf>
    <xf numFmtId="0" fontId="20" fillId="0" borderId="69" xfId="44" applyNumberFormat="1" applyFont="1" applyBorder="1" applyAlignment="1" applyProtection="1">
      <alignment horizontal="center" vertical="center"/>
    </xf>
    <xf numFmtId="0" fontId="20" fillId="0" borderId="71" xfId="44" applyNumberFormat="1" applyFont="1" applyBorder="1" applyAlignment="1" applyProtection="1">
      <alignment horizontal="center" vertical="center"/>
    </xf>
    <xf numFmtId="20" fontId="8" fillId="0" borderId="65" xfId="44" applyNumberFormat="1" applyFont="1" applyBorder="1" applyAlignment="1" applyProtection="1">
      <alignment horizontal="center" vertical="center"/>
    </xf>
    <xf numFmtId="0" fontId="20" fillId="0" borderId="77" xfId="44" applyNumberFormat="1" applyFont="1" applyBorder="1" applyAlignment="1" applyProtection="1">
      <alignment horizontal="center" vertical="center"/>
    </xf>
    <xf numFmtId="0" fontId="20" fillId="0" borderId="72" xfId="44" applyNumberFormat="1" applyFont="1" applyBorder="1" applyAlignment="1" applyProtection="1">
      <alignment vertical="center"/>
    </xf>
    <xf numFmtId="0" fontId="20" fillId="0" borderId="41" xfId="44" applyNumberFormat="1" applyFont="1" applyBorder="1" applyAlignment="1" applyProtection="1">
      <alignment vertical="center"/>
    </xf>
    <xf numFmtId="0" fontId="20" fillId="0" borderId="67" xfId="44" applyNumberFormat="1" applyFont="1" applyBorder="1" applyAlignment="1" applyProtection="1">
      <alignment horizontal="center" vertical="center"/>
    </xf>
    <xf numFmtId="0" fontId="20" fillId="0" borderId="79" xfId="44" applyNumberFormat="1" applyFont="1" applyBorder="1" applyAlignment="1" applyProtection="1">
      <alignment horizontal="center" vertical="center"/>
    </xf>
    <xf numFmtId="0" fontId="20" fillId="0" borderId="26" xfId="44" applyNumberFormat="1" applyFont="1" applyBorder="1" applyAlignment="1" applyProtection="1">
      <alignment horizontal="center" vertical="center"/>
    </xf>
    <xf numFmtId="20" fontId="20" fillId="0" borderId="70" xfId="44" applyNumberFormat="1" applyFont="1" applyBorder="1" applyAlignment="1" applyProtection="1">
      <alignment horizontal="center" vertical="center"/>
    </xf>
    <xf numFmtId="20" fontId="0" fillId="0" borderId="10" xfId="0" applyNumberFormat="1" applyBorder="1" applyProtection="1"/>
    <xf numFmtId="20" fontId="0" fillId="24" borderId="34" xfId="0" applyNumberFormat="1" applyFill="1" applyBorder="1" applyProtection="1">
      <protection locked="0"/>
    </xf>
    <xf numFmtId="20" fontId="0" fillId="0" borderId="35" xfId="0" applyNumberFormat="1" applyBorder="1" applyProtection="1"/>
    <xf numFmtId="0" fontId="0" fillId="0" borderId="0" xfId="0" applyAlignment="1">
      <alignment horizontal="center" vertical="center"/>
    </xf>
    <xf numFmtId="0" fontId="0" fillId="26" borderId="10" xfId="0" applyFill="1" applyBorder="1" applyAlignment="1">
      <alignment horizontal="center" vertical="center"/>
    </xf>
    <xf numFmtId="0" fontId="0" fillId="27" borderId="10" xfId="0" applyFill="1" applyBorder="1" applyAlignment="1">
      <alignment horizontal="center" vertical="center"/>
    </xf>
    <xf numFmtId="0" fontId="8" fillId="0" borderId="10" xfId="44" applyFont="1" applyBorder="1" applyAlignment="1" applyProtection="1">
      <alignment horizontal="center" vertical="center"/>
    </xf>
    <xf numFmtId="0" fontId="8" fillId="0" borderId="25" xfId="44" applyFont="1" applyBorder="1" applyAlignment="1" applyProtection="1">
      <alignment horizontal="left" vertical="center"/>
    </xf>
    <xf numFmtId="0" fontId="8" fillId="0" borderId="56" xfId="44" applyFont="1" applyBorder="1" applyAlignment="1" applyProtection="1">
      <alignment horizontal="centerContinuous" vertical="center"/>
    </xf>
    <xf numFmtId="0" fontId="20" fillId="0" borderId="56" xfId="44" applyNumberFormat="1" applyFont="1" applyBorder="1" applyAlignment="1" applyProtection="1">
      <alignment horizontal="centerContinuous" vertical="center"/>
    </xf>
    <xf numFmtId="0" fontId="8" fillId="0" borderId="25" xfId="44" applyFont="1" applyBorder="1" applyAlignment="1" applyProtection="1">
      <alignment horizontal="centerContinuous" vertical="center"/>
    </xf>
    <xf numFmtId="0" fontId="9" fillId="0" borderId="10" xfId="44" applyFont="1" applyFill="1" applyBorder="1" applyAlignment="1" applyProtection="1">
      <alignment horizontal="center" vertical="center" wrapText="1"/>
    </xf>
    <xf numFmtId="0" fontId="8" fillId="0" borderId="10" xfId="44" applyFont="1" applyBorder="1" applyAlignment="1" applyProtection="1">
      <alignment horizontal="center" vertical="center" wrapText="1"/>
    </xf>
    <xf numFmtId="0" fontId="9" fillId="0" borderId="10" xfId="44" applyFont="1" applyBorder="1" applyAlignment="1" applyProtection="1">
      <alignment horizontal="center" vertical="center" wrapText="1"/>
    </xf>
    <xf numFmtId="0" fontId="13" fillId="0" borderId="58" xfId="44" applyFont="1" applyBorder="1" applyAlignment="1" applyProtection="1">
      <alignment horizontal="right" vertical="center"/>
    </xf>
    <xf numFmtId="0" fontId="13" fillId="0" borderId="73" xfId="44" applyFont="1" applyBorder="1" applyAlignment="1" applyProtection="1">
      <alignment horizontal="right" vertical="center"/>
    </xf>
    <xf numFmtId="0" fontId="13" fillId="0" borderId="58" xfId="44" applyFont="1" applyBorder="1" applyAlignment="1" applyProtection="1">
      <alignment horizontal="center" vertical="center"/>
    </xf>
    <xf numFmtId="0" fontId="13" fillId="0" borderId="58" xfId="44" applyFont="1" applyFill="1" applyBorder="1" applyAlignment="1" applyProtection="1">
      <alignment horizontal="right" vertical="center"/>
    </xf>
    <xf numFmtId="0" fontId="9" fillId="0" borderId="31" xfId="44" applyFont="1" applyFill="1" applyBorder="1" applyAlignment="1" applyProtection="1">
      <alignment horizontal="center" vertical="center"/>
    </xf>
    <xf numFmtId="178" fontId="10" fillId="0" borderId="57" xfId="44" applyNumberFormat="1" applyFont="1" applyBorder="1" applyAlignment="1" applyProtection="1">
      <alignment horizontal="center" vertical="center"/>
    </xf>
    <xf numFmtId="182" fontId="10" fillId="0" borderId="26" xfId="44" applyNumberFormat="1" applyFont="1" applyBorder="1" applyAlignment="1" applyProtection="1">
      <alignment horizontal="centerContinuous" vertical="center"/>
    </xf>
    <xf numFmtId="0" fontId="10" fillId="0" borderId="57" xfId="44" applyFont="1" applyBorder="1" applyAlignment="1" applyProtection="1">
      <alignment horizontal="center" vertical="center"/>
    </xf>
    <xf numFmtId="0" fontId="10" fillId="0" borderId="42" xfId="44" applyFont="1" applyFill="1" applyBorder="1" applyAlignment="1" applyProtection="1">
      <alignment horizontal="center" vertical="center"/>
    </xf>
    <xf numFmtId="0" fontId="26" fillId="0" borderId="0" xfId="0" applyFont="1"/>
    <xf numFmtId="0" fontId="0" fillId="0" borderId="0" xfId="0" applyNumberFormat="1"/>
    <xf numFmtId="0" fontId="27" fillId="0" borderId="0" xfId="0" applyFont="1"/>
    <xf numFmtId="0" fontId="0" fillId="0" borderId="0" xfId="0" applyAlignment="1">
      <alignment horizontal="center" vertical="center" wrapText="1"/>
    </xf>
    <xf numFmtId="0" fontId="0" fillId="26" borderId="10" xfId="0" applyFill="1" applyBorder="1" applyAlignment="1">
      <alignment horizontal="center" vertical="center" wrapText="1"/>
    </xf>
    <xf numFmtId="0" fontId="0" fillId="29" borderId="10" xfId="0" applyFill="1" applyBorder="1" applyAlignment="1">
      <alignment horizontal="center" vertical="center" wrapText="1"/>
    </xf>
    <xf numFmtId="0" fontId="0" fillId="27" borderId="10" xfId="0" applyFill="1" applyBorder="1" applyAlignment="1">
      <alignment horizontal="center" vertical="center" wrapText="1"/>
    </xf>
    <xf numFmtId="0" fontId="0" fillId="0" borderId="0" xfId="0" applyNumberFormat="1" applyAlignment="1">
      <alignment horizontal="center" vertical="center" wrapText="1"/>
    </xf>
    <xf numFmtId="0" fontId="25" fillId="0" borderId="0" xfId="0" applyFont="1" applyAlignment="1">
      <alignment horizontal="center" vertical="center" wrapText="1"/>
    </xf>
    <xf numFmtId="0" fontId="25" fillId="26" borderId="10" xfId="0" applyFont="1" applyFill="1" applyBorder="1" applyAlignment="1">
      <alignment horizontal="center" vertical="center" wrapText="1"/>
    </xf>
    <xf numFmtId="0" fontId="25" fillId="29" borderId="10" xfId="0" applyFont="1" applyFill="1" applyBorder="1" applyAlignment="1">
      <alignment horizontal="center" vertical="center" wrapText="1"/>
    </xf>
    <xf numFmtId="0" fontId="25" fillId="27" borderId="10" xfId="0" applyFont="1" applyFill="1" applyBorder="1" applyAlignment="1">
      <alignment horizontal="center" vertical="center" wrapText="1"/>
    </xf>
    <xf numFmtId="0" fontId="25" fillId="0" borderId="0" xfId="0" applyNumberFormat="1" applyFont="1" applyAlignment="1">
      <alignment horizontal="center" vertical="center" wrapText="1"/>
    </xf>
    <xf numFmtId="0" fontId="0" fillId="0" borderId="10" xfId="0" applyBorder="1" applyAlignment="1">
      <alignment horizontal="center" vertical="center"/>
    </xf>
    <xf numFmtId="182" fontId="0" fillId="0" borderId="10" xfId="0" applyNumberFormat="1" applyBorder="1" applyAlignment="1">
      <alignment horizontal="center" vertical="center"/>
    </xf>
    <xf numFmtId="182" fontId="0" fillId="0" borderId="0" xfId="0" applyNumberFormat="1" applyAlignment="1">
      <alignment horizontal="center" vertical="center"/>
    </xf>
    <xf numFmtId="188" fontId="0" fillId="0" borderId="10" xfId="0" applyNumberFormat="1" applyBorder="1" applyAlignment="1">
      <alignment horizontal="center" vertical="center"/>
    </xf>
    <xf numFmtId="188" fontId="0" fillId="0" borderId="0" xfId="0" applyNumberFormat="1" applyAlignment="1">
      <alignment horizontal="center" vertical="center"/>
    </xf>
    <xf numFmtId="188" fontId="0" fillId="0" borderId="10" xfId="0" applyNumberFormat="1" applyFill="1" applyBorder="1" applyAlignment="1">
      <alignment horizontal="center" vertical="center"/>
    </xf>
    <xf numFmtId="0" fontId="0" fillId="0" borderId="10" xfId="0" applyFill="1" applyBorder="1" applyAlignment="1">
      <alignment horizontal="center" vertical="center"/>
    </xf>
    <xf numFmtId="0" fontId="0" fillId="0" borderId="0" xfId="0" applyFill="1" applyBorder="1" applyAlignment="1">
      <alignment horizontal="center" vertical="center"/>
    </xf>
    <xf numFmtId="0" fontId="0" fillId="0" borderId="0" xfId="0" applyNumberFormat="1" applyAlignment="1">
      <alignment horizontal="center" vertical="center"/>
    </xf>
    <xf numFmtId="0" fontId="0" fillId="30" borderId="58" xfId="0" applyFill="1" applyBorder="1" applyAlignment="1">
      <alignment horizontal="center" vertical="center"/>
    </xf>
    <xf numFmtId="0" fontId="25" fillId="26" borderId="10" xfId="0" applyFont="1" applyFill="1" applyBorder="1" applyAlignment="1">
      <alignment horizontal="center" vertical="center"/>
    </xf>
    <xf numFmtId="0" fontId="0" fillId="0" borderId="84" xfId="0" applyBorder="1" applyAlignment="1">
      <alignment horizontal="center" vertical="center"/>
    </xf>
    <xf numFmtId="0" fontId="18" fillId="0" borderId="0" xfId="0" applyFont="1" applyAlignment="1">
      <alignment horizontal="center" vertical="center"/>
    </xf>
    <xf numFmtId="182" fontId="18" fillId="0" borderId="0" xfId="0" applyNumberFormat="1" applyFont="1" applyAlignment="1">
      <alignment horizontal="center" vertical="center"/>
    </xf>
    <xf numFmtId="188" fontId="18" fillId="0" borderId="0" xfId="0" applyNumberFormat="1" applyFont="1" applyAlignment="1">
      <alignment horizontal="center" vertical="center"/>
    </xf>
    <xf numFmtId="0" fontId="18" fillId="0" borderId="0" xfId="0" applyNumberFormat="1" applyFont="1" applyAlignment="1">
      <alignment horizontal="center" vertical="center"/>
    </xf>
    <xf numFmtId="0" fontId="0" fillId="30" borderId="59" xfId="0" applyFill="1" applyBorder="1" applyAlignment="1">
      <alignment horizontal="center" vertical="center"/>
    </xf>
    <xf numFmtId="0" fontId="25" fillId="29" borderId="10" xfId="0" applyFont="1" applyFill="1" applyBorder="1" applyAlignment="1">
      <alignment horizontal="center" vertical="center"/>
    </xf>
    <xf numFmtId="0" fontId="0" fillId="29" borderId="10" xfId="0" applyFill="1" applyBorder="1" applyAlignment="1">
      <alignment horizontal="center" vertical="center"/>
    </xf>
    <xf numFmtId="0" fontId="0" fillId="30" borderId="57" xfId="0" applyFill="1" applyBorder="1" applyAlignment="1">
      <alignment horizontal="center" vertical="center"/>
    </xf>
    <xf numFmtId="0" fontId="25" fillId="27" borderId="10" xfId="0" applyFont="1" applyFill="1" applyBorder="1" applyAlignment="1">
      <alignment horizontal="center" vertical="center"/>
    </xf>
    <xf numFmtId="0" fontId="0" fillId="0" borderId="85" xfId="0" applyBorder="1" applyAlignment="1">
      <alignment horizontal="center" vertical="center"/>
    </xf>
    <xf numFmtId="0" fontId="25" fillId="0" borderId="0" xfId="0" applyFont="1" applyFill="1" applyBorder="1" applyAlignment="1">
      <alignment horizontal="center" vertical="center"/>
    </xf>
    <xf numFmtId="0" fontId="0" fillId="31" borderId="10" xfId="0" applyFill="1" applyBorder="1" applyAlignment="1">
      <alignment horizontal="center" vertical="center"/>
    </xf>
    <xf numFmtId="0" fontId="0" fillId="32" borderId="10" xfId="0" applyFill="1" applyBorder="1" applyAlignment="1">
      <alignment horizontal="center" vertical="center"/>
    </xf>
    <xf numFmtId="177" fontId="0" fillId="32" borderId="10" xfId="0" applyNumberFormat="1" applyFill="1" applyBorder="1" applyAlignment="1">
      <alignment horizontal="center" vertical="center"/>
    </xf>
    <xf numFmtId="0" fontId="16" fillId="0" borderId="0" xfId="0" applyFont="1" applyAlignment="1">
      <alignment horizontal="center" vertical="center"/>
    </xf>
    <xf numFmtId="0" fontId="13" fillId="0" borderId="0" xfId="44" applyFont="1" applyBorder="1" applyAlignment="1">
      <alignment horizontal="center" vertical="center"/>
    </xf>
    <xf numFmtId="0" fontId="0" fillId="0" borderId="0" xfId="0" applyBorder="1"/>
    <xf numFmtId="0" fontId="0" fillId="0" borderId="0" xfId="0" applyFill="1" applyBorder="1"/>
    <xf numFmtId="14" fontId="8" fillId="0" borderId="0" xfId="44" applyNumberFormat="1" applyFont="1" applyBorder="1" applyAlignment="1">
      <alignment vertical="center"/>
    </xf>
    <xf numFmtId="0" fontId="11" fillId="0" borderId="0" xfId="44" applyFont="1" applyBorder="1" applyAlignment="1">
      <alignment vertical="center"/>
    </xf>
    <xf numFmtId="0" fontId="10" fillId="0" borderId="0" xfId="44" applyFont="1" applyBorder="1" applyAlignment="1" applyProtection="1">
      <alignment horizontal="center" vertical="center"/>
    </xf>
    <xf numFmtId="0" fontId="20" fillId="0" borderId="0" xfId="44" applyFont="1" applyBorder="1" applyAlignment="1">
      <alignment vertical="center"/>
    </xf>
    <xf numFmtId="0" fontId="8" fillId="0" borderId="0" xfId="44" applyBorder="1" applyAlignment="1">
      <alignment vertical="center"/>
    </xf>
    <xf numFmtId="0" fontId="12" fillId="0" borderId="0" xfId="44" applyFont="1" applyBorder="1" applyAlignment="1" applyProtection="1">
      <alignment horizontal="center" vertical="center"/>
    </xf>
    <xf numFmtId="0" fontId="8" fillId="0" borderId="0" xfId="44" applyBorder="1" applyAlignment="1" applyProtection="1">
      <alignment vertical="center"/>
    </xf>
    <xf numFmtId="0" fontId="8" fillId="0" borderId="0" xfId="44" applyFont="1" applyBorder="1" applyAlignment="1" applyProtection="1">
      <alignment horizontal="centerContinuous" vertical="center"/>
      <protection locked="0"/>
    </xf>
    <xf numFmtId="20" fontId="8" fillId="0" borderId="0" xfId="44" applyNumberFormat="1" applyFont="1" applyBorder="1" applyAlignment="1">
      <alignment vertical="center"/>
    </xf>
    <xf numFmtId="0" fontId="13" fillId="0" borderId="0" xfId="44" applyFont="1" applyBorder="1" applyAlignment="1" applyProtection="1">
      <alignment vertical="center"/>
    </xf>
    <xf numFmtId="0" fontId="8" fillId="0" borderId="0" xfId="44" applyFont="1" applyFill="1" applyBorder="1" applyAlignment="1">
      <alignment vertical="center"/>
    </xf>
    <xf numFmtId="178" fontId="13" fillId="0" borderId="0" xfId="44" applyNumberFormat="1" applyFont="1" applyFill="1" applyBorder="1" applyAlignment="1">
      <alignment horizontal="center" vertical="center"/>
    </xf>
    <xf numFmtId="20" fontId="8" fillId="0" borderId="0" xfId="44" applyNumberFormat="1" applyFont="1" applyFill="1" applyBorder="1" applyAlignment="1">
      <alignment vertical="center"/>
    </xf>
    <xf numFmtId="0" fontId="13" fillId="0" borderId="0" xfId="44" applyFont="1" applyBorder="1" applyAlignment="1">
      <alignment horizontal="left" vertical="center"/>
    </xf>
    <xf numFmtId="20" fontId="0" fillId="28" borderId="10" xfId="0" applyNumberFormat="1" applyFill="1" applyBorder="1" applyProtection="1"/>
    <xf numFmtId="178" fontId="0" fillId="0" borderId="10" xfId="0" applyNumberFormat="1" applyBorder="1" applyAlignment="1">
      <alignment horizontal="center" vertical="center"/>
    </xf>
    <xf numFmtId="178" fontId="18" fillId="0" borderId="0" xfId="0" applyNumberFormat="1" applyFont="1" applyAlignment="1">
      <alignment horizontal="center" vertical="center"/>
    </xf>
    <xf numFmtId="181" fontId="10" fillId="0" borderId="26" xfId="44" applyNumberFormat="1" applyFont="1" applyBorder="1" applyAlignment="1" applyProtection="1">
      <alignment horizontal="center" vertical="center"/>
    </xf>
    <xf numFmtId="0" fontId="10" fillId="0" borderId="26" xfId="44" applyNumberFormat="1" applyFont="1" applyBorder="1" applyAlignment="1" applyProtection="1">
      <alignment horizontal="center" vertical="center"/>
    </xf>
    <xf numFmtId="0" fontId="10" fillId="0" borderId="26" xfId="44" applyFont="1" applyBorder="1" applyAlignment="1" applyProtection="1">
      <alignment horizontal="center" vertical="center"/>
    </xf>
    <xf numFmtId="178" fontId="10" fillId="0" borderId="10" xfId="44" applyNumberFormat="1" applyFont="1" applyFill="1" applyBorder="1" applyAlignment="1" applyProtection="1">
      <alignment horizontal="center"/>
    </xf>
    <xf numFmtId="0" fontId="10" fillId="0" borderId="10" xfId="44" applyFont="1" applyFill="1" applyBorder="1" applyAlignment="1" applyProtection="1">
      <alignment horizontal="center"/>
    </xf>
    <xf numFmtId="187" fontId="10" fillId="0" borderId="39" xfId="44" applyNumberFormat="1" applyFont="1" applyFill="1" applyBorder="1" applyAlignment="1" applyProtection="1">
      <alignment horizontal="center"/>
    </xf>
    <xf numFmtId="0" fontId="8" fillId="0" borderId="0" xfId="44" applyFont="1" applyBorder="1" applyAlignment="1" applyProtection="1">
      <alignment horizontal="center" vertical="center"/>
    </xf>
    <xf numFmtId="0" fontId="9" fillId="0" borderId="0" xfId="44" applyFont="1" applyBorder="1" applyAlignment="1" applyProtection="1"/>
    <xf numFmtId="0" fontId="9" fillId="0" borderId="0" xfId="44" applyFont="1" applyBorder="1" applyAlignment="1" applyProtection="1">
      <alignment horizontal="centerContinuous"/>
    </xf>
    <xf numFmtId="0" fontId="0" fillId="0" borderId="0" xfId="0" applyNumberFormat="1" applyProtection="1">
      <protection locked="0"/>
    </xf>
    <xf numFmtId="0" fontId="0" fillId="0" borderId="10" xfId="0" applyBorder="1"/>
    <xf numFmtId="190" fontId="18" fillId="0" borderId="0" xfId="0" applyNumberFormat="1" applyFont="1" applyAlignment="1">
      <alignment horizontal="center" vertical="top"/>
    </xf>
    <xf numFmtId="190" fontId="0" fillId="0" borderId="0" xfId="0" applyNumberFormat="1" applyAlignment="1">
      <alignment vertical="top"/>
    </xf>
    <xf numFmtId="0" fontId="18" fillId="0" borderId="0" xfId="0" applyFont="1" applyAlignment="1">
      <alignment horizontal="center" vertical="top" wrapText="1"/>
    </xf>
    <xf numFmtId="178" fontId="0" fillId="0" borderId="10" xfId="0" applyNumberFormat="1" applyBorder="1" applyProtection="1"/>
    <xf numFmtId="0" fontId="28" fillId="0" borderId="0" xfId="0" applyFont="1" applyBorder="1"/>
    <xf numFmtId="49" fontId="0" fillId="0" borderId="49" xfId="0" applyNumberFormat="1" applyBorder="1"/>
    <xf numFmtId="49" fontId="0" fillId="0" borderId="45" xfId="0" applyNumberFormat="1" applyBorder="1"/>
    <xf numFmtId="0" fontId="0" fillId="27" borderId="37" xfId="0" applyFill="1" applyBorder="1" applyAlignment="1">
      <alignment horizontal="left"/>
    </xf>
    <xf numFmtId="0" fontId="0" fillId="27" borderId="32" xfId="0" applyFill="1" applyBorder="1" applyAlignment="1">
      <alignment horizontal="left"/>
    </xf>
    <xf numFmtId="0" fontId="0" fillId="27" borderId="51" xfId="0" applyFill="1" applyBorder="1" applyAlignment="1">
      <alignment horizontal="left"/>
    </xf>
    <xf numFmtId="0" fontId="0" fillId="0" borderId="0" xfId="0" applyAlignment="1">
      <alignment horizontal="center"/>
    </xf>
    <xf numFmtId="0" fontId="0" fillId="33" borderId="32" xfId="0" applyFill="1" applyBorder="1" applyAlignment="1">
      <alignment horizontal="left" vertical="center"/>
    </xf>
    <xf numFmtId="0" fontId="0" fillId="33" borderId="37" xfId="0" applyFill="1" applyBorder="1" applyAlignment="1">
      <alignment horizontal="left" vertical="center"/>
    </xf>
    <xf numFmtId="0" fontId="0" fillId="33" borderId="51" xfId="0" applyFill="1" applyBorder="1" applyAlignment="1">
      <alignment horizontal="left" vertical="center"/>
    </xf>
    <xf numFmtId="0" fontId="0" fillId="33" borderId="24" xfId="0" applyFill="1" applyBorder="1" applyAlignment="1">
      <alignment horizontal="left" vertical="center"/>
    </xf>
    <xf numFmtId="0" fontId="0" fillId="33" borderId="46" xfId="0" applyFill="1" applyBorder="1" applyAlignment="1">
      <alignment horizontal="left" vertical="center"/>
    </xf>
    <xf numFmtId="0" fontId="0" fillId="33" borderId="20" xfId="0" applyFill="1" applyBorder="1" applyAlignment="1">
      <alignment horizontal="left" vertical="center"/>
    </xf>
    <xf numFmtId="0" fontId="0" fillId="33" borderId="52" xfId="0" applyFill="1" applyBorder="1" applyAlignment="1">
      <alignment horizontal="left" vertical="center"/>
    </xf>
    <xf numFmtId="0" fontId="0" fillId="33" borderId="53" xfId="0" applyFill="1" applyBorder="1" applyAlignment="1">
      <alignment horizontal="left" vertical="center"/>
    </xf>
    <xf numFmtId="0" fontId="0" fillId="33" borderId="54" xfId="0" applyFill="1" applyBorder="1" applyAlignment="1">
      <alignment horizontal="left" vertical="center"/>
    </xf>
    <xf numFmtId="0" fontId="0" fillId="33" borderId="55" xfId="0" applyFill="1" applyBorder="1" applyAlignment="1">
      <alignment horizontal="left" vertical="center"/>
    </xf>
    <xf numFmtId="0" fontId="0" fillId="0" borderId="24" xfId="0" applyFill="1" applyBorder="1" applyAlignment="1">
      <alignment horizontal="left" vertical="center"/>
    </xf>
    <xf numFmtId="0" fontId="0" fillId="0" borderId="55" xfId="0" applyFill="1" applyBorder="1" applyAlignment="1">
      <alignment horizontal="left" vertical="center"/>
    </xf>
    <xf numFmtId="49" fontId="0" fillId="0" borderId="10" xfId="0" applyNumberFormat="1" applyBorder="1" applyAlignment="1">
      <alignment horizontal="right"/>
    </xf>
    <xf numFmtId="0" fontId="0" fillId="0" borderId="0" xfId="0" applyAlignment="1">
      <alignment horizontal="right"/>
    </xf>
    <xf numFmtId="49" fontId="0" fillId="0" borderId="13" xfId="0" applyNumberFormat="1" applyBorder="1" applyAlignment="1">
      <alignment horizontal="right"/>
    </xf>
    <xf numFmtId="49" fontId="13" fillId="0" borderId="60" xfId="44" applyNumberFormat="1" applyFont="1" applyBorder="1" applyAlignment="1" applyProtection="1">
      <alignment horizontal="center" vertical="center" wrapText="1"/>
    </xf>
    <xf numFmtId="49" fontId="10" fillId="0" borderId="57" xfId="44" applyNumberFormat="1" applyFont="1" applyBorder="1" applyAlignment="1" applyProtection="1">
      <alignment horizontal="center" vertical="center"/>
    </xf>
    <xf numFmtId="49" fontId="10" fillId="0" borderId="26" xfId="44" applyNumberFormat="1" applyFont="1" applyBorder="1" applyAlignment="1" applyProtection="1">
      <alignment horizontal="center" vertical="center"/>
    </xf>
    <xf numFmtId="49" fontId="20" fillId="0" borderId="0" xfId="44" applyNumberFormat="1" applyFont="1" applyBorder="1" applyAlignment="1" applyProtection="1">
      <alignment vertical="center"/>
    </xf>
    <xf numFmtId="49" fontId="10" fillId="0" borderId="57" xfId="44" applyNumberFormat="1" applyFont="1" applyFill="1" applyBorder="1" applyAlignment="1" applyProtection="1">
      <alignment horizontal="center" vertical="center"/>
    </xf>
    <xf numFmtId="0" fontId="30" fillId="0" borderId="0" xfId="44" applyFont="1" applyFill="1" applyBorder="1" applyAlignment="1">
      <alignment vertical="center"/>
    </xf>
    <xf numFmtId="0" fontId="10" fillId="0" borderId="0" xfId="44" applyFont="1" applyAlignment="1" applyProtection="1">
      <alignment horizontal="center" vertical="center"/>
    </xf>
    <xf numFmtId="0" fontId="12" fillId="0" borderId="0" xfId="44" applyFont="1" applyAlignment="1" applyProtection="1">
      <alignment horizontal="center" vertical="center"/>
    </xf>
    <xf numFmtId="0" fontId="8" fillId="0" borderId="0" xfId="44" applyAlignment="1" applyProtection="1">
      <alignment vertical="center"/>
    </xf>
    <xf numFmtId="49" fontId="0" fillId="0" borderId="10" xfId="0" applyNumberFormat="1" applyBorder="1" applyAlignment="1">
      <alignment horizontal="left"/>
    </xf>
    <xf numFmtId="0" fontId="0" fillId="0" borderId="29" xfId="0" applyFill="1" applyBorder="1" applyAlignment="1">
      <alignment horizontal="left"/>
    </xf>
    <xf numFmtId="0" fontId="14" fillId="0" borderId="0" xfId="45" applyFont="1"/>
    <xf numFmtId="0" fontId="8" fillId="0" borderId="0" xfId="45"/>
    <xf numFmtId="0" fontId="8" fillId="0" borderId="10" xfId="45" applyBorder="1" applyProtection="1">
      <protection locked="0"/>
    </xf>
    <xf numFmtId="0" fontId="8" fillId="0" borderId="0" xfId="45" applyBorder="1"/>
    <xf numFmtId="0" fontId="8" fillId="0" borderId="88" xfId="45" applyBorder="1" applyAlignment="1">
      <alignment horizontal="centerContinuous"/>
    </xf>
    <xf numFmtId="0" fontId="8" fillId="0" borderId="27" xfId="45" applyBorder="1" applyAlignment="1">
      <alignment horizontal="centerContinuous"/>
    </xf>
    <xf numFmtId="0" fontId="8" fillId="0" borderId="28" xfId="45" applyBorder="1" applyAlignment="1">
      <alignment horizontal="centerContinuous"/>
    </xf>
    <xf numFmtId="0" fontId="8" fillId="0" borderId="64" xfId="45" applyBorder="1" applyAlignment="1">
      <alignment horizontal="centerContinuous"/>
    </xf>
    <xf numFmtId="189" fontId="10" fillId="0" borderId="42" xfId="45" applyNumberFormat="1" applyFont="1" applyBorder="1" applyAlignment="1" applyProtection="1">
      <alignment horizontal="centerContinuous" vertical="center"/>
      <protection locked="0"/>
    </xf>
    <xf numFmtId="0" fontId="8" fillId="0" borderId="79" xfId="45" applyBorder="1" applyAlignment="1" applyProtection="1">
      <alignment horizontal="centerContinuous" vertical="center"/>
    </xf>
    <xf numFmtId="0" fontId="8" fillId="0" borderId="41" xfId="45" applyBorder="1" applyAlignment="1" applyProtection="1">
      <alignment horizontal="centerContinuous" vertical="center"/>
      <protection locked="0"/>
    </xf>
    <xf numFmtId="191" fontId="10" fillId="0" borderId="41" xfId="45" applyNumberFormat="1" applyFont="1" applyBorder="1" applyAlignment="1" applyProtection="1">
      <alignment horizontal="centerContinuous" vertical="center"/>
      <protection locked="0"/>
    </xf>
    <xf numFmtId="0" fontId="10" fillId="0" borderId="41" xfId="45" applyFont="1" applyBorder="1" applyAlignment="1" applyProtection="1">
      <alignment horizontal="centerContinuous" vertical="center"/>
      <protection locked="0"/>
    </xf>
    <xf numFmtId="0" fontId="8" fillId="0" borderId="41" xfId="45" applyBorder="1" applyAlignment="1" applyProtection="1">
      <alignment horizontal="centerContinuous" vertical="center"/>
    </xf>
    <xf numFmtId="0" fontId="8" fillId="0" borderId="26" xfId="45" applyBorder="1" applyAlignment="1" applyProtection="1">
      <alignment horizontal="center" vertical="center"/>
    </xf>
    <xf numFmtId="0" fontId="13" fillId="0" borderId="0" xfId="45" applyFont="1"/>
    <xf numFmtId="0" fontId="9" fillId="0" borderId="89" xfId="45" applyFont="1" applyBorder="1" applyAlignment="1">
      <alignment horizontal="center" vertical="center"/>
    </xf>
    <xf numFmtId="0" fontId="9" fillId="0" borderId="90" xfId="45" applyFont="1" applyBorder="1" applyAlignment="1">
      <alignment horizontal="center" vertical="center"/>
    </xf>
    <xf numFmtId="0" fontId="13" fillId="0" borderId="90" xfId="45" applyFont="1" applyBorder="1" applyAlignment="1">
      <alignment horizontal="center" vertical="center"/>
    </xf>
    <xf numFmtId="0" fontId="13" fillId="0" borderId="90" xfId="45" applyFont="1" applyBorder="1" applyAlignment="1">
      <alignment horizontal="center" vertical="center" wrapText="1"/>
    </xf>
    <xf numFmtId="0" fontId="8" fillId="0" borderId="70" xfId="45" applyBorder="1" applyAlignment="1" applyProtection="1">
      <alignment horizontal="center" vertical="center"/>
      <protection locked="0"/>
    </xf>
    <xf numFmtId="0" fontId="8" fillId="0" borderId="75" xfId="45" applyBorder="1" applyAlignment="1" applyProtection="1">
      <alignment horizontal="centerContinuous" vertical="center"/>
      <protection locked="0"/>
    </xf>
    <xf numFmtId="0" fontId="8" fillId="0" borderId="91" xfId="45" applyBorder="1" applyAlignment="1" applyProtection="1">
      <alignment horizontal="centerContinuous" vertical="center"/>
      <protection locked="0"/>
    </xf>
    <xf numFmtId="0" fontId="8" fillId="0" borderId="69" xfId="45" applyBorder="1" applyAlignment="1" applyProtection="1">
      <alignment horizontal="center" vertical="center"/>
      <protection locked="0"/>
    </xf>
    <xf numFmtId="0" fontId="8" fillId="0" borderId="69" xfId="45" applyBorder="1" applyAlignment="1" applyProtection="1">
      <alignment vertical="center"/>
      <protection locked="0"/>
    </xf>
    <xf numFmtId="0" fontId="8" fillId="0" borderId="69" xfId="45" applyBorder="1" applyAlignment="1" applyProtection="1">
      <alignment vertical="center"/>
    </xf>
    <xf numFmtId="0" fontId="8" fillId="0" borderId="71" xfId="45" applyBorder="1" applyAlignment="1" applyProtection="1">
      <alignment vertical="center"/>
      <protection locked="0"/>
    </xf>
    <xf numFmtId="0" fontId="8" fillId="0" borderId="0" xfId="45" applyAlignment="1">
      <alignment vertical="center"/>
    </xf>
    <xf numFmtId="0" fontId="13" fillId="0" borderId="69" xfId="45" applyFont="1" applyBorder="1" applyAlignment="1" applyProtection="1">
      <alignment vertical="center" wrapText="1"/>
      <protection locked="0"/>
    </xf>
    <xf numFmtId="0" fontId="8" fillId="0" borderId="67" xfId="45" applyBorder="1" applyAlignment="1" applyProtection="1">
      <alignment horizontal="centerContinuous" vertical="center"/>
    </xf>
    <xf numFmtId="0" fontId="8" fillId="0" borderId="41" xfId="45" applyBorder="1" applyAlignment="1" applyProtection="1">
      <alignment horizontal="centerContinuous"/>
    </xf>
    <xf numFmtId="0" fontId="8" fillId="0" borderId="79" xfId="45" applyBorder="1" applyProtection="1"/>
    <xf numFmtId="0" fontId="8" fillId="0" borderId="79" xfId="45" applyBorder="1" applyAlignment="1" applyProtection="1">
      <alignment vertical="center"/>
    </xf>
    <xf numFmtId="0" fontId="8" fillId="0" borderId="79" xfId="45" applyBorder="1" applyAlignment="1" applyProtection="1">
      <alignment horizontal="right" vertical="center"/>
      <protection locked="0"/>
    </xf>
    <xf numFmtId="0" fontId="8" fillId="0" borderId="79" xfId="45" applyBorder="1" applyProtection="1">
      <protection locked="0"/>
    </xf>
    <xf numFmtId="0" fontId="8" fillId="0" borderId="26" xfId="45" applyBorder="1" applyProtection="1">
      <protection locked="0"/>
    </xf>
    <xf numFmtId="0" fontId="8" fillId="0" borderId="0" xfId="45" applyAlignment="1">
      <alignment vertical="top"/>
    </xf>
    <xf numFmtId="0" fontId="8" fillId="0" borderId="70" xfId="45" applyBorder="1" applyAlignment="1">
      <alignment horizontal="center"/>
    </xf>
    <xf numFmtId="0" fontId="8" fillId="0" borderId="69" xfId="45" applyBorder="1" applyAlignment="1">
      <alignment horizontal="center"/>
    </xf>
    <xf numFmtId="0" fontId="8" fillId="0" borderId="0" xfId="45" applyBorder="1" applyProtection="1"/>
    <xf numFmtId="0" fontId="8" fillId="0" borderId="73" xfId="45" applyBorder="1" applyProtection="1"/>
    <xf numFmtId="0" fontId="14" fillId="0" borderId="0" xfId="45" applyFont="1" applyAlignment="1">
      <alignment vertical="top"/>
    </xf>
    <xf numFmtId="0" fontId="8" fillId="0" borderId="67" xfId="45" applyBorder="1" applyProtection="1">
      <protection locked="0"/>
    </xf>
    <xf numFmtId="5" fontId="8" fillId="0" borderId="41" xfId="45" applyNumberFormat="1" applyBorder="1" applyAlignment="1" applyProtection="1">
      <alignment horizontal="centerContinuous" vertical="center"/>
      <protection locked="0"/>
    </xf>
    <xf numFmtId="0" fontId="8" fillId="0" borderId="26" xfId="45" applyBorder="1" applyAlignment="1" applyProtection="1">
      <alignment horizontal="centerContinuous"/>
    </xf>
    <xf numFmtId="0" fontId="8" fillId="0" borderId="0" xfId="45" applyBorder="1" applyProtection="1">
      <protection locked="0"/>
    </xf>
    <xf numFmtId="5" fontId="8" fillId="0" borderId="0" xfId="45" applyNumberFormat="1" applyBorder="1" applyAlignment="1" applyProtection="1">
      <alignment horizontal="centerContinuous" vertical="center"/>
      <protection locked="0"/>
    </xf>
    <xf numFmtId="0" fontId="8" fillId="0" borderId="0" xfId="45" applyBorder="1" applyAlignment="1" applyProtection="1">
      <alignment horizontal="centerContinuous"/>
    </xf>
    <xf numFmtId="0" fontId="8" fillId="0" borderId="0" xfId="45" applyProtection="1">
      <protection locked="0"/>
    </xf>
    <xf numFmtId="0" fontId="0" fillId="26" borderId="51" xfId="0" applyFill="1" applyBorder="1" applyAlignment="1">
      <alignment horizontal="left"/>
    </xf>
    <xf numFmtId="0" fontId="0" fillId="26" borderId="32" xfId="0" applyFill="1" applyBorder="1" applyAlignment="1">
      <alignment horizontal="left"/>
    </xf>
    <xf numFmtId="0" fontId="1" fillId="0" borderId="44" xfId="0" applyFont="1" applyFill="1" applyBorder="1" applyAlignment="1">
      <alignment horizontal="left"/>
    </xf>
    <xf numFmtId="49" fontId="0" fillId="0" borderId="10" xfId="0" applyNumberFormat="1" applyBorder="1" applyAlignment="1"/>
    <xf numFmtId="49" fontId="0" fillId="0" borderId="0" xfId="0" applyNumberFormat="1" applyAlignment="1">
      <alignment horizontal="right" vertical="top"/>
    </xf>
    <xf numFmtId="49" fontId="0" fillId="0" borderId="0" xfId="0" applyNumberFormat="1" applyAlignment="1">
      <alignment horizontal="right" vertical="top" wrapText="1"/>
    </xf>
    <xf numFmtId="49" fontId="18" fillId="0" borderId="0" xfId="0" applyNumberFormat="1" applyFont="1" applyAlignment="1">
      <alignment horizontal="right" vertical="top"/>
    </xf>
    <xf numFmtId="49" fontId="13" fillId="0" borderId="78" xfId="0" applyNumberFormat="1" applyFont="1" applyFill="1" applyBorder="1" applyAlignment="1" applyProtection="1">
      <alignment horizontal="center" vertical="center" wrapText="1"/>
      <protection locked="0"/>
    </xf>
    <xf numFmtId="49" fontId="13" fillId="0" borderId="65" xfId="0" applyNumberFormat="1" applyFont="1" applyFill="1" applyBorder="1" applyAlignment="1" applyProtection="1">
      <alignment horizontal="center" vertical="center" wrapText="1"/>
      <protection locked="0"/>
    </xf>
    <xf numFmtId="178" fontId="0" fillId="31" borderId="10" xfId="0" applyNumberFormat="1" applyFill="1" applyBorder="1" applyAlignment="1">
      <alignment horizontal="center" vertical="center"/>
    </xf>
    <xf numFmtId="0" fontId="15" fillId="0" borderId="0" xfId="44" applyFont="1" applyAlignment="1" applyProtection="1">
      <alignment horizontal="center" vertical="center"/>
    </xf>
    <xf numFmtId="0" fontId="8" fillId="0" borderId="0" xfId="44" applyFont="1" applyAlignment="1" applyProtection="1">
      <alignment vertical="center"/>
    </xf>
    <xf numFmtId="192" fontId="34" fillId="0" borderId="0" xfId="44" applyNumberFormat="1" applyFont="1" applyBorder="1" applyAlignment="1" applyProtection="1">
      <alignment horizontal="left" vertical="center"/>
    </xf>
    <xf numFmtId="192" fontId="10" fillId="0" borderId="0" xfId="44" applyNumberFormat="1" applyFont="1" applyBorder="1" applyAlignment="1" applyProtection="1">
      <alignment horizontal="left" vertical="center"/>
    </xf>
    <xf numFmtId="192" fontId="22" fillId="0" borderId="0" xfId="44" applyNumberFormat="1" applyFont="1" applyBorder="1" applyAlignment="1" applyProtection="1">
      <alignment horizontal="left" vertical="center"/>
    </xf>
    <xf numFmtId="178" fontId="22" fillId="0" borderId="0" xfId="44" applyNumberFormat="1" applyFont="1" applyBorder="1" applyAlignment="1" applyProtection="1">
      <alignment horizontal="left" vertical="center"/>
    </xf>
    <xf numFmtId="0" fontId="9" fillId="0" borderId="0" xfId="46" applyFont="1">
      <alignment vertical="center"/>
    </xf>
    <xf numFmtId="0" fontId="36" fillId="0" borderId="0" xfId="46" applyFont="1">
      <alignment vertical="center"/>
    </xf>
    <xf numFmtId="0" fontId="13" fillId="0" borderId="0" xfId="46" applyFont="1">
      <alignment vertical="center"/>
    </xf>
    <xf numFmtId="0" fontId="9" fillId="0" borderId="0" xfId="46" applyFont="1" applyFill="1">
      <alignment vertical="center"/>
    </xf>
    <xf numFmtId="0" fontId="13" fillId="0" borderId="0" xfId="46" applyFont="1" applyFill="1">
      <alignment vertical="center"/>
    </xf>
    <xf numFmtId="0" fontId="0" fillId="0" borderId="0" xfId="0" applyFill="1" applyProtection="1"/>
    <xf numFmtId="0" fontId="33" fillId="0" borderId="0" xfId="0" applyFont="1" applyFill="1" applyProtection="1"/>
    <xf numFmtId="0" fontId="8" fillId="0" borderId="0" xfId="44" applyFont="1" applyFill="1" applyAlignment="1" applyProtection="1">
      <alignment vertical="center"/>
    </xf>
    <xf numFmtId="0" fontId="13" fillId="0" borderId="0" xfId="44" applyFont="1" applyFill="1" applyAlignment="1" applyProtection="1">
      <alignment horizontal="center" vertical="center"/>
    </xf>
    <xf numFmtId="0" fontId="8" fillId="0" borderId="0" xfId="44" applyFont="1" applyFill="1" applyAlignment="1" applyProtection="1">
      <alignment horizontal="center" vertical="center"/>
    </xf>
    <xf numFmtId="0" fontId="20" fillId="0" borderId="0" xfId="44" applyFont="1" applyFill="1" applyAlignment="1" applyProtection="1">
      <alignment horizontal="center" vertical="center"/>
    </xf>
    <xf numFmtId="0" fontId="8" fillId="0" borderId="0" xfId="44" applyFont="1" applyFill="1" applyBorder="1" applyAlignment="1" applyProtection="1">
      <alignment vertical="center"/>
    </xf>
    <xf numFmtId="178" fontId="10" fillId="0" borderId="0" xfId="44" applyNumberFormat="1" applyFont="1" applyFill="1" applyBorder="1" applyAlignment="1" applyProtection="1">
      <alignment horizontal="right" vertical="center"/>
    </xf>
    <xf numFmtId="0" fontId="9" fillId="0" borderId="0" xfId="44" applyFont="1" applyFill="1" applyBorder="1" applyAlignment="1" applyProtection="1">
      <alignment vertical="center"/>
    </xf>
    <xf numFmtId="0" fontId="20" fillId="0" borderId="0" xfId="44" applyFont="1" applyFill="1" applyBorder="1" applyAlignment="1" applyProtection="1">
      <alignment horizontal="left" vertical="center"/>
    </xf>
    <xf numFmtId="49" fontId="20" fillId="0" borderId="0" xfId="44" applyNumberFormat="1" applyFont="1" applyFill="1" applyBorder="1" applyAlignment="1" applyProtection="1">
      <alignment horizontal="center" vertical="center"/>
    </xf>
    <xf numFmtId="0" fontId="10" fillId="0" borderId="0" xfId="44" applyFont="1" applyFill="1" applyBorder="1" applyAlignment="1" applyProtection="1">
      <alignment vertical="center"/>
    </xf>
    <xf numFmtId="0" fontId="9" fillId="0" borderId="0" xfId="44" applyFont="1" applyFill="1" applyBorder="1" applyAlignment="1" applyProtection="1">
      <alignment horizontal="centerContinuous" vertical="center"/>
    </xf>
    <xf numFmtId="0" fontId="8" fillId="0" borderId="0" xfId="44" applyFont="1" applyFill="1" applyBorder="1" applyAlignment="1" applyProtection="1">
      <alignment horizontal="centerContinuous" vertical="center"/>
    </xf>
    <xf numFmtId="0" fontId="8" fillId="0" borderId="0" xfId="44" applyFont="1" applyFill="1" applyBorder="1" applyAlignment="1" applyProtection="1">
      <alignment horizontal="left" vertical="center"/>
    </xf>
    <xf numFmtId="0" fontId="20" fillId="0" borderId="0" xfId="44" applyNumberFormat="1" applyFont="1" applyFill="1" applyBorder="1" applyAlignment="1" applyProtection="1">
      <alignment vertical="center"/>
    </xf>
    <xf numFmtId="0" fontId="2" fillId="0" borderId="0" xfId="0" applyFont="1" applyFill="1" applyProtection="1"/>
    <xf numFmtId="0" fontId="25" fillId="0" borderId="0" xfId="0" applyFont="1" applyFill="1" applyProtection="1"/>
    <xf numFmtId="0" fontId="3" fillId="0" borderId="0" xfId="43" applyFont="1" applyFill="1" applyBorder="1" applyAlignment="1" applyProtection="1">
      <alignment horizontal="center" vertical="center"/>
    </xf>
    <xf numFmtId="0" fontId="13" fillId="0" borderId="0" xfId="44" applyFont="1" applyBorder="1" applyAlignment="1" applyProtection="1">
      <alignment horizontal="center" vertical="center"/>
      <protection locked="0"/>
    </xf>
    <xf numFmtId="0" fontId="8" fillId="0" borderId="0" xfId="44" applyFont="1" applyBorder="1" applyAlignment="1" applyProtection="1">
      <alignment vertical="center"/>
      <protection locked="0"/>
    </xf>
    <xf numFmtId="0" fontId="8" fillId="0" borderId="0" xfId="44" applyFont="1" applyBorder="1" applyAlignment="1" applyProtection="1">
      <alignment horizontal="center" vertical="center"/>
      <protection locked="0"/>
    </xf>
    <xf numFmtId="0" fontId="20" fillId="0" borderId="0" xfId="44" applyNumberFormat="1" applyFont="1" applyBorder="1" applyAlignment="1" applyProtection="1">
      <alignment vertical="center"/>
      <protection locked="0"/>
    </xf>
    <xf numFmtId="0" fontId="20" fillId="0" borderId="0" xfId="44" applyFont="1" applyBorder="1" applyAlignment="1" applyProtection="1">
      <alignment horizontal="center" vertical="center"/>
      <protection locked="0"/>
    </xf>
    <xf numFmtId="0" fontId="9" fillId="0" borderId="0" xfId="44" applyFont="1" applyBorder="1" applyAlignment="1" applyProtection="1">
      <alignment vertical="center"/>
      <protection locked="0"/>
    </xf>
    <xf numFmtId="0" fontId="13" fillId="0" borderId="31" xfId="46" applyFont="1" applyFill="1" applyBorder="1" applyAlignment="1" applyProtection="1">
      <alignment horizontal="center" vertical="center"/>
      <protection locked="0"/>
    </xf>
    <xf numFmtId="0" fontId="13" fillId="0" borderId="31" xfId="46" applyFont="1" applyFill="1" applyBorder="1" applyAlignment="1">
      <alignment horizontal="center" vertical="center"/>
    </xf>
    <xf numFmtId="180" fontId="13" fillId="0" borderId="0" xfId="46" applyNumberFormat="1" applyFont="1">
      <alignment vertical="center"/>
    </xf>
    <xf numFmtId="185" fontId="13" fillId="0" borderId="41" xfId="46" applyNumberFormat="1" applyFont="1" applyFill="1" applyBorder="1" applyAlignment="1">
      <alignment horizontal="center"/>
    </xf>
    <xf numFmtId="3" fontId="9" fillId="0" borderId="104" xfId="44" applyNumberFormat="1" applyFont="1" applyBorder="1" applyAlignment="1" applyProtection="1">
      <alignment horizontal="center" vertical="center" wrapText="1"/>
      <protection locked="0"/>
    </xf>
    <xf numFmtId="49" fontId="9" fillId="0" borderId="0" xfId="46" applyNumberFormat="1" applyFont="1" applyFill="1" applyBorder="1" applyAlignment="1">
      <alignment horizontal="left" vertical="center"/>
    </xf>
    <xf numFmtId="0" fontId="13" fillId="0" borderId="41" xfId="46" applyFont="1" applyFill="1" applyBorder="1">
      <alignment vertical="center"/>
    </xf>
    <xf numFmtId="0" fontId="9" fillId="0" borderId="105" xfId="46" applyFont="1" applyFill="1" applyBorder="1" applyAlignment="1">
      <alignment horizontal="center" vertical="center"/>
    </xf>
    <xf numFmtId="0" fontId="9" fillId="0" borderId="83" xfId="46" applyFont="1" applyFill="1" applyBorder="1" applyAlignment="1">
      <alignment horizontal="center" vertical="center"/>
    </xf>
    <xf numFmtId="195" fontId="9" fillId="0" borderId="104" xfId="46" applyNumberFormat="1" applyFont="1" applyFill="1" applyBorder="1" applyAlignment="1">
      <alignment horizontal="center" vertical="center"/>
    </xf>
    <xf numFmtId="195" fontId="9" fillId="0" borderId="108" xfId="46" applyNumberFormat="1" applyFont="1" applyFill="1" applyBorder="1" applyAlignment="1">
      <alignment horizontal="center" vertical="center"/>
    </xf>
    <xf numFmtId="0" fontId="36" fillId="0" borderId="0" xfId="46" applyFont="1" applyProtection="1">
      <alignment vertical="center"/>
      <protection locked="0"/>
    </xf>
    <xf numFmtId="0" fontId="13" fillId="0" borderId="41" xfId="46" applyFont="1" applyFill="1" applyBorder="1" applyAlignment="1">
      <alignment horizontal="center" vertical="center"/>
    </xf>
    <xf numFmtId="0" fontId="54" fillId="0" borderId="0" xfId="0" applyFont="1"/>
    <xf numFmtId="201" fontId="9" fillId="0" borderId="0" xfId="46" applyNumberFormat="1" applyFont="1">
      <alignment vertical="center"/>
    </xf>
    <xf numFmtId="0" fontId="1" fillId="27" borderId="44" xfId="0" applyFont="1" applyFill="1" applyBorder="1" applyAlignment="1">
      <alignment horizontal="left"/>
    </xf>
    <xf numFmtId="0" fontId="56" fillId="0" borderId="0" xfId="48">
      <alignment vertical="center"/>
    </xf>
    <xf numFmtId="0" fontId="58" fillId="0" borderId="0" xfId="48" applyFont="1" applyAlignment="1">
      <alignment horizontal="center" vertical="center"/>
    </xf>
    <xf numFmtId="0" fontId="56" fillId="0" borderId="0" xfId="48" applyAlignment="1">
      <alignment vertical="top"/>
    </xf>
    <xf numFmtId="0" fontId="56" fillId="0" borderId="0" xfId="48" applyAlignment="1">
      <alignment vertical="center"/>
    </xf>
    <xf numFmtId="0" fontId="56" fillId="0" borderId="0" xfId="48" applyAlignment="1">
      <alignment vertical="top" wrapText="1"/>
    </xf>
    <xf numFmtId="0" fontId="56" fillId="0" borderId="60" xfId="48" applyBorder="1">
      <alignment vertical="center"/>
    </xf>
    <xf numFmtId="0" fontId="56" fillId="0" borderId="0" xfId="48" applyBorder="1">
      <alignment vertical="center"/>
    </xf>
    <xf numFmtId="0" fontId="56" fillId="0" borderId="0" xfId="48" applyBorder="1" applyAlignment="1">
      <alignment vertical="center"/>
    </xf>
    <xf numFmtId="0" fontId="56" fillId="0" borderId="168" xfId="48" applyBorder="1">
      <alignment vertical="center"/>
    </xf>
    <xf numFmtId="0" fontId="56" fillId="0" borderId="56" xfId="48" applyBorder="1">
      <alignment vertical="center"/>
    </xf>
    <xf numFmtId="0" fontId="9" fillId="0" borderId="0" xfId="44" applyFont="1" applyFill="1" applyBorder="1" applyAlignment="1" applyProtection="1">
      <alignment horizontal="center" vertical="center"/>
    </xf>
    <xf numFmtId="0" fontId="20" fillId="0" borderId="0" xfId="44" applyNumberFormat="1" applyFont="1" applyFill="1" applyBorder="1" applyAlignment="1" applyProtection="1">
      <alignment horizontal="center" vertical="center" wrapText="1"/>
    </xf>
    <xf numFmtId="0" fontId="20" fillId="0" borderId="0" xfId="44" applyFont="1" applyFill="1" applyBorder="1" applyAlignment="1" applyProtection="1">
      <alignment horizontal="center" vertical="center"/>
    </xf>
    <xf numFmtId="0" fontId="15" fillId="0" borderId="0" xfId="44" applyFont="1" applyFill="1" applyAlignment="1" applyProtection="1">
      <alignment vertical="center"/>
    </xf>
    <xf numFmtId="0" fontId="20" fillId="0" borderId="33" xfId="44" applyNumberFormat="1" applyFont="1" applyFill="1" applyBorder="1" applyAlignment="1" applyProtection="1">
      <alignment vertical="center"/>
    </xf>
    <xf numFmtId="0" fontId="0" fillId="0" borderId="0" xfId="0" applyFill="1" applyAlignment="1" applyProtection="1"/>
    <xf numFmtId="0" fontId="20" fillId="36" borderId="39" xfId="44" applyFont="1" applyFill="1" applyBorder="1" applyAlignment="1">
      <alignment horizontal="center" vertical="center"/>
    </xf>
    <xf numFmtId="0" fontId="9" fillId="36" borderId="60" xfId="44" applyFont="1" applyFill="1" applyBorder="1" applyAlignment="1">
      <alignment horizontal="center" vertical="center"/>
    </xf>
    <xf numFmtId="0" fontId="20" fillId="36" borderId="61" xfId="44" applyFont="1" applyFill="1" applyBorder="1" applyAlignment="1">
      <alignment horizontal="left" vertical="center"/>
    </xf>
    <xf numFmtId="0" fontId="9" fillId="36" borderId="62" xfId="44" applyFont="1" applyFill="1" applyBorder="1" applyAlignment="1">
      <alignment horizontal="centerContinuous" vertical="center"/>
    </xf>
    <xf numFmtId="0" fontId="8" fillId="36" borderId="58" xfId="44" applyFont="1" applyFill="1" applyBorder="1" applyAlignment="1">
      <alignment horizontal="centerContinuous"/>
    </xf>
    <xf numFmtId="0" fontId="20" fillId="36" borderId="42" xfId="44" applyFont="1" applyFill="1" applyBorder="1" applyAlignment="1">
      <alignment horizontal="center" vertical="center"/>
    </xf>
    <xf numFmtId="0" fontId="9" fillId="36" borderId="41" xfId="44" applyFont="1" applyFill="1" applyBorder="1" applyAlignment="1">
      <alignment horizontal="center" vertical="center"/>
    </xf>
    <xf numFmtId="0" fontId="9" fillId="36" borderId="67" xfId="44" applyFont="1" applyFill="1" applyBorder="1" applyAlignment="1">
      <alignment horizontal="center" vertical="center" wrapText="1"/>
    </xf>
    <xf numFmtId="0" fontId="9" fillId="36" borderId="41" xfId="44" applyFont="1" applyFill="1" applyBorder="1" applyAlignment="1">
      <alignment horizontal="center" vertical="center" wrapText="1"/>
    </xf>
    <xf numFmtId="0" fontId="8" fillId="36" borderId="57" xfId="44" applyFont="1" applyFill="1" applyBorder="1" applyAlignment="1">
      <alignment horizontal="center" vertical="top"/>
    </xf>
    <xf numFmtId="0" fontId="8" fillId="36" borderId="88" xfId="44" applyNumberFormat="1" applyFont="1" applyFill="1" applyBorder="1" applyAlignment="1" applyProtection="1">
      <alignment horizontal="right" vertical="center"/>
    </xf>
    <xf numFmtId="0" fontId="20" fillId="36" borderId="75" xfId="44" applyNumberFormat="1" applyFont="1" applyFill="1" applyBorder="1" applyAlignment="1" applyProtection="1">
      <alignment vertical="center"/>
    </xf>
    <xf numFmtId="0" fontId="8" fillId="36" borderId="63" xfId="44" applyNumberFormat="1" applyFont="1" applyFill="1" applyBorder="1" applyAlignment="1" applyProtection="1">
      <alignment vertical="center"/>
    </xf>
    <xf numFmtId="0" fontId="8" fillId="36" borderId="69" xfId="44" applyNumberFormat="1" applyFont="1" applyFill="1" applyBorder="1" applyAlignment="1" applyProtection="1">
      <alignment vertical="center"/>
    </xf>
    <xf numFmtId="0" fontId="20" fillId="36" borderId="74" xfId="44" applyNumberFormat="1" applyFont="1" applyFill="1" applyBorder="1" applyAlignment="1" applyProtection="1">
      <alignment horizontal="center" vertical="center"/>
    </xf>
    <xf numFmtId="0" fontId="20" fillId="36" borderId="68" xfId="44" applyNumberFormat="1" applyFont="1" applyFill="1" applyBorder="1" applyAlignment="1" applyProtection="1">
      <alignment horizontal="right" vertical="center"/>
    </xf>
    <xf numFmtId="0" fontId="8" fillId="36" borderId="70" xfId="44" applyNumberFormat="1" applyFont="1" applyFill="1" applyBorder="1" applyAlignment="1" applyProtection="1">
      <alignment vertical="center"/>
    </xf>
    <xf numFmtId="0" fontId="0" fillId="36" borderId="76" xfId="0" applyNumberFormat="1" applyFill="1" applyBorder="1" applyAlignment="1" applyProtection="1"/>
    <xf numFmtId="0" fontId="20" fillId="36" borderId="42" xfId="44" applyNumberFormat="1" applyFont="1" applyFill="1" applyBorder="1" applyAlignment="1" applyProtection="1">
      <alignment horizontal="right" vertical="center"/>
    </xf>
    <xf numFmtId="0" fontId="20" fillId="36" borderId="41" xfId="44" applyNumberFormat="1" applyFont="1" applyFill="1" applyBorder="1" applyAlignment="1" applyProtection="1">
      <alignment vertical="center"/>
    </xf>
    <xf numFmtId="0" fontId="8" fillId="36" borderId="78" xfId="44" applyNumberFormat="1" applyFont="1" applyFill="1" applyBorder="1" applyAlignment="1" applyProtection="1">
      <alignment vertical="center"/>
    </xf>
    <xf numFmtId="0" fontId="8" fillId="36" borderId="65" xfId="44" applyNumberFormat="1" applyFont="1" applyFill="1" applyBorder="1" applyAlignment="1" applyProtection="1">
      <alignment vertical="center"/>
    </xf>
    <xf numFmtId="0" fontId="20" fillId="36" borderId="77" xfId="44" applyNumberFormat="1" applyFont="1" applyFill="1" applyBorder="1" applyAlignment="1" applyProtection="1">
      <alignment horizontal="center" vertical="center"/>
    </xf>
    <xf numFmtId="49" fontId="0" fillId="0" borderId="0" xfId="0" applyNumberFormat="1" applyBorder="1" applyAlignment="1" applyProtection="1">
      <alignment horizontal="right"/>
      <protection locked="0"/>
    </xf>
    <xf numFmtId="0" fontId="0" fillId="0" borderId="0" xfId="0" applyBorder="1" applyProtection="1">
      <protection locked="0"/>
    </xf>
    <xf numFmtId="0" fontId="20" fillId="37" borderId="57" xfId="44" applyFont="1" applyFill="1" applyBorder="1" applyAlignment="1">
      <alignment horizontal="center" vertical="center"/>
    </xf>
    <xf numFmtId="0" fontId="9" fillId="37" borderId="41" xfId="44" applyFont="1" applyFill="1" applyBorder="1" applyAlignment="1">
      <alignment horizontal="center" vertical="center"/>
    </xf>
    <xf numFmtId="0" fontId="21" fillId="0" borderId="0" xfId="44" applyFont="1" applyFill="1" applyBorder="1" applyAlignment="1">
      <alignment horizontal="centerContinuous" vertical="center" shrinkToFit="1"/>
    </xf>
    <xf numFmtId="0" fontId="9" fillId="0" borderId="0" xfId="44" applyFont="1" applyFill="1" applyBorder="1" applyAlignment="1">
      <alignment horizontal="centerContinuous" vertical="center" shrinkToFit="1"/>
    </xf>
    <xf numFmtId="0" fontId="8" fillId="0" borderId="0" xfId="44" applyFont="1" applyFill="1" applyBorder="1" applyAlignment="1">
      <alignment horizontal="centerContinuous" vertical="center"/>
    </xf>
    <xf numFmtId="0" fontId="9" fillId="0" borderId="0" xfId="44" applyFont="1" applyFill="1" applyBorder="1" applyAlignment="1">
      <alignment horizontal="centerContinuous" vertical="center"/>
    </xf>
    <xf numFmtId="20" fontId="8" fillId="0" borderId="0" xfId="44" applyNumberFormat="1" applyFont="1" applyFill="1" applyBorder="1" applyAlignment="1" applyProtection="1">
      <alignment horizontal="right" vertical="center"/>
      <protection locked="0"/>
    </xf>
    <xf numFmtId="20" fontId="20" fillId="0" borderId="0" xfId="44" applyNumberFormat="1" applyFont="1" applyFill="1" applyBorder="1" applyAlignment="1" applyProtection="1">
      <alignment horizontal="center" vertical="top"/>
    </xf>
    <xf numFmtId="182" fontId="20" fillId="0" borderId="0" xfId="44" quotePrefix="1" applyNumberFormat="1" applyFont="1" applyFill="1" applyBorder="1" applyAlignment="1" applyProtection="1">
      <alignment horizontal="center" vertical="top"/>
    </xf>
    <xf numFmtId="178" fontId="10" fillId="0" borderId="0" xfId="44" applyNumberFormat="1" applyFont="1" applyFill="1" applyBorder="1" applyAlignment="1" applyProtection="1">
      <alignment horizontal="center" vertical="center"/>
    </xf>
    <xf numFmtId="203" fontId="0" fillId="0" borderId="0" xfId="0" applyNumberFormat="1" applyProtection="1">
      <protection locked="0"/>
    </xf>
    <xf numFmtId="0" fontId="56" fillId="0" borderId="25" xfId="48" applyBorder="1">
      <alignment vertical="center"/>
    </xf>
    <xf numFmtId="0" fontId="56" fillId="0" borderId="31" xfId="48" applyBorder="1">
      <alignment vertical="center"/>
    </xf>
    <xf numFmtId="0" fontId="68" fillId="0" borderId="0" xfId="44" applyFont="1" applyFill="1" applyBorder="1" applyAlignment="1" applyProtection="1">
      <alignment horizontal="center" vertical="center"/>
    </xf>
    <xf numFmtId="0" fontId="3" fillId="0" borderId="10" xfId="43" applyFont="1" applyFill="1" applyBorder="1" applyAlignment="1" applyProtection="1">
      <alignment horizontal="center" vertical="center"/>
    </xf>
    <xf numFmtId="49" fontId="20" fillId="0" borderId="0" xfId="44" applyNumberFormat="1" applyFont="1" applyFill="1" applyBorder="1" applyAlignment="1" applyProtection="1">
      <alignment vertical="center"/>
    </xf>
    <xf numFmtId="0" fontId="0" fillId="0" borderId="60" xfId="0" applyFill="1" applyBorder="1" applyProtection="1"/>
    <xf numFmtId="0" fontId="64" fillId="0" borderId="0" xfId="48" applyFont="1" applyBorder="1" applyAlignment="1">
      <alignment vertical="center"/>
    </xf>
    <xf numFmtId="0" fontId="64" fillId="0" borderId="0" xfId="48" applyFont="1" applyBorder="1" applyAlignment="1">
      <alignment vertical="center" wrapText="1"/>
    </xf>
    <xf numFmtId="0" fontId="56" fillId="0" borderId="0" xfId="48" applyFill="1" applyBorder="1" applyAlignment="1">
      <alignment vertical="center"/>
    </xf>
    <xf numFmtId="0" fontId="67" fillId="0" borderId="0" xfId="48" applyFont="1" applyBorder="1" applyAlignment="1">
      <alignment vertical="center"/>
    </xf>
    <xf numFmtId="0" fontId="56" fillId="0" borderId="82" xfId="48" applyBorder="1">
      <alignment vertical="center"/>
    </xf>
    <xf numFmtId="0" fontId="56" fillId="0" borderId="73" xfId="48" applyBorder="1">
      <alignment vertical="center"/>
    </xf>
    <xf numFmtId="0" fontId="56" fillId="0" borderId="41" xfId="48" applyFill="1" applyBorder="1" applyAlignment="1">
      <alignment vertical="center"/>
    </xf>
    <xf numFmtId="0" fontId="56" fillId="0" borderId="0" xfId="48" applyFont="1" applyBorder="1" applyAlignment="1">
      <alignment vertical="center" wrapText="1"/>
    </xf>
    <xf numFmtId="0" fontId="65" fillId="0" borderId="0" xfId="48" applyFont="1" applyBorder="1" applyAlignment="1">
      <alignment vertical="center" wrapText="1"/>
    </xf>
    <xf numFmtId="0" fontId="59" fillId="0" borderId="0" xfId="48" applyFont="1" applyBorder="1" applyAlignment="1">
      <alignment vertical="center" wrapText="1"/>
    </xf>
    <xf numFmtId="0" fontId="66" fillId="0" borderId="0" xfId="48" applyFont="1" applyBorder="1" applyAlignment="1">
      <alignment vertical="center" wrapText="1"/>
    </xf>
    <xf numFmtId="0" fontId="66" fillId="0" borderId="73" xfId="48" applyFont="1" applyBorder="1" applyAlignment="1">
      <alignment vertical="center" wrapText="1"/>
    </xf>
    <xf numFmtId="0" fontId="64" fillId="0" borderId="0" xfId="48" applyFont="1" applyFill="1" applyBorder="1" applyAlignment="1">
      <alignment vertical="center"/>
    </xf>
    <xf numFmtId="0" fontId="56" fillId="0" borderId="73" xfId="48" applyFill="1" applyBorder="1" applyAlignment="1">
      <alignment vertical="center"/>
    </xf>
    <xf numFmtId="0" fontId="67" fillId="0" borderId="0" xfId="48" applyFont="1" applyFill="1" applyBorder="1" applyAlignment="1">
      <alignment vertical="center"/>
    </xf>
    <xf numFmtId="0" fontId="67" fillId="0" borderId="41" xfId="48" applyFont="1" applyFill="1" applyBorder="1" applyAlignment="1">
      <alignment vertical="center"/>
    </xf>
    <xf numFmtId="0" fontId="56" fillId="0" borderId="26" xfId="48" applyFill="1" applyBorder="1" applyAlignment="1">
      <alignment vertical="center"/>
    </xf>
    <xf numFmtId="0" fontId="67" fillId="0" borderId="120" xfId="48" applyFont="1" applyFill="1" applyBorder="1" applyAlignment="1">
      <alignment vertical="center"/>
    </xf>
    <xf numFmtId="0" fontId="67" fillId="0" borderId="42" xfId="48" applyFont="1" applyFill="1" applyBorder="1" applyAlignment="1">
      <alignment vertical="center"/>
    </xf>
    <xf numFmtId="204" fontId="10" fillId="0" borderId="0" xfId="44" applyNumberFormat="1" applyFont="1" applyFill="1" applyBorder="1" applyAlignment="1" applyProtection="1">
      <alignment horizontal="center" vertical="center"/>
    </xf>
    <xf numFmtId="49" fontId="0" fillId="0" borderId="22" xfId="0" applyNumberFormat="1" applyFill="1" applyBorder="1"/>
    <xf numFmtId="0" fontId="13" fillId="0" borderId="31" xfId="46" applyFont="1" applyFill="1" applyBorder="1" applyAlignment="1">
      <alignment horizontal="center" vertical="center"/>
    </xf>
    <xf numFmtId="49" fontId="25" fillId="0" borderId="0" xfId="0" applyNumberFormat="1" applyFont="1"/>
    <xf numFmtId="0" fontId="63" fillId="0" borderId="0" xfId="49" applyFont="1" applyAlignment="1" applyProtection="1">
      <alignment vertical="center"/>
      <protection locked="0"/>
    </xf>
    <xf numFmtId="0" fontId="74" fillId="0" borderId="0" xfId="49" applyFont="1" applyBorder="1" applyAlignment="1" applyProtection="1">
      <alignment horizontal="distributed" vertical="center" shrinkToFit="1"/>
      <protection locked="0"/>
    </xf>
    <xf numFmtId="0" fontId="35" fillId="0" borderId="0" xfId="49" applyFont="1" applyAlignment="1" applyProtection="1">
      <alignment horizontal="center" vertical="center"/>
      <protection locked="0"/>
    </xf>
    <xf numFmtId="0" fontId="75" fillId="0" borderId="0" xfId="49" applyFont="1" applyBorder="1" applyAlignment="1" applyProtection="1">
      <alignment vertical="center" shrinkToFit="1"/>
      <protection locked="0"/>
    </xf>
    <xf numFmtId="0" fontId="63" fillId="0" borderId="0" xfId="50" applyFont="1"/>
    <xf numFmtId="0" fontId="63" fillId="0" borderId="0" xfId="49" applyFont="1" applyBorder="1" applyAlignment="1" applyProtection="1">
      <alignment vertical="center"/>
      <protection locked="0"/>
    </xf>
    <xf numFmtId="0" fontId="71" fillId="0" borderId="0" xfId="49" applyFont="1" applyFill="1" applyBorder="1" applyAlignment="1" applyProtection="1">
      <protection locked="0"/>
    </xf>
    <xf numFmtId="0" fontId="72" fillId="0" borderId="0" xfId="49" applyFont="1" applyBorder="1" applyAlignment="1" applyProtection="1">
      <protection locked="0"/>
    </xf>
    <xf numFmtId="0" fontId="63" fillId="0" borderId="0" xfId="49" applyFont="1" applyFill="1" applyBorder="1" applyAlignment="1" applyProtection="1">
      <alignment horizontal="center" vertical="center"/>
      <protection locked="0"/>
    </xf>
    <xf numFmtId="0" fontId="72" fillId="0" borderId="14" xfId="51" applyFont="1" applyBorder="1" applyAlignment="1" applyProtection="1">
      <alignment horizontal="center" vertical="center"/>
      <protection locked="0"/>
    </xf>
    <xf numFmtId="0" fontId="76" fillId="0" borderId="105" xfId="51" applyFont="1" applyBorder="1" applyAlignment="1" applyProtection="1">
      <alignment vertical="center" wrapText="1"/>
      <protection locked="0"/>
    </xf>
    <xf numFmtId="0" fontId="76" fillId="0" borderId="157" xfId="51" applyFont="1" applyBorder="1" applyAlignment="1" applyProtection="1">
      <alignment vertical="center" wrapText="1"/>
      <protection locked="0"/>
    </xf>
    <xf numFmtId="0" fontId="76" fillId="0" borderId="136" xfId="51" applyFont="1" applyBorder="1" applyAlignment="1" applyProtection="1">
      <alignment vertical="center" wrapText="1"/>
      <protection locked="0"/>
    </xf>
    <xf numFmtId="0" fontId="63" fillId="0" borderId="83" xfId="49" applyFont="1" applyBorder="1" applyAlignment="1" applyProtection="1">
      <alignment horizontal="center" vertical="center" wrapText="1"/>
      <protection locked="0"/>
    </xf>
    <xf numFmtId="0" fontId="76" fillId="0" borderId="105" xfId="51" applyFont="1" applyBorder="1" applyAlignment="1" applyProtection="1">
      <alignment horizontal="center" vertical="center" wrapText="1"/>
      <protection locked="0"/>
    </xf>
    <xf numFmtId="38" fontId="63" fillId="0" borderId="83" xfId="52" applyFont="1" applyBorder="1" applyAlignment="1" applyProtection="1">
      <alignment vertical="center"/>
      <protection locked="0"/>
    </xf>
    <xf numFmtId="38" fontId="63" fillId="0" borderId="10" xfId="52" applyFont="1" applyBorder="1" applyAlignment="1" applyProtection="1">
      <alignment vertical="center"/>
      <protection locked="0"/>
    </xf>
    <xf numFmtId="0" fontId="76" fillId="0" borderId="109" xfId="51" applyFont="1" applyBorder="1" applyAlignment="1" applyProtection="1">
      <alignment vertical="center" wrapText="1"/>
      <protection locked="0"/>
    </xf>
    <xf numFmtId="0" fontId="76" fillId="0" borderId="80" xfId="51" applyFont="1" applyBorder="1" applyAlignment="1" applyProtection="1">
      <alignment vertical="center" wrapText="1"/>
      <protection locked="0"/>
    </xf>
    <xf numFmtId="0" fontId="76" fillId="0" borderId="81" xfId="51" applyFont="1" applyBorder="1" applyAlignment="1" applyProtection="1">
      <alignment vertical="center" wrapText="1"/>
      <protection locked="0"/>
    </xf>
    <xf numFmtId="38" fontId="63" fillId="0" borderId="183" xfId="52" applyFont="1" applyBorder="1" applyAlignment="1" applyProtection="1">
      <alignment vertical="center"/>
      <protection locked="0"/>
    </xf>
    <xf numFmtId="38" fontId="63" fillId="0" borderId="17" xfId="52" applyFont="1" applyBorder="1" applyAlignment="1" applyProtection="1">
      <alignment vertical="center"/>
      <protection locked="0"/>
    </xf>
    <xf numFmtId="207" fontId="63" fillId="0" borderId="0" xfId="49" applyNumberFormat="1" applyFont="1" applyAlignment="1" applyProtection="1">
      <alignment vertical="center"/>
      <protection locked="0"/>
    </xf>
    <xf numFmtId="0" fontId="63" fillId="0" borderId="116" xfId="49" applyFont="1" applyFill="1" applyBorder="1" applyAlignment="1" applyProtection="1">
      <alignment horizontal="center" vertical="center" wrapText="1"/>
      <protection locked="0"/>
    </xf>
    <xf numFmtId="208" fontId="78" fillId="27" borderId="94" xfId="52" applyNumberFormat="1" applyFont="1" applyFill="1" applyBorder="1" applyAlignment="1" applyProtection="1">
      <alignment vertical="center"/>
      <protection locked="0"/>
    </xf>
    <xf numFmtId="207" fontId="63" fillId="0" borderId="182" xfId="49" applyNumberFormat="1" applyFont="1" applyBorder="1" applyAlignment="1" applyProtection="1">
      <alignment vertical="center"/>
      <protection locked="0"/>
    </xf>
    <xf numFmtId="0" fontId="63" fillId="0" borderId="14" xfId="49" applyFont="1" applyFill="1" applyBorder="1" applyAlignment="1" applyProtection="1">
      <alignment horizontal="center" vertical="center" wrapText="1"/>
      <protection locked="0"/>
    </xf>
    <xf numFmtId="208" fontId="78" fillId="27" borderId="10" xfId="52" applyNumberFormat="1" applyFont="1" applyFill="1" applyBorder="1" applyAlignment="1" applyProtection="1">
      <alignment vertical="center"/>
      <protection locked="0"/>
    </xf>
    <xf numFmtId="207" fontId="63" fillId="0" borderId="15" xfId="49" applyNumberFormat="1" applyFont="1" applyBorder="1" applyAlignment="1" applyProtection="1">
      <alignment vertical="center"/>
      <protection locked="0"/>
    </xf>
    <xf numFmtId="208" fontId="78" fillId="27" borderId="10" xfId="52" applyNumberFormat="1" applyFont="1" applyFill="1" applyBorder="1" applyAlignment="1" applyProtection="1">
      <alignment vertical="center"/>
    </xf>
    <xf numFmtId="0" fontId="63" fillId="0" borderId="118" xfId="49" applyFont="1" applyFill="1" applyBorder="1" applyAlignment="1" applyProtection="1">
      <alignment horizontal="center" vertical="center" wrapText="1"/>
      <protection locked="0"/>
    </xf>
    <xf numFmtId="208" fontId="78" fillId="27" borderId="57" xfId="52" applyNumberFormat="1" applyFont="1" applyFill="1" applyBorder="1" applyAlignment="1" applyProtection="1">
      <alignment vertical="center"/>
      <protection locked="0"/>
    </xf>
    <xf numFmtId="207" fontId="63" fillId="0" borderId="48" xfId="49" applyNumberFormat="1" applyFont="1" applyBorder="1" applyAlignment="1" applyProtection="1">
      <alignment vertical="center"/>
      <protection locked="0"/>
    </xf>
    <xf numFmtId="208" fontId="63" fillId="0" borderId="0" xfId="49" applyNumberFormat="1" applyFont="1" applyAlignment="1" applyProtection="1">
      <alignment vertical="center"/>
    </xf>
    <xf numFmtId="0" fontId="76" fillId="0" borderId="187" xfId="51" applyFont="1" applyBorder="1" applyAlignment="1" applyProtection="1">
      <alignment horizontal="center" vertical="center" wrapText="1"/>
      <protection locked="0"/>
    </xf>
    <xf numFmtId="0" fontId="72" fillId="0" borderId="16" xfId="51" applyFont="1" applyBorder="1" applyAlignment="1" applyProtection="1">
      <alignment horizontal="center" vertical="center"/>
      <protection locked="0"/>
    </xf>
    <xf numFmtId="0" fontId="76" fillId="0" borderId="187" xfId="51" applyFont="1" applyBorder="1" applyAlignment="1" applyProtection="1">
      <alignment vertical="center" wrapText="1"/>
      <protection locked="0"/>
    </xf>
    <xf numFmtId="0" fontId="76" fillId="0" borderId="184" xfId="51" applyFont="1" applyBorder="1" applyAlignment="1" applyProtection="1">
      <alignment vertical="center" wrapText="1"/>
      <protection locked="0"/>
    </xf>
    <xf numFmtId="0" fontId="76" fillId="0" borderId="186" xfId="51" applyFont="1" applyBorder="1" applyAlignment="1" applyProtection="1">
      <alignment vertical="center" wrapText="1"/>
      <protection locked="0"/>
    </xf>
    <xf numFmtId="0" fontId="63" fillId="0" borderId="183" xfId="49" applyFont="1" applyBorder="1" applyAlignment="1" applyProtection="1">
      <alignment horizontal="center" vertical="center" wrapText="1"/>
      <protection locked="0"/>
    </xf>
    <xf numFmtId="0" fontId="35" fillId="0" borderId="0" xfId="0" applyFont="1" applyAlignment="1">
      <alignment vertical="center"/>
    </xf>
    <xf numFmtId="0" fontId="63" fillId="0" borderId="0" xfId="50" applyFont="1" applyBorder="1" applyAlignment="1" applyProtection="1">
      <protection locked="0"/>
    </xf>
    <xf numFmtId="0" fontId="72" fillId="0" borderId="0" xfId="0" applyFont="1" applyAlignment="1">
      <alignment vertical="center"/>
    </xf>
    <xf numFmtId="0" fontId="63" fillId="38" borderId="182" xfId="49" applyFont="1" applyFill="1" applyBorder="1" applyAlignment="1" applyProtection="1">
      <alignment horizontal="center" vertical="center"/>
      <protection locked="0"/>
    </xf>
    <xf numFmtId="0" fontId="63" fillId="38" borderId="78" xfId="49" applyFont="1" applyFill="1" applyBorder="1" applyAlignment="1" applyProtection="1">
      <alignment horizontal="center" vertical="center"/>
      <protection locked="0"/>
    </xf>
    <xf numFmtId="0" fontId="63" fillId="38" borderId="65" xfId="49" applyFont="1" applyFill="1" applyBorder="1" applyAlignment="1" applyProtection="1">
      <alignment horizontal="center" vertical="center"/>
      <protection locked="0"/>
    </xf>
    <xf numFmtId="0" fontId="63" fillId="38" borderId="86" xfId="49" applyFont="1" applyFill="1" applyBorder="1" applyAlignment="1" applyProtection="1">
      <alignment horizontal="center" vertical="center"/>
      <protection locked="0"/>
    </xf>
    <xf numFmtId="0" fontId="36" fillId="38" borderId="104" xfId="49" applyFont="1" applyFill="1" applyBorder="1" applyAlignment="1" applyProtection="1">
      <alignment horizontal="center" vertical="center" shrinkToFit="1"/>
      <protection locked="0"/>
    </xf>
    <xf numFmtId="0" fontId="63" fillId="38" borderId="10" xfId="49" applyFont="1" applyFill="1" applyBorder="1" applyAlignment="1" applyProtection="1">
      <alignment horizontal="center" vertical="center"/>
      <protection locked="0"/>
    </xf>
    <xf numFmtId="0" fontId="63" fillId="38" borderId="48" xfId="49" applyFont="1" applyFill="1" applyBorder="1" applyAlignment="1" applyProtection="1">
      <alignment horizontal="center" vertical="center"/>
      <protection locked="0"/>
    </xf>
    <xf numFmtId="0" fontId="76" fillId="0" borderId="0" xfId="49" applyFont="1" applyAlignment="1" applyProtection="1">
      <alignment vertical="center"/>
      <protection locked="0"/>
    </xf>
    <xf numFmtId="38" fontId="63" fillId="39" borderId="157" xfId="52" applyFont="1" applyFill="1" applyBorder="1" applyAlignment="1" applyProtection="1">
      <alignment vertical="center"/>
      <protection hidden="1"/>
    </xf>
    <xf numFmtId="38" fontId="63" fillId="39" borderId="15" xfId="52" applyFont="1" applyFill="1" applyBorder="1" applyAlignment="1" applyProtection="1">
      <alignment horizontal="center" vertical="center"/>
      <protection locked="0"/>
    </xf>
    <xf numFmtId="38" fontId="63" fillId="39" borderId="47" xfId="52" applyFont="1" applyFill="1" applyBorder="1" applyAlignment="1" applyProtection="1">
      <alignment horizontal="center" vertical="center"/>
      <protection locked="0"/>
    </xf>
    <xf numFmtId="38" fontId="63" fillId="39" borderId="184" xfId="52" applyFont="1" applyFill="1" applyBorder="1" applyAlignment="1" applyProtection="1">
      <alignment vertical="center"/>
      <protection hidden="1"/>
    </xf>
    <xf numFmtId="38" fontId="63" fillId="39" borderId="18" xfId="52" applyFont="1" applyFill="1" applyBorder="1" applyAlignment="1" applyProtection="1">
      <alignment horizontal="center" vertical="center"/>
      <protection locked="0"/>
    </xf>
    <xf numFmtId="0" fontId="20" fillId="0" borderId="39" xfId="44" applyFont="1" applyBorder="1" applyAlignment="1">
      <alignment horizontal="center" vertical="center"/>
    </xf>
    <xf numFmtId="0" fontId="20" fillId="0" borderId="42" xfId="44" applyFont="1" applyBorder="1" applyAlignment="1">
      <alignment horizontal="center" vertical="center"/>
    </xf>
    <xf numFmtId="0" fontId="82" fillId="0" borderId="0" xfId="48" applyFont="1">
      <alignment vertical="center"/>
    </xf>
    <xf numFmtId="0" fontId="83" fillId="0" borderId="0" xfId="48" applyFont="1">
      <alignment vertical="center"/>
    </xf>
    <xf numFmtId="0" fontId="83" fillId="0" borderId="0" xfId="48" applyFont="1" applyAlignment="1">
      <alignment horizontal="right" vertical="center"/>
    </xf>
    <xf numFmtId="0" fontId="13" fillId="0" borderId="0" xfId="44" applyFont="1" applyBorder="1" applyAlignment="1" applyProtection="1">
      <alignment horizontal="center" vertical="center"/>
    </xf>
    <xf numFmtId="0" fontId="20" fillId="0" borderId="0" xfId="44" applyNumberFormat="1" applyFont="1" applyBorder="1" applyAlignment="1" applyProtection="1">
      <alignment vertical="center"/>
    </xf>
    <xf numFmtId="14" fontId="8" fillId="0" borderId="0" xfId="44" applyNumberFormat="1" applyFont="1" applyBorder="1" applyAlignment="1" applyProtection="1">
      <alignment vertical="center"/>
    </xf>
    <xf numFmtId="0" fontId="9" fillId="0" borderId="0" xfId="44" applyFont="1" applyBorder="1" applyAlignment="1" applyProtection="1">
      <alignment vertical="center"/>
    </xf>
    <xf numFmtId="0" fontId="8" fillId="0" borderId="31" xfId="44" applyFont="1" applyBorder="1" applyAlignment="1" applyProtection="1">
      <alignment horizontal="left" vertical="center"/>
    </xf>
    <xf numFmtId="0" fontId="13" fillId="0" borderId="56" xfId="44" applyFont="1" applyBorder="1" applyAlignment="1" applyProtection="1">
      <alignment horizontal="left" vertical="center"/>
    </xf>
    <xf numFmtId="0" fontId="21" fillId="0" borderId="31" xfId="44" applyFont="1" applyBorder="1" applyAlignment="1" applyProtection="1">
      <alignment horizontal="centerContinuous" vertical="center" shrinkToFit="1"/>
    </xf>
    <xf numFmtId="0" fontId="9" fillId="0" borderId="56" xfId="44" applyFont="1" applyBorder="1" applyAlignment="1" applyProtection="1">
      <alignment horizontal="centerContinuous" vertical="center" shrinkToFit="1"/>
    </xf>
    <xf numFmtId="0" fontId="9" fillId="0" borderId="25" xfId="44" applyFont="1" applyBorder="1" applyAlignment="1" applyProtection="1">
      <alignment horizontal="centerContinuous" vertical="center" shrinkToFit="1"/>
    </xf>
    <xf numFmtId="0" fontId="8" fillId="0" borderId="31" xfId="44" applyFont="1" applyFill="1" applyBorder="1" applyAlignment="1" applyProtection="1">
      <alignment vertical="center"/>
    </xf>
    <xf numFmtId="0" fontId="8" fillId="0" borderId="25" xfId="44" applyFont="1" applyFill="1" applyBorder="1" applyAlignment="1" applyProtection="1">
      <alignment vertical="center"/>
    </xf>
    <xf numFmtId="0" fontId="10" fillId="0" borderId="0" xfId="44" applyFont="1" applyBorder="1" applyAlignment="1" applyProtection="1">
      <alignment vertical="center"/>
    </xf>
    <xf numFmtId="0" fontId="8" fillId="0" borderId="57" xfId="44" applyFont="1" applyBorder="1" applyAlignment="1" applyProtection="1">
      <alignment horizontal="centerContinuous" vertical="center"/>
    </xf>
    <xf numFmtId="0" fontId="8" fillId="0" borderId="26" xfId="44" applyFont="1" applyBorder="1" applyAlignment="1" applyProtection="1">
      <alignment horizontal="centerContinuous" vertical="center"/>
    </xf>
    <xf numFmtId="0" fontId="9" fillId="0" borderId="26" xfId="44" applyFont="1" applyBorder="1" applyAlignment="1" applyProtection="1">
      <alignment horizontal="centerContinuous" vertical="center"/>
    </xf>
    <xf numFmtId="0" fontId="8" fillId="0" borderId="58" xfId="44" applyFont="1" applyFill="1" applyBorder="1" applyAlignment="1" applyProtection="1">
      <alignment vertical="center"/>
    </xf>
    <xf numFmtId="0" fontId="9" fillId="0" borderId="56" xfId="44" applyFont="1" applyBorder="1" applyAlignment="1" applyProtection="1">
      <alignment horizontal="left" vertical="center"/>
    </xf>
    <xf numFmtId="20" fontId="8" fillId="0" borderId="58" xfId="44" applyNumberFormat="1" applyFont="1" applyBorder="1" applyAlignment="1" applyProtection="1">
      <alignment horizontal="right" vertical="center"/>
    </xf>
    <xf numFmtId="0" fontId="8" fillId="0" borderId="59" xfId="44" applyFont="1" applyFill="1" applyBorder="1" applyAlignment="1" applyProtection="1">
      <alignment vertical="center"/>
    </xf>
    <xf numFmtId="0" fontId="9" fillId="0" borderId="0" xfId="44" applyFont="1" applyBorder="1" applyAlignment="1" applyProtection="1">
      <alignment horizontal="centerContinuous" vertical="center"/>
    </xf>
    <xf numFmtId="186" fontId="9" fillId="0" borderId="0" xfId="44" applyNumberFormat="1" applyFont="1" applyBorder="1" applyAlignment="1" applyProtection="1">
      <alignment horizontal="centerContinuous"/>
    </xf>
    <xf numFmtId="180" fontId="20" fillId="0" borderId="57" xfId="44" applyNumberFormat="1" applyFont="1" applyBorder="1" applyAlignment="1" applyProtection="1">
      <alignment horizontal="center" vertical="top"/>
    </xf>
    <xf numFmtId="182" fontId="20" fillId="0" borderId="57" xfId="44" applyNumberFormat="1" applyFont="1" applyBorder="1" applyAlignment="1" applyProtection="1">
      <alignment horizontal="center" vertical="top"/>
    </xf>
    <xf numFmtId="0" fontId="8" fillId="0" borderId="57" xfId="44" applyFont="1" applyFill="1" applyBorder="1" applyAlignment="1" applyProtection="1">
      <alignment vertical="center"/>
    </xf>
    <xf numFmtId="0" fontId="11" fillId="0" borderId="0" xfId="44" applyFont="1" applyBorder="1" applyAlignment="1" applyProtection="1">
      <alignment vertical="center"/>
    </xf>
    <xf numFmtId="0" fontId="20" fillId="0" borderId="0" xfId="44" applyFont="1" applyBorder="1" applyAlignment="1" applyProtection="1">
      <alignment vertical="center"/>
    </xf>
    <xf numFmtId="0" fontId="20" fillId="0" borderId="28" xfId="44" applyFont="1" applyBorder="1" applyAlignment="1" applyProtection="1">
      <alignment horizontal="centerContinuous" vertical="center"/>
    </xf>
    <xf numFmtId="0" fontId="20" fillId="0" borderId="58" xfId="44" applyNumberFormat="1" applyFont="1" applyBorder="1" applyAlignment="1" applyProtection="1">
      <alignment horizontal="center" vertical="center" wrapText="1"/>
    </xf>
    <xf numFmtId="0" fontId="9" fillId="0" borderId="60" xfId="44" applyFont="1" applyBorder="1" applyAlignment="1">
      <alignment horizontal="center" vertical="center"/>
    </xf>
    <xf numFmtId="0" fontId="9" fillId="0" borderId="60" xfId="44" applyFont="1" applyBorder="1" applyAlignment="1" applyProtection="1">
      <alignment horizontal="center" vertical="center"/>
    </xf>
    <xf numFmtId="0" fontId="20" fillId="0" borderId="61" xfId="44" applyFont="1" applyFill="1" applyBorder="1" applyAlignment="1" applyProtection="1">
      <alignment horizontal="left" vertical="center"/>
    </xf>
    <xf numFmtId="0" fontId="9" fillId="0" borderId="62" xfId="44" applyFont="1" applyFill="1" applyBorder="1" applyAlignment="1" applyProtection="1">
      <alignment horizontal="centerContinuous" vertical="center"/>
    </xf>
    <xf numFmtId="0" fontId="8" fillId="0" borderId="58" xfId="44" applyFont="1" applyFill="1" applyBorder="1" applyAlignment="1" applyProtection="1">
      <alignment horizontal="centerContinuous"/>
    </xf>
    <xf numFmtId="0" fontId="20" fillId="0" borderId="63" xfId="44" applyNumberFormat="1" applyFont="1" applyBorder="1" applyAlignment="1" applyProtection="1">
      <alignment horizontal="centerContinuous" vertical="center" wrapText="1"/>
    </xf>
    <xf numFmtId="0" fontId="9" fillId="0" borderId="27" xfId="44" applyNumberFormat="1" applyFont="1" applyBorder="1" applyAlignment="1" applyProtection="1">
      <alignment horizontal="centerContinuous" vertical="center" wrapText="1"/>
    </xf>
    <xf numFmtId="0" fontId="9" fillId="0" borderId="28" xfId="44" applyNumberFormat="1" applyFont="1" applyBorder="1" applyAlignment="1" applyProtection="1">
      <alignment horizontal="centerContinuous" vertical="center" wrapText="1"/>
    </xf>
    <xf numFmtId="0" fontId="9" fillId="0" borderId="64" xfId="44" applyNumberFormat="1" applyFont="1" applyBorder="1" applyAlignment="1" applyProtection="1">
      <alignment horizontal="centerContinuous" vertical="center" wrapText="1"/>
    </xf>
    <xf numFmtId="0" fontId="20" fillId="0" borderId="65" xfId="44" applyFont="1" applyBorder="1" applyAlignment="1" applyProtection="1">
      <alignment horizontal="center" vertical="center"/>
    </xf>
    <xf numFmtId="0" fontId="20" fillId="0" borderId="66" xfId="44" applyFont="1" applyBorder="1" applyAlignment="1" applyProtection="1">
      <alignment horizontal="center" vertical="center"/>
    </xf>
    <xf numFmtId="0" fontId="20" fillId="0" borderId="57" xfId="44" applyFont="1" applyBorder="1" applyAlignment="1" applyProtection="1">
      <alignment horizontal="center" vertical="center"/>
    </xf>
    <xf numFmtId="0" fontId="9" fillId="0" borderId="41" xfId="44" applyFont="1" applyBorder="1" applyAlignment="1">
      <alignment horizontal="center" vertical="center"/>
    </xf>
    <xf numFmtId="0" fontId="9" fillId="0" borderId="41" xfId="44" applyFont="1" applyBorder="1" applyAlignment="1" applyProtection="1">
      <alignment horizontal="center" vertical="center"/>
    </xf>
    <xf numFmtId="0" fontId="9" fillId="0" borderId="67" xfId="44" applyFont="1" applyFill="1" applyBorder="1" applyAlignment="1" applyProtection="1">
      <alignment horizontal="center" vertical="center" wrapText="1"/>
    </xf>
    <xf numFmtId="0" fontId="9" fillId="0" borderId="41" xfId="44" applyFont="1" applyFill="1" applyBorder="1" applyAlignment="1" applyProtection="1">
      <alignment horizontal="center" vertical="center" wrapText="1"/>
    </xf>
    <xf numFmtId="0" fontId="8" fillId="0" borderId="57" xfId="44" applyFont="1" applyFill="1" applyBorder="1" applyAlignment="1" applyProtection="1">
      <alignment horizontal="center" vertical="top"/>
    </xf>
    <xf numFmtId="0" fontId="9" fillId="0" borderId="42" xfId="44" applyNumberFormat="1" applyFont="1" applyBorder="1" applyAlignment="1" applyProtection="1">
      <alignment horizontal="left" vertical="center" wrapText="1"/>
    </xf>
    <xf numFmtId="183" fontId="8" fillId="0" borderId="68" xfId="44" applyNumberFormat="1" applyFont="1" applyBorder="1" applyAlignment="1" applyProtection="1">
      <alignment horizontal="center" vertical="center"/>
    </xf>
    <xf numFmtId="183" fontId="8" fillId="0" borderId="69" xfId="44" applyNumberFormat="1" applyFont="1" applyBorder="1" applyAlignment="1" applyProtection="1">
      <alignment horizontal="left" vertical="center"/>
    </xf>
    <xf numFmtId="0" fontId="20" fillId="0" borderId="88" xfId="44" applyNumberFormat="1" applyFont="1" applyBorder="1" applyAlignment="1" applyProtection="1">
      <alignment horizontal="right" vertical="center"/>
    </xf>
    <xf numFmtId="0" fontId="8" fillId="0" borderId="63" xfId="44" applyNumberFormat="1" applyFont="1" applyBorder="1" applyAlignment="1" applyProtection="1">
      <alignment vertical="center"/>
    </xf>
    <xf numFmtId="0" fontId="8" fillId="0" borderId="69" xfId="44" applyNumberFormat="1" applyFont="1" applyBorder="1" applyAlignment="1" applyProtection="1">
      <alignment vertical="center"/>
    </xf>
    <xf numFmtId="0" fontId="8" fillId="0" borderId="70" xfId="44" applyNumberFormat="1" applyFont="1" applyBorder="1" applyAlignment="1" applyProtection="1">
      <alignment vertical="center"/>
    </xf>
    <xf numFmtId="0" fontId="8" fillId="0" borderId="71" xfId="44" applyNumberFormat="1" applyFont="1" applyBorder="1" applyAlignment="1" applyProtection="1">
      <alignment vertical="center"/>
    </xf>
    <xf numFmtId="0" fontId="20" fillId="0" borderId="68" xfId="44" applyNumberFormat="1" applyFont="1" applyBorder="1" applyAlignment="1" applyProtection="1">
      <alignment horizontal="right" vertical="center"/>
    </xf>
    <xf numFmtId="183" fontId="13" fillId="0" borderId="68" xfId="44" applyNumberFormat="1" applyFont="1" applyBorder="1" applyAlignment="1" applyProtection="1">
      <alignment horizontal="center" vertical="center"/>
    </xf>
    <xf numFmtId="0" fontId="0" fillId="0" borderId="76" xfId="0" applyNumberFormat="1" applyBorder="1" applyAlignment="1" applyProtection="1"/>
    <xf numFmtId="183" fontId="13" fillId="0" borderId="72" xfId="44" applyNumberFormat="1" applyFont="1" applyBorder="1" applyAlignment="1" applyProtection="1">
      <alignment horizontal="center" vertical="center"/>
    </xf>
    <xf numFmtId="183" fontId="8" fillId="0" borderId="65" xfId="44" applyNumberFormat="1" applyFont="1" applyBorder="1" applyAlignment="1" applyProtection="1">
      <alignment horizontal="left" vertical="center"/>
    </xf>
    <xf numFmtId="0" fontId="20" fillId="0" borderId="42" xfId="44" applyNumberFormat="1" applyFont="1" applyBorder="1" applyAlignment="1" applyProtection="1">
      <alignment horizontal="right" vertical="center"/>
    </xf>
    <xf numFmtId="0" fontId="8" fillId="0" borderId="78" xfId="44" applyNumberFormat="1" applyFont="1" applyBorder="1" applyAlignment="1" applyProtection="1">
      <alignment vertical="center"/>
    </xf>
    <xf numFmtId="0" fontId="8" fillId="0" borderId="65" xfId="44" applyNumberFormat="1" applyFont="1" applyBorder="1" applyAlignment="1" applyProtection="1">
      <alignment vertical="center"/>
    </xf>
    <xf numFmtId="0" fontId="8" fillId="0" borderId="67" xfId="44" applyNumberFormat="1" applyFont="1" applyBorder="1" applyAlignment="1" applyProtection="1">
      <alignment vertical="center"/>
    </xf>
    <xf numFmtId="0" fontId="8" fillId="0" borderId="26" xfId="44" applyNumberFormat="1" applyFont="1" applyBorder="1" applyAlignment="1" applyProtection="1">
      <alignment vertical="center"/>
    </xf>
    <xf numFmtId="20" fontId="8" fillId="0" borderId="0" xfId="44" applyNumberFormat="1" applyFont="1" applyBorder="1" applyAlignment="1" applyProtection="1">
      <alignment vertical="center"/>
    </xf>
    <xf numFmtId="180" fontId="20" fillId="0" borderId="39" xfId="44" applyNumberFormat="1" applyFont="1" applyFill="1" applyBorder="1" applyAlignment="1" applyProtection="1">
      <alignment horizontal="center"/>
    </xf>
    <xf numFmtId="180" fontId="20" fillId="0" borderId="80" xfId="44" applyNumberFormat="1" applyFont="1" applyFill="1" applyBorder="1" applyAlignment="1" applyProtection="1">
      <alignment horizontal="center"/>
    </xf>
    <xf numFmtId="180" fontId="20" fillId="0" borderId="81" xfId="44" applyNumberFormat="1" applyFont="1" applyBorder="1" applyAlignment="1" applyProtection="1">
      <alignment horizontal="center"/>
    </xf>
    <xf numFmtId="180" fontId="20" fillId="0" borderId="82" xfId="44" applyNumberFormat="1" applyFont="1" applyBorder="1" applyAlignment="1" applyProtection="1">
      <alignment horizontal="center"/>
    </xf>
    <xf numFmtId="0" fontId="13" fillId="0" borderId="60" xfId="44" applyFont="1" applyBorder="1" applyAlignment="1" applyProtection="1">
      <alignment horizontal="center" vertical="center" wrapText="1"/>
    </xf>
    <xf numFmtId="180" fontId="20" fillId="0" borderId="83" xfId="44" quotePrefix="1" applyNumberFormat="1" applyFont="1" applyBorder="1" applyAlignment="1" applyProtection="1">
      <alignment horizontal="center"/>
    </xf>
    <xf numFmtId="0" fontId="88" fillId="0" borderId="0" xfId="0" applyFont="1" applyFill="1" applyAlignment="1" applyProtection="1">
      <alignment vertical="center"/>
    </xf>
    <xf numFmtId="209" fontId="13" fillId="0" borderId="70" xfId="46" applyNumberFormat="1" applyFont="1" applyFill="1" applyBorder="1" applyAlignment="1">
      <alignment horizontal="center" vertical="center"/>
    </xf>
    <xf numFmtId="209" fontId="13" fillId="0" borderId="78" xfId="46" applyNumberFormat="1" applyFont="1" applyFill="1" applyBorder="1" applyAlignment="1">
      <alignment horizontal="center" vertical="center"/>
    </xf>
    <xf numFmtId="0" fontId="89" fillId="0" borderId="0" xfId="46" applyFont="1">
      <alignment vertical="center"/>
    </xf>
    <xf numFmtId="0" fontId="85" fillId="0" borderId="0" xfId="0" applyFont="1" applyProtection="1">
      <protection locked="0"/>
    </xf>
    <xf numFmtId="0" fontId="13" fillId="0" borderId="0" xfId="0" applyFont="1" applyAlignment="1">
      <alignment vertical="top"/>
    </xf>
    <xf numFmtId="180" fontId="13" fillId="0" borderId="0" xfId="46" applyNumberFormat="1" applyFont="1" applyFill="1">
      <alignment vertical="center"/>
    </xf>
    <xf numFmtId="0" fontId="21" fillId="0" borderId="0" xfId="44" applyFont="1" applyBorder="1" applyAlignment="1" applyProtection="1">
      <alignment horizontal="centerContinuous" vertical="center" shrinkToFit="1"/>
      <protection locked="0"/>
    </xf>
    <xf numFmtId="0" fontId="9" fillId="0" borderId="0" xfId="44" applyFont="1" applyBorder="1" applyAlignment="1" applyProtection="1">
      <alignment horizontal="centerContinuous" vertical="center" shrinkToFit="1"/>
      <protection locked="0"/>
    </xf>
    <xf numFmtId="0" fontId="9" fillId="0" borderId="0" xfId="44" applyFont="1" applyBorder="1" applyAlignment="1" applyProtection="1">
      <alignment horizontal="centerContinuous" vertical="center"/>
      <protection locked="0"/>
    </xf>
    <xf numFmtId="0" fontId="32" fillId="0" borderId="0" xfId="0" applyFont="1" applyBorder="1" applyProtection="1">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right"/>
      <protection locked="0"/>
    </xf>
    <xf numFmtId="0" fontId="0" fillId="0" borderId="0" xfId="0" applyNumberFormat="1" applyBorder="1" applyProtection="1">
      <protection locked="0"/>
    </xf>
    <xf numFmtId="0" fontId="0" fillId="0" borderId="57" xfId="0" applyNumberFormat="1" applyFill="1" applyBorder="1" applyProtection="1">
      <protection locked="0"/>
    </xf>
    <xf numFmtId="0" fontId="0" fillId="0" borderId="57" xfId="0" applyBorder="1" applyProtection="1">
      <protection locked="0"/>
    </xf>
    <xf numFmtId="0" fontId="32" fillId="0" borderId="57" xfId="0" applyFont="1" applyFill="1" applyBorder="1" applyProtection="1">
      <protection locked="0"/>
    </xf>
    <xf numFmtId="0" fontId="0" fillId="0" borderId="10" xfId="0" applyFill="1" applyBorder="1" applyProtection="1">
      <protection locked="0"/>
    </xf>
    <xf numFmtId="0" fontId="85" fillId="0" borderId="0" xfId="0" applyNumberFormat="1" applyFont="1" applyProtection="1"/>
    <xf numFmtId="38" fontId="63" fillId="0" borderId="83" xfId="52" applyFont="1" applyBorder="1" applyAlignment="1" applyProtection="1">
      <alignment vertical="center" shrinkToFit="1"/>
      <protection locked="0"/>
    </xf>
    <xf numFmtId="38" fontId="63" fillId="0" borderId="183" xfId="52" applyFont="1" applyBorder="1" applyAlignment="1" applyProtection="1">
      <alignment vertical="center" shrinkToFit="1"/>
      <protection locked="0"/>
    </xf>
    <xf numFmtId="0" fontId="90" fillId="0" borderId="0" xfId="0" applyFont="1"/>
    <xf numFmtId="0" fontId="25" fillId="0" borderId="0" xfId="0" applyFont="1"/>
    <xf numFmtId="0" fontId="90" fillId="0" borderId="0" xfId="0" applyFont="1" applyAlignment="1">
      <alignment horizontal="right"/>
    </xf>
    <xf numFmtId="180" fontId="0" fillId="0" borderId="0" xfId="0" applyNumberFormat="1" applyProtection="1"/>
    <xf numFmtId="180" fontId="20" fillId="0" borderId="70" xfId="44" applyNumberFormat="1" applyFont="1" applyBorder="1" applyAlignment="1" applyProtection="1">
      <alignment horizontal="center" vertical="center"/>
    </xf>
    <xf numFmtId="180" fontId="20" fillId="0" borderId="69" xfId="44" applyNumberFormat="1" applyFont="1" applyBorder="1" applyAlignment="1" applyProtection="1">
      <alignment horizontal="center" vertical="center"/>
    </xf>
    <xf numFmtId="180" fontId="20" fillId="0" borderId="71" xfId="44" applyNumberFormat="1" applyFont="1" applyBorder="1" applyAlignment="1" applyProtection="1">
      <alignment horizontal="center" vertical="center"/>
    </xf>
    <xf numFmtId="180" fontId="20" fillId="0" borderId="67" xfId="44" applyNumberFormat="1" applyFont="1" applyBorder="1" applyAlignment="1" applyProtection="1">
      <alignment horizontal="center" vertical="center"/>
    </xf>
    <xf numFmtId="180" fontId="20" fillId="0" borderId="79" xfId="44" applyNumberFormat="1" applyFont="1" applyBorder="1" applyAlignment="1" applyProtection="1">
      <alignment horizontal="center" vertical="center"/>
    </xf>
    <xf numFmtId="180" fontId="20" fillId="0" borderId="26" xfId="44" applyNumberFormat="1" applyFont="1" applyBorder="1" applyAlignment="1" applyProtection="1">
      <alignment horizontal="center" vertical="center"/>
    </xf>
    <xf numFmtId="180" fontId="0" fillId="0" borderId="10" xfId="0" applyNumberFormat="1" applyBorder="1" applyProtection="1"/>
    <xf numFmtId="180" fontId="3" fillId="0" borderId="0" xfId="43" applyNumberFormat="1" applyFont="1" applyFill="1" applyBorder="1" applyAlignment="1" applyProtection="1">
      <alignment vertical="center"/>
    </xf>
    <xf numFmtId="0" fontId="91" fillId="0" borderId="0" xfId="0" applyFont="1" applyFill="1" applyAlignment="1" applyProtection="1">
      <alignment horizontal="right" vertical="center"/>
    </xf>
    <xf numFmtId="0" fontId="92" fillId="0" borderId="0" xfId="46" applyFont="1" applyFill="1" applyProtection="1">
      <alignment vertical="center"/>
      <protection locked="0"/>
    </xf>
    <xf numFmtId="0" fontId="92" fillId="0" borderId="0" xfId="46" applyFont="1" applyProtection="1">
      <alignment vertical="center"/>
      <protection locked="0"/>
    </xf>
    <xf numFmtId="0" fontId="93" fillId="0" borderId="0" xfId="46" applyNumberFormat="1" applyFont="1" applyFill="1" applyBorder="1" applyAlignment="1" applyProtection="1">
      <alignment horizontal="center" vertical="center"/>
      <protection locked="0"/>
    </xf>
    <xf numFmtId="180" fontId="94" fillId="0" borderId="0" xfId="43" applyNumberFormat="1" applyFont="1" applyFill="1" applyBorder="1" applyAlignment="1" applyProtection="1">
      <alignment horizontal="right" vertical="center"/>
    </xf>
    <xf numFmtId="0" fontId="94" fillId="0" borderId="0" xfId="43" applyNumberFormat="1" applyFont="1" applyFill="1" applyBorder="1" applyAlignment="1" applyProtection="1">
      <alignment vertical="center"/>
    </xf>
    <xf numFmtId="0" fontId="96" fillId="43" borderId="10" xfId="43" applyFont="1" applyFill="1" applyBorder="1" applyAlignment="1" applyProtection="1">
      <alignment horizontal="center" vertical="center"/>
    </xf>
    <xf numFmtId="180" fontId="20" fillId="0" borderId="70" xfId="44" applyNumberFormat="1" applyFont="1" applyFill="1" applyBorder="1" applyAlignment="1" applyProtection="1">
      <alignment horizontal="center" vertical="center"/>
      <protection hidden="1"/>
    </xf>
    <xf numFmtId="180" fontId="20" fillId="0" borderId="100" xfId="44" applyNumberFormat="1" applyFont="1" applyFill="1" applyBorder="1" applyAlignment="1" applyProtection="1">
      <alignment horizontal="center" vertical="center"/>
      <protection hidden="1"/>
    </xf>
    <xf numFmtId="180" fontId="20" fillId="0" borderId="91" xfId="44" applyNumberFormat="1" applyFont="1" applyFill="1" applyBorder="1" applyAlignment="1" applyProtection="1">
      <alignment horizontal="center" vertical="center"/>
      <protection hidden="1"/>
    </xf>
    <xf numFmtId="180" fontId="20" fillId="0" borderId="98" xfId="44" applyNumberFormat="1" applyFont="1" applyFill="1" applyBorder="1" applyAlignment="1" applyProtection="1">
      <alignment horizontal="center" vertical="center"/>
      <protection hidden="1"/>
    </xf>
    <xf numFmtId="180" fontId="20" fillId="0" borderId="99" xfId="44" applyNumberFormat="1" applyFont="1" applyFill="1" applyBorder="1" applyAlignment="1" applyProtection="1">
      <alignment horizontal="center" vertical="center"/>
      <protection hidden="1"/>
    </xf>
    <xf numFmtId="0" fontId="86" fillId="43" borderId="10" xfId="43" applyFont="1" applyFill="1" applyBorder="1" applyAlignment="1" applyProtection="1">
      <alignment horizontal="center" vertical="center"/>
      <protection hidden="1"/>
    </xf>
    <xf numFmtId="180" fontId="87" fillId="0" borderId="103" xfId="43" applyNumberFormat="1" applyFont="1" applyFill="1" applyBorder="1" applyAlignment="1" applyProtection="1">
      <alignment horizontal="right" vertical="center"/>
      <protection hidden="1"/>
    </xf>
    <xf numFmtId="38" fontId="87" fillId="0" borderId="77" xfId="34" applyFont="1" applyFill="1" applyBorder="1" applyAlignment="1" applyProtection="1">
      <alignment horizontal="right" vertical="center"/>
      <protection hidden="1"/>
    </xf>
    <xf numFmtId="193" fontId="4" fillId="43" borderId="88" xfId="43" applyNumberFormat="1" applyFont="1" applyFill="1" applyBorder="1" applyAlignment="1" applyProtection="1">
      <alignment vertical="center"/>
    </xf>
    <xf numFmtId="193" fontId="4" fillId="43" borderId="64" xfId="43" applyNumberFormat="1" applyFont="1" applyFill="1" applyBorder="1" applyAlignment="1" applyProtection="1">
      <alignment vertical="center"/>
    </xf>
    <xf numFmtId="193" fontId="4" fillId="43" borderId="42" xfId="43" applyNumberFormat="1" applyFont="1" applyFill="1" applyBorder="1" applyAlignment="1" applyProtection="1">
      <alignment vertical="center"/>
    </xf>
    <xf numFmtId="193" fontId="4" fillId="43" borderId="26" xfId="43" applyNumberFormat="1" applyFont="1" applyFill="1" applyBorder="1" applyAlignment="1" applyProtection="1">
      <alignment vertical="center"/>
    </xf>
    <xf numFmtId="0" fontId="4" fillId="43" borderId="31" xfId="0" applyFont="1" applyFill="1" applyBorder="1" applyAlignment="1" applyProtection="1">
      <alignment vertical="center"/>
    </xf>
    <xf numFmtId="0" fontId="0" fillId="43" borderId="56" xfId="0" applyFill="1" applyBorder="1" applyProtection="1"/>
    <xf numFmtId="0" fontId="63" fillId="0" borderId="0" xfId="49" applyFont="1" applyFill="1" applyBorder="1" applyAlignment="1" applyProtection="1">
      <alignment horizontal="center" vertical="center" wrapText="1"/>
      <protection locked="0"/>
    </xf>
    <xf numFmtId="208" fontId="78" fillId="27" borderId="0" xfId="52" applyNumberFormat="1" applyFont="1" applyFill="1" applyBorder="1" applyAlignment="1" applyProtection="1">
      <alignment vertical="center"/>
      <protection locked="0"/>
    </xf>
    <xf numFmtId="207" fontId="63" fillId="0" borderId="0" xfId="49" applyNumberFormat="1" applyFont="1" applyBorder="1" applyAlignment="1" applyProtection="1">
      <alignment vertical="center"/>
      <protection locked="0"/>
    </xf>
    <xf numFmtId="0" fontId="63" fillId="0" borderId="0" xfId="49" applyFont="1" applyAlignment="1" applyProtection="1">
      <alignment horizontal="right" vertical="center"/>
      <protection locked="0"/>
    </xf>
    <xf numFmtId="0" fontId="56" fillId="0" borderId="56" xfId="48" applyBorder="1" applyProtection="1">
      <alignment vertical="center"/>
      <protection locked="0"/>
    </xf>
    <xf numFmtId="0" fontId="56" fillId="0" borderId="25" xfId="48" applyBorder="1" applyProtection="1">
      <alignment vertical="center"/>
      <protection locked="0"/>
    </xf>
    <xf numFmtId="196" fontId="53" fillId="0" borderId="28" xfId="46" applyNumberFormat="1" applyFont="1" applyFill="1" applyBorder="1" applyAlignment="1" applyProtection="1">
      <alignment vertical="center"/>
      <protection locked="0"/>
    </xf>
    <xf numFmtId="196" fontId="53" fillId="0" borderId="66" xfId="46" applyNumberFormat="1" applyFont="1" applyFill="1" applyBorder="1" applyAlignment="1" applyProtection="1">
      <alignment vertical="center"/>
      <protection locked="0"/>
    </xf>
    <xf numFmtId="0" fontId="99" fillId="0" borderId="0" xfId="44" applyFont="1" applyBorder="1" applyAlignment="1" applyProtection="1">
      <alignment horizontal="centerContinuous" vertical="center"/>
      <protection locked="0"/>
    </xf>
    <xf numFmtId="0" fontId="100" fillId="0" borderId="0" xfId="44" applyFont="1" applyBorder="1" applyAlignment="1" applyProtection="1">
      <alignment horizontal="centerContinuous" vertical="center"/>
      <protection locked="0"/>
    </xf>
    <xf numFmtId="0" fontId="101" fillId="0" borderId="0" xfId="0" applyFont="1" applyProtection="1">
      <protection locked="0"/>
    </xf>
    <xf numFmtId="182" fontId="101" fillId="0" borderId="0" xfId="0" applyNumberFormat="1" applyFont="1" applyBorder="1" applyAlignment="1" applyProtection="1">
      <alignment horizontal="right"/>
      <protection locked="0"/>
    </xf>
    <xf numFmtId="49" fontId="101" fillId="0" borderId="0" xfId="0" applyNumberFormat="1" applyFont="1" applyBorder="1" applyAlignment="1" applyProtection="1">
      <alignment horizontal="right"/>
      <protection locked="0"/>
    </xf>
    <xf numFmtId="0" fontId="8" fillId="44" borderId="10" xfId="44" applyFont="1" applyFill="1" applyBorder="1" applyAlignment="1">
      <alignment horizontal="center" vertical="center"/>
    </xf>
    <xf numFmtId="0" fontId="8" fillId="44" borderId="25" xfId="44" applyFont="1" applyFill="1" applyBorder="1" applyAlignment="1">
      <alignment horizontal="left" vertical="center"/>
    </xf>
    <xf numFmtId="0" fontId="8" fillId="44" borderId="56" xfId="44" applyFont="1" applyFill="1" applyBorder="1" applyAlignment="1">
      <alignment horizontal="centerContinuous" vertical="center"/>
    </xf>
    <xf numFmtId="0" fontId="20" fillId="44" borderId="56" xfId="44" applyNumberFormat="1" applyFont="1" applyFill="1" applyBorder="1" applyAlignment="1">
      <alignment horizontal="centerContinuous" vertical="center"/>
    </xf>
    <xf numFmtId="0" fontId="8" fillId="44" borderId="25" xfId="44" applyFont="1" applyFill="1" applyBorder="1" applyAlignment="1">
      <alignment horizontal="centerContinuous" vertical="center"/>
    </xf>
    <xf numFmtId="0" fontId="9" fillId="44" borderId="10" xfId="44" applyFont="1" applyFill="1" applyBorder="1" applyAlignment="1">
      <alignment horizontal="center" vertical="center" wrapText="1"/>
    </xf>
    <xf numFmtId="0" fontId="8" fillId="44" borderId="10" xfId="44" applyFont="1" applyFill="1" applyBorder="1" applyAlignment="1">
      <alignment horizontal="center" vertical="center" wrapText="1"/>
    </xf>
    <xf numFmtId="0" fontId="8" fillId="44" borderId="0" xfId="44" applyFont="1" applyFill="1" applyAlignment="1">
      <alignment vertical="center"/>
    </xf>
    <xf numFmtId="49" fontId="10" fillId="44" borderId="10" xfId="44" applyNumberFormat="1" applyFont="1" applyFill="1" applyBorder="1" applyAlignment="1" applyProtection="1">
      <alignment horizontal="center"/>
      <protection locked="0"/>
    </xf>
    <xf numFmtId="49" fontId="10" fillId="44" borderId="39" xfId="44" applyNumberFormat="1" applyFont="1" applyFill="1" applyBorder="1" applyAlignment="1" applyProtection="1">
      <alignment horizontal="center"/>
      <protection locked="0"/>
    </xf>
    <xf numFmtId="49" fontId="20" fillId="44" borderId="39" xfId="44" applyNumberFormat="1" applyFont="1" applyFill="1" applyBorder="1" applyAlignment="1" applyProtection="1">
      <alignment horizontal="center"/>
      <protection locked="0"/>
    </xf>
    <xf numFmtId="49" fontId="20" fillId="44" borderId="80" xfId="44" applyNumberFormat="1" applyFont="1" applyFill="1" applyBorder="1" applyAlignment="1" applyProtection="1">
      <alignment horizontal="center"/>
      <protection locked="0"/>
    </xf>
    <xf numFmtId="49" fontId="20" fillId="44" borderId="81" xfId="44" applyNumberFormat="1" applyFont="1" applyFill="1" applyBorder="1" applyAlignment="1" applyProtection="1">
      <alignment horizontal="center"/>
      <protection locked="0"/>
    </xf>
    <xf numFmtId="49" fontId="20" fillId="44" borderId="82" xfId="44" applyNumberFormat="1" applyFont="1" applyFill="1" applyBorder="1" applyAlignment="1" applyProtection="1">
      <alignment horizontal="center"/>
      <protection locked="0"/>
    </xf>
    <xf numFmtId="49" fontId="13" fillId="44" borderId="60" xfId="44" applyNumberFormat="1" applyFont="1" applyFill="1" applyBorder="1" applyAlignment="1" applyProtection="1">
      <alignment horizontal="center" vertical="center" wrapText="1"/>
      <protection locked="0"/>
    </xf>
    <xf numFmtId="49" fontId="20" fillId="44" borderId="83" xfId="44" applyNumberFormat="1" applyFont="1" applyFill="1" applyBorder="1" applyAlignment="1" applyProtection="1">
      <alignment horizontal="center"/>
      <protection locked="0"/>
    </xf>
    <xf numFmtId="0" fontId="13" fillId="44" borderId="58" xfId="44" applyFont="1" applyFill="1" applyBorder="1" applyAlignment="1">
      <alignment horizontal="right" vertical="center"/>
    </xf>
    <xf numFmtId="0" fontId="13" fillId="44" borderId="73" xfId="44" applyFont="1" applyFill="1" applyBorder="1" applyAlignment="1">
      <alignment horizontal="right" vertical="center"/>
    </xf>
    <xf numFmtId="0" fontId="13" fillId="44" borderId="58" xfId="44" applyFont="1" applyFill="1" applyBorder="1" applyAlignment="1">
      <alignment horizontal="center" vertical="center"/>
    </xf>
    <xf numFmtId="0" fontId="13" fillId="44" borderId="0" xfId="44" applyFont="1" applyFill="1" applyAlignment="1">
      <alignment vertical="center"/>
    </xf>
    <xf numFmtId="0" fontId="9" fillId="44" borderId="31" xfId="44" applyFont="1" applyFill="1" applyBorder="1" applyAlignment="1">
      <alignment horizontal="center" vertical="center"/>
    </xf>
    <xf numFmtId="49" fontId="10" fillId="44" borderId="57" xfId="44" applyNumberFormat="1" applyFont="1" applyFill="1" applyBorder="1" applyAlignment="1" applyProtection="1">
      <alignment horizontal="center" vertical="center"/>
      <protection locked="0"/>
    </xf>
    <xf numFmtId="49" fontId="10" fillId="44" borderId="26" xfId="44" applyNumberFormat="1" applyFont="1" applyFill="1" applyBorder="1" applyAlignment="1" applyProtection="1">
      <alignment horizontal="centerContinuous" vertical="center"/>
      <protection locked="0"/>
    </xf>
    <xf numFmtId="49" fontId="10" fillId="44" borderId="26" xfId="44" applyNumberFormat="1" applyFont="1" applyFill="1" applyBorder="1" applyAlignment="1" applyProtection="1">
      <alignment horizontal="center" vertical="center"/>
      <protection locked="0"/>
    </xf>
    <xf numFmtId="49" fontId="20" fillId="44" borderId="0" xfId="44" applyNumberFormat="1" applyFont="1" applyFill="1" applyAlignment="1" applyProtection="1">
      <alignment vertical="center"/>
      <protection locked="0"/>
    </xf>
    <xf numFmtId="49" fontId="10" fillId="44" borderId="42" xfId="44" applyNumberFormat="1" applyFont="1" applyFill="1" applyBorder="1" applyAlignment="1" applyProtection="1">
      <alignment horizontal="center" vertical="center"/>
      <protection locked="0"/>
    </xf>
    <xf numFmtId="0" fontId="20" fillId="44" borderId="0" xfId="44" applyFont="1" applyFill="1" applyAlignment="1">
      <alignment horizontal="left"/>
    </xf>
    <xf numFmtId="0" fontId="8" fillId="44" borderId="0" xfId="44" applyFont="1" applyFill="1" applyAlignment="1">
      <alignment horizontal="center" vertical="center"/>
    </xf>
    <xf numFmtId="0" fontId="20" fillId="44" borderId="0" xfId="44" applyNumberFormat="1" applyFont="1" applyFill="1" applyAlignment="1">
      <alignment vertical="center"/>
    </xf>
    <xf numFmtId="38" fontId="87" fillId="0" borderId="112" xfId="34" applyFont="1" applyFill="1" applyBorder="1" applyAlignment="1" applyProtection="1">
      <alignment horizontal="right" vertical="center"/>
      <protection hidden="1"/>
    </xf>
    <xf numFmtId="0" fontId="87" fillId="0" borderId="10" xfId="0" applyFont="1" applyFill="1" applyBorder="1" applyProtection="1">
      <protection hidden="1"/>
    </xf>
    <xf numFmtId="0" fontId="20" fillId="0" borderId="101" xfId="44" applyFont="1" applyFill="1" applyBorder="1" applyAlignment="1" applyProtection="1">
      <alignment horizontal="center" vertical="center" wrapText="1"/>
      <protection hidden="1"/>
    </xf>
    <xf numFmtId="0" fontId="20" fillId="0" borderId="99" xfId="44" applyFont="1" applyFill="1" applyBorder="1" applyAlignment="1" applyProtection="1">
      <alignment horizontal="center" vertical="center" wrapText="1"/>
      <protection hidden="1"/>
    </xf>
    <xf numFmtId="0" fontId="20" fillId="0" borderId="176" xfId="44" applyFont="1" applyFill="1" applyBorder="1" applyAlignment="1" applyProtection="1">
      <alignment horizontal="center" vertical="center" wrapText="1"/>
      <protection hidden="1"/>
    </xf>
    <xf numFmtId="186" fontId="10" fillId="0" borderId="41" xfId="44" applyNumberFormat="1" applyFont="1" applyFill="1" applyBorder="1" applyAlignment="1" applyProtection="1">
      <alignment horizontal="center" vertical="center"/>
      <protection hidden="1"/>
    </xf>
    <xf numFmtId="178" fontId="10" fillId="0" borderId="41" xfId="44" applyNumberFormat="1" applyFont="1" applyFill="1" applyBorder="1" applyAlignment="1" applyProtection="1">
      <alignment horizontal="center" vertical="center"/>
      <protection hidden="1"/>
    </xf>
    <xf numFmtId="0" fontId="9" fillId="0" borderId="41" xfId="46" applyFont="1" applyFill="1" applyBorder="1" applyAlignment="1" applyProtection="1">
      <alignment horizontal="right" vertical="center"/>
      <protection hidden="1"/>
    </xf>
    <xf numFmtId="0" fontId="13" fillId="0" borderId="41" xfId="46" applyFont="1" applyFill="1" applyBorder="1" applyAlignment="1" applyProtection="1">
      <alignment horizontal="right" vertical="center"/>
      <protection hidden="1"/>
    </xf>
    <xf numFmtId="0" fontId="0" fillId="0" borderId="14" xfId="0" applyNumberFormat="1" applyFill="1" applyBorder="1"/>
    <xf numFmtId="0" fontId="0" fillId="0" borderId="10" xfId="0" applyNumberFormat="1" applyFill="1" applyBorder="1"/>
    <xf numFmtId="0" fontId="0" fillId="0" borderId="15" xfId="0" applyNumberFormat="1" applyFill="1" applyBorder="1" applyAlignment="1">
      <alignment horizontal="right"/>
    </xf>
    <xf numFmtId="0" fontId="0" fillId="43" borderId="14" xfId="0" applyNumberFormat="1" applyFill="1" applyBorder="1"/>
    <xf numFmtId="0" fontId="0" fillId="43" borderId="10" xfId="0" applyNumberFormat="1" applyFill="1" applyBorder="1"/>
    <xf numFmtId="0" fontId="0" fillId="43" borderId="15" xfId="0" applyNumberFormat="1" applyFill="1" applyBorder="1"/>
    <xf numFmtId="0" fontId="0" fillId="0" borderId="0" xfId="0" applyFill="1" applyAlignment="1" applyProtection="1">
      <alignment horizontal="right"/>
    </xf>
    <xf numFmtId="0" fontId="25" fillId="0" borderId="0" xfId="0" applyFont="1" applyFill="1" applyAlignment="1" applyProtection="1">
      <alignment horizontal="right"/>
    </xf>
    <xf numFmtId="0" fontId="0" fillId="0" borderId="0" xfId="0" applyFill="1" applyAlignment="1" applyProtection="1">
      <alignment horizontal="right" vertical="center"/>
    </xf>
    <xf numFmtId="0" fontId="102" fillId="37" borderId="0" xfId="44" applyFont="1" applyFill="1" applyBorder="1" applyAlignment="1">
      <alignment vertical="center"/>
    </xf>
    <xf numFmtId="0" fontId="103" fillId="36" borderId="71" xfId="44" applyNumberFormat="1" applyFont="1" applyFill="1" applyBorder="1" applyAlignment="1" applyProtection="1">
      <alignment vertical="center"/>
      <protection locked="0"/>
    </xf>
    <xf numFmtId="212" fontId="103" fillId="36" borderId="70" xfId="44" applyNumberFormat="1" applyFont="1" applyFill="1" applyBorder="1" applyAlignment="1" applyProtection="1">
      <alignment vertical="center"/>
      <protection locked="0"/>
    </xf>
    <xf numFmtId="49" fontId="0" fillId="37" borderId="0" xfId="0" applyNumberFormat="1" applyFill="1"/>
    <xf numFmtId="31" fontId="56" fillId="0" borderId="31" xfId="48" applyNumberFormat="1" applyBorder="1" applyAlignment="1" applyProtection="1">
      <alignment vertical="center"/>
      <protection locked="0"/>
    </xf>
    <xf numFmtId="31" fontId="56" fillId="0" borderId="56" xfId="48" applyNumberFormat="1" applyBorder="1" applyAlignment="1" applyProtection="1">
      <alignment vertical="center"/>
      <protection locked="0"/>
    </xf>
    <xf numFmtId="14" fontId="72" fillId="0" borderId="14" xfId="51" quotePrefix="1" applyNumberFormat="1" applyFont="1" applyBorder="1" applyAlignment="1" applyProtection="1">
      <alignment horizontal="center" vertical="center"/>
      <protection locked="0"/>
    </xf>
    <xf numFmtId="0" fontId="84" fillId="42" borderId="188" xfId="0" applyFont="1" applyFill="1" applyBorder="1" applyAlignment="1">
      <alignment vertical="center"/>
    </xf>
    <xf numFmtId="0" fontId="84" fillId="42" borderId="189" xfId="0" applyFont="1" applyFill="1" applyBorder="1" applyAlignment="1">
      <alignment vertical="center"/>
    </xf>
    <xf numFmtId="0" fontId="84" fillId="42" borderId="125" xfId="0" applyFont="1" applyFill="1" applyBorder="1" applyAlignment="1">
      <alignment vertical="center"/>
    </xf>
    <xf numFmtId="0" fontId="84" fillId="42" borderId="33" xfId="0" applyFont="1" applyFill="1" applyBorder="1" applyAlignment="1">
      <alignment vertical="center"/>
    </xf>
    <xf numFmtId="0" fontId="84" fillId="42" borderId="0" xfId="0" applyFont="1" applyFill="1" applyBorder="1" applyAlignment="1">
      <alignment vertical="center"/>
    </xf>
    <xf numFmtId="0" fontId="84" fillId="42" borderId="50" xfId="0" applyFont="1" applyFill="1" applyBorder="1" applyAlignment="1">
      <alignment vertical="center"/>
    </xf>
    <xf numFmtId="0" fontId="84" fillId="42" borderId="53" xfId="0" applyFont="1" applyFill="1" applyBorder="1" applyAlignment="1">
      <alignment vertical="center"/>
    </xf>
    <xf numFmtId="0" fontId="84" fillId="42" borderId="20" xfId="0" applyFont="1" applyFill="1" applyBorder="1" applyAlignment="1">
      <alignment vertical="center"/>
    </xf>
    <xf numFmtId="0" fontId="84" fillId="42" borderId="55" xfId="0" applyFont="1" applyFill="1" applyBorder="1" applyAlignment="1">
      <alignment vertical="center"/>
    </xf>
    <xf numFmtId="0" fontId="9" fillId="44" borderId="10" xfId="44" applyFont="1" applyFill="1" applyBorder="1" applyAlignment="1" applyProtection="1">
      <alignment horizontal="center" vertical="center" wrapText="1"/>
      <protection locked="0"/>
    </xf>
    <xf numFmtId="0" fontId="9" fillId="44" borderId="10" xfId="44" applyFont="1" applyFill="1" applyBorder="1" applyAlignment="1" applyProtection="1">
      <alignment horizontal="center" vertical="center"/>
      <protection locked="0"/>
    </xf>
    <xf numFmtId="0" fontId="31" fillId="0" borderId="0" xfId="0" applyFont="1" applyBorder="1" applyAlignment="1" applyProtection="1">
      <alignment horizontal="center" wrapText="1"/>
      <protection locked="0"/>
    </xf>
    <xf numFmtId="49" fontId="14" fillId="44" borderId="31" xfId="44" applyNumberFormat="1" applyFont="1" applyFill="1" applyBorder="1" applyAlignment="1" applyProtection="1">
      <alignment horizontal="center" vertical="center"/>
      <protection locked="0"/>
    </xf>
    <xf numFmtId="49" fontId="14" fillId="44" borderId="25" xfId="44" applyNumberFormat="1" applyFont="1" applyFill="1" applyBorder="1" applyAlignment="1" applyProtection="1">
      <alignment horizontal="center" vertical="center"/>
      <protection locked="0"/>
    </xf>
    <xf numFmtId="0" fontId="8" fillId="44" borderId="31" xfId="44" applyNumberFormat="1" applyFont="1" applyFill="1" applyBorder="1" applyAlignment="1" applyProtection="1">
      <alignment horizontal="center" vertical="center"/>
    </xf>
    <xf numFmtId="0" fontId="8" fillId="44" borderId="56" xfId="44" applyNumberFormat="1" applyFont="1" applyFill="1" applyBorder="1" applyAlignment="1" applyProtection="1">
      <alignment horizontal="center" vertical="center"/>
    </xf>
    <xf numFmtId="0" fontId="9" fillId="0" borderId="31" xfId="44" applyFont="1" applyBorder="1" applyAlignment="1" applyProtection="1">
      <alignment horizontal="center" vertical="center" wrapText="1"/>
    </xf>
    <xf numFmtId="0" fontId="9" fillId="0" borderId="25" xfId="44" applyFont="1" applyBorder="1" applyAlignment="1" applyProtection="1">
      <alignment horizontal="center" vertical="center"/>
    </xf>
    <xf numFmtId="178" fontId="14" fillId="0" borderId="31" xfId="44" applyNumberFormat="1" applyFont="1" applyBorder="1" applyAlignment="1" applyProtection="1">
      <alignment horizontal="center" vertical="center"/>
    </xf>
    <xf numFmtId="178" fontId="14" fillId="0" borderId="25" xfId="44" applyNumberFormat="1" applyFont="1" applyBorder="1" applyAlignment="1" applyProtection="1">
      <alignment horizontal="center" vertical="center"/>
    </xf>
    <xf numFmtId="177" fontId="10" fillId="0" borderId="31" xfId="44" applyNumberFormat="1" applyFont="1" applyFill="1" applyBorder="1" applyAlignment="1" applyProtection="1">
      <alignment horizontal="center" vertical="center"/>
    </xf>
    <xf numFmtId="177" fontId="10" fillId="0" borderId="56" xfId="44" applyNumberFormat="1" applyFont="1" applyFill="1" applyBorder="1" applyAlignment="1" applyProtection="1">
      <alignment horizontal="center" vertical="center"/>
    </xf>
    <xf numFmtId="0" fontId="8" fillId="0" borderId="31" xfId="44" applyNumberFormat="1" applyFont="1" applyBorder="1" applyAlignment="1" applyProtection="1">
      <alignment horizontal="center" vertical="center"/>
    </xf>
    <xf numFmtId="0" fontId="8" fillId="0" borderId="56" xfId="44" applyNumberFormat="1" applyFont="1" applyBorder="1" applyAlignment="1" applyProtection="1">
      <alignment horizontal="center" vertical="center"/>
    </xf>
    <xf numFmtId="177" fontId="10" fillId="44" borderId="31" xfId="44" applyNumberFormat="1" applyFont="1" applyFill="1" applyBorder="1" applyAlignment="1" applyProtection="1">
      <alignment horizontal="center" vertical="center"/>
      <protection locked="0"/>
    </xf>
    <xf numFmtId="177" fontId="10" fillId="44" borderId="56" xfId="44" applyNumberFormat="1" applyFont="1" applyFill="1" applyBorder="1" applyAlignment="1" applyProtection="1">
      <alignment horizontal="center" vertical="center"/>
      <protection locked="0"/>
    </xf>
    <xf numFmtId="0" fontId="13" fillId="44" borderId="58" xfId="44" applyFont="1" applyFill="1" applyBorder="1" applyAlignment="1">
      <alignment horizontal="center" vertical="center" textRotation="255"/>
    </xf>
    <xf numFmtId="0" fontId="13" fillId="44" borderId="59" xfId="44" applyFont="1" applyFill="1" applyBorder="1" applyAlignment="1">
      <alignment horizontal="center" vertical="center" textRotation="255"/>
    </xf>
    <xf numFmtId="0" fontId="13" fillId="44" borderId="57" xfId="44" applyFont="1" applyFill="1" applyBorder="1" applyAlignment="1">
      <alignment horizontal="center" vertical="center" textRotation="255"/>
    </xf>
    <xf numFmtId="0" fontId="20" fillId="0" borderId="39" xfId="44" applyFont="1" applyBorder="1" applyAlignment="1">
      <alignment horizontal="center" vertical="center"/>
    </xf>
    <xf numFmtId="0" fontId="20" fillId="0" borderId="81" xfId="44" applyFont="1" applyBorder="1" applyAlignment="1">
      <alignment horizontal="center" vertical="center"/>
    </xf>
    <xf numFmtId="0" fontId="20" fillId="0" borderId="42" xfId="44" applyFont="1" applyBorder="1" applyAlignment="1">
      <alignment horizontal="center" vertical="center"/>
    </xf>
    <xf numFmtId="0" fontId="20" fillId="0" borderId="79" xfId="44" applyFont="1" applyBorder="1" applyAlignment="1">
      <alignment horizontal="center" vertical="center"/>
    </xf>
    <xf numFmtId="0" fontId="13" fillId="0" borderId="58" xfId="44" applyFont="1" applyBorder="1" applyAlignment="1">
      <alignment horizontal="center" vertical="center" textRotation="255"/>
    </xf>
    <xf numFmtId="0" fontId="13" fillId="0" borderId="59" xfId="44" applyFont="1" applyBorder="1" applyAlignment="1">
      <alignment horizontal="center" vertical="center" textRotation="255"/>
    </xf>
    <xf numFmtId="0" fontId="13" fillId="0" borderId="57" xfId="44" applyFont="1" applyBorder="1" applyAlignment="1">
      <alignment horizontal="center" vertical="center" textRotation="255"/>
    </xf>
    <xf numFmtId="49" fontId="10" fillId="44" borderId="42" xfId="44" applyNumberFormat="1" applyFont="1" applyFill="1" applyBorder="1" applyAlignment="1" applyProtection="1">
      <alignment horizontal="right" vertical="center"/>
      <protection locked="0"/>
    </xf>
    <xf numFmtId="49" fontId="10" fillId="44" borderId="26" xfId="44" applyNumberFormat="1" applyFont="1" applyFill="1" applyBorder="1" applyAlignment="1" applyProtection="1">
      <alignment horizontal="right" vertical="center"/>
      <protection locked="0"/>
    </xf>
    <xf numFmtId="0" fontId="10" fillId="0" borderId="88" xfId="44" applyFont="1" applyFill="1" applyBorder="1" applyAlignment="1" applyProtection="1">
      <alignment horizontal="right" vertical="center" wrapText="1"/>
    </xf>
    <xf numFmtId="0" fontId="10" fillId="0" borderId="64" xfId="44" applyFont="1" applyFill="1" applyBorder="1" applyAlignment="1" applyProtection="1">
      <alignment horizontal="right" vertical="center" wrapText="1"/>
    </xf>
    <xf numFmtId="177" fontId="10" fillId="0" borderId="72" xfId="44" applyNumberFormat="1" applyFont="1" applyFill="1" applyBorder="1" applyAlignment="1" applyProtection="1">
      <alignment horizontal="right" vertical="center"/>
    </xf>
    <xf numFmtId="177" fontId="10" fillId="0" borderId="112" xfId="44" applyNumberFormat="1" applyFont="1" applyFill="1" applyBorder="1" applyAlignment="1" applyProtection="1">
      <alignment horizontal="right" vertical="center"/>
    </xf>
    <xf numFmtId="0" fontId="10" fillId="44" borderId="88" xfId="44" applyFont="1" applyFill="1" applyBorder="1" applyAlignment="1" applyProtection="1">
      <alignment horizontal="right" vertical="center" wrapText="1"/>
      <protection locked="0"/>
    </xf>
    <xf numFmtId="0" fontId="10" fillId="44" borderId="64" xfId="44" applyFont="1" applyFill="1" applyBorder="1" applyAlignment="1" applyProtection="1">
      <alignment horizontal="right" vertical="center" wrapText="1"/>
      <protection locked="0"/>
    </xf>
    <xf numFmtId="0" fontId="10" fillId="37" borderId="88" xfId="44" applyNumberFormat="1" applyFont="1" applyFill="1" applyBorder="1" applyAlignment="1">
      <alignment horizontal="center" vertical="center" wrapText="1"/>
    </xf>
    <xf numFmtId="0" fontId="10" fillId="37" borderId="28" xfId="44" applyNumberFormat="1" applyFont="1" applyFill="1" applyBorder="1" applyAlignment="1">
      <alignment horizontal="center" vertical="center" wrapText="1"/>
    </xf>
    <xf numFmtId="0" fontId="10" fillId="37" borderId="64" xfId="44" applyNumberFormat="1" applyFont="1" applyFill="1" applyBorder="1" applyAlignment="1">
      <alignment horizontal="center" vertical="center" wrapText="1"/>
    </xf>
    <xf numFmtId="0" fontId="8" fillId="0" borderId="31" xfId="44" applyFont="1" applyBorder="1" applyAlignment="1">
      <alignment horizontal="center" vertical="center"/>
    </xf>
    <xf numFmtId="0" fontId="8" fillId="0" borderId="25" xfId="44" applyFont="1" applyBorder="1" applyAlignment="1">
      <alignment horizontal="center" vertical="center"/>
    </xf>
    <xf numFmtId="0" fontId="13" fillId="36" borderId="110" xfId="44" applyFont="1" applyFill="1" applyBorder="1" applyAlignment="1">
      <alignment horizontal="center" vertical="center" textRotation="255" wrapText="1"/>
    </xf>
    <xf numFmtId="0" fontId="13" fillId="36" borderId="111" xfId="44" applyFont="1" applyFill="1" applyBorder="1" applyAlignment="1">
      <alignment horizontal="center" vertical="center" textRotation="255" wrapText="1"/>
    </xf>
    <xf numFmtId="0" fontId="0" fillId="0" borderId="0" xfId="0" applyBorder="1" applyAlignment="1" applyProtection="1">
      <alignment horizontal="center"/>
      <protection locked="0"/>
    </xf>
    <xf numFmtId="0" fontId="13" fillId="36" borderId="109" xfId="44" applyFont="1" applyFill="1" applyBorder="1" applyAlignment="1">
      <alignment horizontal="center" vertical="center" textRotation="255" wrapText="1"/>
    </xf>
    <xf numFmtId="0" fontId="13" fillId="36" borderId="67" xfId="44" applyFont="1" applyFill="1" applyBorder="1" applyAlignment="1">
      <alignment horizontal="center" vertical="center" textRotation="255" wrapText="1"/>
    </xf>
    <xf numFmtId="49" fontId="20" fillId="0" borderId="31" xfId="44" applyNumberFormat="1" applyFont="1" applyBorder="1" applyAlignment="1" applyProtection="1">
      <alignment horizontal="left" vertical="center" wrapText="1"/>
      <protection locked="0"/>
    </xf>
    <xf numFmtId="49" fontId="20" fillId="0" borderId="56" xfId="44" applyNumberFormat="1" applyFont="1" applyBorder="1" applyAlignment="1" applyProtection="1">
      <alignment horizontal="left" vertical="center" wrapText="1"/>
      <protection locked="0"/>
    </xf>
    <xf numFmtId="49" fontId="20" fillId="0" borderId="25" xfId="44" applyNumberFormat="1" applyFont="1" applyBorder="1" applyAlignment="1" applyProtection="1">
      <alignment horizontal="left" vertical="center" wrapText="1"/>
      <protection locked="0"/>
    </xf>
    <xf numFmtId="198" fontId="20" fillId="0" borderId="31" xfId="44" applyNumberFormat="1" applyFont="1" applyBorder="1" applyAlignment="1" applyProtection="1">
      <alignment horizontal="left" vertical="center"/>
      <protection locked="0"/>
    </xf>
    <xf numFmtId="198" fontId="20" fillId="0" borderId="56" xfId="44" applyNumberFormat="1" applyFont="1" applyBorder="1" applyAlignment="1" applyProtection="1">
      <alignment horizontal="left" vertical="center"/>
      <protection locked="0"/>
    </xf>
    <xf numFmtId="198" fontId="20" fillId="0" borderId="25" xfId="44" applyNumberFormat="1" applyFont="1" applyBorder="1" applyAlignment="1" applyProtection="1">
      <alignment horizontal="left" vertical="center"/>
      <protection locked="0"/>
    </xf>
    <xf numFmtId="0" fontId="20" fillId="0" borderId="31" xfId="44" applyFont="1" applyBorder="1" applyAlignment="1" applyProtection="1">
      <alignment horizontal="left" vertical="center"/>
      <protection locked="0"/>
    </xf>
    <xf numFmtId="0" fontId="20" fillId="0" borderId="56" xfId="44" applyFont="1" applyBorder="1" applyAlignment="1" applyProtection="1">
      <alignment horizontal="left" vertical="center"/>
      <protection locked="0"/>
    </xf>
    <xf numFmtId="0" fontId="20" fillId="0" borderId="25" xfId="44" applyFont="1" applyBorder="1" applyAlignment="1" applyProtection="1">
      <alignment horizontal="left" vertical="center"/>
      <protection locked="0"/>
    </xf>
    <xf numFmtId="0" fontId="0" fillId="0" borderId="58" xfId="0" applyBorder="1" applyAlignment="1" applyProtection="1">
      <alignment horizontal="center" wrapText="1"/>
    </xf>
    <xf numFmtId="0" fontId="0" fillId="0" borderId="59" xfId="0" applyBorder="1" applyAlignment="1" applyProtection="1">
      <alignment horizontal="center" wrapText="1"/>
    </xf>
    <xf numFmtId="0" fontId="0" fillId="0" borderId="57" xfId="0" applyBorder="1" applyAlignment="1" applyProtection="1">
      <alignment horizontal="center" wrapText="1"/>
    </xf>
    <xf numFmtId="49" fontId="0" fillId="24" borderId="58" xfId="0" applyNumberFormat="1" applyFill="1" applyBorder="1" applyAlignment="1" applyProtection="1">
      <alignment horizontal="center"/>
      <protection locked="0"/>
    </xf>
    <xf numFmtId="49" fontId="0" fillId="24" borderId="59" xfId="0" applyNumberFormat="1" applyFill="1" applyBorder="1" applyAlignment="1" applyProtection="1">
      <alignment horizontal="center"/>
      <protection locked="0"/>
    </xf>
    <xf numFmtId="49" fontId="0" fillId="24" borderId="57" xfId="0" applyNumberFormat="1" applyFill="1" applyBorder="1" applyAlignment="1" applyProtection="1">
      <alignment horizontal="center"/>
      <protection locked="0"/>
    </xf>
    <xf numFmtId="49" fontId="0" fillId="24" borderId="58" xfId="0" applyNumberFormat="1" applyFill="1" applyBorder="1" applyAlignment="1" applyProtection="1">
      <alignment horizontal="center" wrapText="1"/>
      <protection locked="0"/>
    </xf>
    <xf numFmtId="49" fontId="0" fillId="24" borderId="59" xfId="0" applyNumberFormat="1" applyFill="1" applyBorder="1" applyAlignment="1" applyProtection="1">
      <alignment horizontal="center" wrapText="1"/>
      <protection locked="0"/>
    </xf>
    <xf numFmtId="49" fontId="0" fillId="24" borderId="57" xfId="0" applyNumberFormat="1" applyFill="1" applyBorder="1" applyAlignment="1" applyProtection="1">
      <alignment horizontal="center" wrapText="1"/>
      <protection locked="0"/>
    </xf>
    <xf numFmtId="0" fontId="0" fillId="0" borderId="10" xfId="0" applyBorder="1" applyAlignment="1" applyProtection="1">
      <alignment horizontal="center" wrapText="1"/>
    </xf>
    <xf numFmtId="0" fontId="0" fillId="0" borderId="10" xfId="0" applyBorder="1" applyAlignment="1" applyProtection="1">
      <alignment horizontal="center"/>
    </xf>
    <xf numFmtId="0" fontId="0" fillId="0" borderId="58" xfId="0" applyBorder="1" applyAlignment="1" applyProtection="1">
      <alignment horizontal="center"/>
    </xf>
    <xf numFmtId="0" fontId="0" fillId="0" borderId="59" xfId="0" applyBorder="1" applyAlignment="1" applyProtection="1">
      <alignment horizontal="center"/>
    </xf>
    <xf numFmtId="0" fontId="0" fillId="0" borderId="57" xfId="0" applyBorder="1" applyAlignment="1" applyProtection="1">
      <alignment horizontal="center"/>
    </xf>
    <xf numFmtId="0" fontId="0" fillId="24" borderId="58" xfId="0" applyNumberFormat="1" applyFill="1" applyBorder="1" applyAlignment="1" applyProtection="1">
      <alignment horizontal="center"/>
      <protection locked="0"/>
    </xf>
    <xf numFmtId="0" fontId="0" fillId="24" borderId="59" xfId="0" applyNumberFormat="1" applyFill="1" applyBorder="1" applyAlignment="1" applyProtection="1">
      <alignment horizontal="center"/>
      <protection locked="0"/>
    </xf>
    <xf numFmtId="0" fontId="0" fillId="24" borderId="57" xfId="0" applyNumberFormat="1" applyFill="1" applyBorder="1" applyAlignment="1" applyProtection="1">
      <alignment horizontal="center"/>
      <protection locked="0"/>
    </xf>
    <xf numFmtId="0" fontId="4" fillId="0" borderId="10" xfId="0" applyFont="1" applyBorder="1" applyAlignment="1" applyProtection="1">
      <alignment horizontal="center" vertical="center"/>
    </xf>
    <xf numFmtId="0" fontId="4" fillId="0" borderId="17" xfId="0" applyFont="1" applyBorder="1" applyAlignment="1" applyProtection="1">
      <alignment horizontal="center" vertical="center"/>
    </xf>
    <xf numFmtId="0" fontId="4" fillId="0" borderId="12" xfId="0" applyFont="1" applyBorder="1" applyAlignment="1" applyProtection="1">
      <alignment horizontal="center" vertical="center"/>
    </xf>
    <xf numFmtId="0" fontId="0" fillId="0" borderId="56" xfId="0" applyNumberFormat="1" applyBorder="1" applyAlignment="1" applyProtection="1">
      <alignment horizontal="center"/>
    </xf>
    <xf numFmtId="0" fontId="0" fillId="0" borderId="62" xfId="0" applyNumberFormat="1" applyBorder="1" applyAlignment="1" applyProtection="1">
      <alignment horizontal="center"/>
    </xf>
    <xf numFmtId="0" fontId="0" fillId="0" borderId="15" xfId="0" applyNumberFormat="1" applyBorder="1" applyAlignment="1" applyProtection="1">
      <alignment horizontal="center"/>
    </xf>
    <xf numFmtId="0" fontId="0" fillId="0" borderId="128" xfId="0" applyNumberFormat="1" applyBorder="1" applyAlignment="1" applyProtection="1">
      <alignment horizontal="center"/>
    </xf>
    <xf numFmtId="0" fontId="0" fillId="0" borderId="58" xfId="0" applyNumberFormat="1" applyFill="1" applyBorder="1" applyAlignment="1" applyProtection="1">
      <alignment horizontal="center"/>
      <protection locked="0"/>
    </xf>
    <xf numFmtId="0" fontId="0" fillId="0" borderId="59" xfId="0" applyNumberFormat="1" applyFill="1" applyBorder="1" applyAlignment="1" applyProtection="1">
      <alignment horizontal="center"/>
      <protection locked="0"/>
    </xf>
    <xf numFmtId="0" fontId="0" fillId="0" borderId="57" xfId="0" applyNumberFormat="1" applyFill="1" applyBorder="1" applyAlignment="1" applyProtection="1">
      <alignment horizontal="center"/>
      <protection locked="0"/>
    </xf>
    <xf numFmtId="0" fontId="0" fillId="0" borderId="10" xfId="0" applyNumberFormat="1" applyFill="1" applyBorder="1" applyAlignment="1" applyProtection="1">
      <alignment horizontal="center"/>
    </xf>
    <xf numFmtId="0" fontId="0" fillId="0" borderId="113" xfId="0" applyNumberFormat="1" applyBorder="1" applyAlignment="1" applyProtection="1">
      <alignment horizontal="center"/>
    </xf>
    <xf numFmtId="0" fontId="0" fillId="0" borderId="50" xfId="0" applyNumberFormat="1" applyBorder="1" applyAlignment="1" applyProtection="1">
      <alignment horizontal="center"/>
    </xf>
    <xf numFmtId="0" fontId="0" fillId="0" borderId="43" xfId="0" applyNumberFormat="1" applyBorder="1" applyAlignment="1" applyProtection="1">
      <alignment horizontal="center"/>
    </xf>
    <xf numFmtId="20" fontId="0" fillId="0" borderId="124" xfId="0" applyNumberFormat="1" applyBorder="1" applyAlignment="1" applyProtection="1">
      <alignment horizontal="right" vertical="center"/>
    </xf>
    <xf numFmtId="20" fontId="0" fillId="0" borderId="125" xfId="0" applyNumberFormat="1" applyBorder="1" applyAlignment="1" applyProtection="1">
      <alignment horizontal="right" vertical="center"/>
    </xf>
    <xf numFmtId="0" fontId="0" fillId="0" borderId="25" xfId="0" applyBorder="1" applyAlignment="1" applyProtection="1">
      <alignment horizontal="center" vertical="center"/>
    </xf>
    <xf numFmtId="0" fontId="0" fillId="0" borderId="82" xfId="0" applyBorder="1" applyAlignment="1" applyProtection="1">
      <alignment horizontal="center" vertical="center"/>
    </xf>
    <xf numFmtId="0" fontId="0" fillId="0" borderId="31" xfId="0" applyBorder="1" applyAlignment="1" applyProtection="1">
      <alignment horizontal="center" vertical="center"/>
    </xf>
    <xf numFmtId="0" fontId="0" fillId="0" borderId="39" xfId="0" applyBorder="1" applyAlignment="1" applyProtection="1">
      <alignment horizontal="center" vertical="center"/>
    </xf>
    <xf numFmtId="0" fontId="0" fillId="0" borderId="24" xfId="0" applyBorder="1" applyAlignment="1" applyProtection="1">
      <alignment horizontal="center" vertical="center"/>
    </xf>
    <xf numFmtId="0" fontId="0" fillId="0" borderId="37" xfId="0" applyBorder="1" applyAlignment="1" applyProtection="1">
      <alignment horizontal="center" vertical="center"/>
    </xf>
    <xf numFmtId="0" fontId="0" fillId="0" borderId="11" xfId="0" applyBorder="1" applyAlignment="1" applyProtection="1">
      <alignment horizontal="center"/>
    </xf>
    <xf numFmtId="0" fontId="0" fillId="0" borderId="12" xfId="0" applyBorder="1" applyAlignment="1" applyProtection="1">
      <alignment horizontal="center"/>
    </xf>
    <xf numFmtId="0" fontId="0" fillId="0" borderId="13" xfId="0" applyBorder="1" applyAlignment="1" applyProtection="1">
      <alignment horizontal="center"/>
    </xf>
    <xf numFmtId="0" fontId="0" fillId="0" borderId="14" xfId="0" applyBorder="1" applyAlignment="1" applyProtection="1">
      <alignment horizontal="center"/>
    </xf>
    <xf numFmtId="0" fontId="0" fillId="0" borderId="15" xfId="0" applyBorder="1" applyAlignment="1" applyProtection="1">
      <alignment horizontal="center"/>
    </xf>
    <xf numFmtId="14" fontId="0" fillId="0" borderId="94" xfId="0" applyNumberFormat="1" applyBorder="1" applyAlignment="1" applyProtection="1">
      <alignment horizontal="center" vertical="center"/>
    </xf>
    <xf numFmtId="0" fontId="0" fillId="0" borderId="59" xfId="0" applyBorder="1" applyAlignment="1" applyProtection="1">
      <alignment horizontal="center" vertical="center"/>
    </xf>
    <xf numFmtId="0" fontId="0" fillId="0" borderId="57" xfId="0" applyNumberFormat="1" applyBorder="1" applyAlignment="1" applyProtection="1">
      <alignment horizontal="center"/>
    </xf>
    <xf numFmtId="0" fontId="0" fillId="0" borderId="58" xfId="0" applyNumberFormat="1" applyBorder="1" applyAlignment="1" applyProtection="1">
      <alignment horizontal="center"/>
    </xf>
    <xf numFmtId="0" fontId="0" fillId="0" borderId="48" xfId="0" applyNumberFormat="1" applyBorder="1" applyAlignment="1" applyProtection="1">
      <alignment horizontal="center"/>
    </xf>
    <xf numFmtId="0" fontId="0" fillId="0" borderId="47" xfId="0" applyNumberFormat="1" applyBorder="1" applyAlignment="1" applyProtection="1">
      <alignment horizontal="center"/>
    </xf>
    <xf numFmtId="0" fontId="0" fillId="0" borderId="73" xfId="0" applyBorder="1" applyAlignment="1" applyProtection="1">
      <alignment horizontal="center"/>
    </xf>
    <xf numFmtId="0" fontId="0" fillId="0" borderId="10" xfId="0" applyNumberFormat="1" applyBorder="1" applyAlignment="1" applyProtection="1">
      <alignment horizontal="center"/>
    </xf>
    <xf numFmtId="0" fontId="0" fillId="0" borderId="123" xfId="0" applyNumberFormat="1" applyBorder="1" applyAlignment="1" applyProtection="1">
      <alignment horizontal="center"/>
    </xf>
    <xf numFmtId="0" fontId="0" fillId="0" borderId="12" xfId="0" applyNumberFormat="1" applyBorder="1" applyAlignment="1" applyProtection="1">
      <alignment horizontal="center"/>
    </xf>
    <xf numFmtId="0" fontId="0" fillId="0" borderId="13" xfId="0" applyNumberFormat="1" applyBorder="1" applyAlignment="1" applyProtection="1">
      <alignment horizontal="center"/>
    </xf>
    <xf numFmtId="0" fontId="0" fillId="0" borderId="17" xfId="0" applyNumberFormat="1" applyBorder="1" applyAlignment="1" applyProtection="1">
      <alignment horizontal="center"/>
    </xf>
    <xf numFmtId="0" fontId="0" fillId="0" borderId="18" xfId="0" applyNumberFormat="1" applyBorder="1" applyAlignment="1" applyProtection="1">
      <alignment horizontal="center"/>
    </xf>
    <xf numFmtId="0" fontId="0" fillId="0" borderId="16" xfId="0" applyBorder="1" applyAlignment="1" applyProtection="1">
      <alignment horizontal="center"/>
    </xf>
    <xf numFmtId="0" fontId="0" fillId="0" borderId="17" xfId="0" applyBorder="1" applyAlignment="1" applyProtection="1">
      <alignment horizontal="center"/>
    </xf>
    <xf numFmtId="0" fontId="0" fillId="0" borderId="58" xfId="0" applyNumberFormat="1" applyBorder="1" applyAlignment="1" applyProtection="1">
      <alignment horizontal="center"/>
      <protection locked="0"/>
    </xf>
    <xf numFmtId="0" fontId="0" fillId="0" borderId="59" xfId="0" applyNumberFormat="1" applyBorder="1" applyAlignment="1" applyProtection="1">
      <alignment horizontal="center"/>
      <protection locked="0"/>
    </xf>
    <xf numFmtId="0" fontId="0" fillId="0" borderId="57" xfId="0" applyNumberFormat="1" applyBorder="1" applyAlignment="1" applyProtection="1">
      <alignment horizontal="center"/>
      <protection locked="0"/>
    </xf>
    <xf numFmtId="0" fontId="0" fillId="24" borderId="58" xfId="0" applyNumberFormat="1" applyFill="1" applyBorder="1" applyAlignment="1" applyProtection="1">
      <alignment horizontal="center" wrapText="1"/>
      <protection locked="0"/>
    </xf>
    <xf numFmtId="0" fontId="0" fillId="24" borderId="59" xfId="0" applyNumberFormat="1" applyFill="1" applyBorder="1" applyAlignment="1" applyProtection="1">
      <alignment horizontal="center" wrapText="1"/>
      <protection locked="0"/>
    </xf>
    <xf numFmtId="0" fontId="0" fillId="24" borderId="57" xfId="0" applyNumberFormat="1" applyFill="1" applyBorder="1" applyAlignment="1" applyProtection="1">
      <alignment horizontal="center" wrapText="1"/>
      <protection locked="0"/>
    </xf>
    <xf numFmtId="0" fontId="0" fillId="0" borderId="37" xfId="0" applyBorder="1" applyAlignment="1" applyProtection="1">
      <alignment horizontal="center"/>
    </xf>
    <xf numFmtId="0" fontId="0" fillId="0" borderId="31" xfId="0" applyBorder="1" applyAlignment="1" applyProtection="1">
      <alignment horizontal="center"/>
    </xf>
    <xf numFmtId="0" fontId="0" fillId="0" borderId="95" xfId="0" applyBorder="1" applyAlignment="1" applyProtection="1">
      <alignment horizontal="center" vertical="center"/>
    </xf>
    <xf numFmtId="0" fontId="0" fillId="0" borderId="19" xfId="0" applyBorder="1" applyAlignment="1" applyProtection="1">
      <alignment horizontal="center" vertical="center"/>
    </xf>
    <xf numFmtId="0" fontId="0" fillId="0" borderId="119" xfId="0" applyBorder="1" applyAlignment="1" applyProtection="1">
      <alignment horizontal="center" vertical="center"/>
    </xf>
    <xf numFmtId="0" fontId="0" fillId="0" borderId="120" xfId="0" applyBorder="1" applyAlignment="1" applyProtection="1">
      <alignment horizontal="center" vertical="center"/>
    </xf>
    <xf numFmtId="0" fontId="0" fillId="0" borderId="0" xfId="0" applyBorder="1" applyAlignment="1" applyProtection="1">
      <alignment horizontal="center" vertical="center"/>
    </xf>
    <xf numFmtId="0" fontId="0" fillId="0" borderId="73" xfId="0" applyBorder="1" applyAlignment="1" applyProtection="1">
      <alignment horizontal="center" vertical="center"/>
    </xf>
    <xf numFmtId="0" fontId="0" fillId="0" borderId="39" xfId="0" applyBorder="1" applyAlignment="1" applyProtection="1">
      <alignment horizontal="center"/>
    </xf>
    <xf numFmtId="0" fontId="0" fillId="0" borderId="121" xfId="0" applyNumberFormat="1" applyBorder="1" applyAlignment="1" applyProtection="1">
      <alignment horizontal="center"/>
    </xf>
    <xf numFmtId="0" fontId="0" fillId="0" borderId="122" xfId="0" applyNumberFormat="1" applyBorder="1" applyAlignment="1" applyProtection="1">
      <alignment horizontal="center"/>
    </xf>
    <xf numFmtId="179" fontId="5" fillId="0" borderId="41" xfId="0" applyNumberFormat="1" applyFont="1" applyBorder="1" applyAlignment="1" applyProtection="1">
      <alignment horizontal="center"/>
    </xf>
    <xf numFmtId="0" fontId="0" fillId="0" borderId="119" xfId="0" applyBorder="1" applyAlignment="1" applyProtection="1">
      <alignment horizontal="center"/>
    </xf>
    <xf numFmtId="0" fontId="0" fillId="0" borderId="126" xfId="0" applyNumberFormat="1" applyBorder="1" applyAlignment="1" applyProtection="1">
      <alignment horizontal="center"/>
    </xf>
    <xf numFmtId="0" fontId="0" fillId="0" borderId="127" xfId="0" applyNumberFormat="1" applyBorder="1" applyAlignment="1" applyProtection="1">
      <alignment horizontal="center"/>
    </xf>
    <xf numFmtId="0" fontId="0" fillId="0" borderId="96" xfId="0" applyBorder="1" applyAlignment="1" applyProtection="1">
      <alignment horizontal="center"/>
    </xf>
    <xf numFmtId="0" fontId="0" fillId="0" borderId="50" xfId="0" applyBorder="1" applyAlignment="1" applyProtection="1">
      <alignment horizontal="center"/>
    </xf>
    <xf numFmtId="0" fontId="0" fillId="0" borderId="116" xfId="0" applyBorder="1" applyAlignment="1" applyProtection="1">
      <alignment horizontal="center" vertical="center"/>
    </xf>
    <xf numFmtId="0" fontId="0" fillId="0" borderId="117" xfId="0" applyBorder="1" applyAlignment="1" applyProtection="1">
      <alignment horizontal="center" vertical="center"/>
    </xf>
    <xf numFmtId="0" fontId="0" fillId="0" borderId="114" xfId="0" applyNumberFormat="1" applyBorder="1" applyAlignment="1" applyProtection="1">
      <alignment horizontal="center"/>
    </xf>
    <xf numFmtId="0" fontId="0" fillId="0" borderId="115" xfId="0" applyNumberFormat="1" applyBorder="1" applyAlignment="1" applyProtection="1">
      <alignment horizontal="center"/>
    </xf>
    <xf numFmtId="0" fontId="0" fillId="24" borderId="116" xfId="0" applyNumberFormat="1" applyFill="1" applyBorder="1" applyAlignment="1" applyProtection="1">
      <alignment horizontal="center"/>
      <protection locked="0"/>
    </xf>
    <xf numFmtId="0" fontId="0" fillId="24" borderId="117" xfId="0" applyNumberFormat="1" applyFill="1" applyBorder="1" applyAlignment="1" applyProtection="1">
      <alignment horizontal="center"/>
      <protection locked="0"/>
    </xf>
    <xf numFmtId="0" fontId="0" fillId="24" borderId="118" xfId="0" applyNumberFormat="1" applyFill="1" applyBorder="1" applyAlignment="1" applyProtection="1">
      <alignment horizontal="center"/>
      <protection locked="0"/>
    </xf>
    <xf numFmtId="0" fontId="13" fillId="0" borderId="110" xfId="44" applyFont="1" applyBorder="1" applyAlignment="1" applyProtection="1">
      <alignment horizontal="center" vertical="center" textRotation="255" wrapText="1"/>
    </xf>
    <xf numFmtId="0" fontId="13" fillId="0" borderId="111" xfId="44" applyFont="1" applyBorder="1" applyAlignment="1" applyProtection="1">
      <alignment horizontal="center" vertical="center" textRotation="255" wrapText="1"/>
    </xf>
    <xf numFmtId="0" fontId="20" fillId="0" borderId="31" xfId="44" applyFont="1" applyBorder="1" applyAlignment="1" applyProtection="1">
      <alignment horizontal="center" vertical="center"/>
    </xf>
    <xf numFmtId="0" fontId="20" fillId="0" borderId="56" xfId="44" applyFont="1" applyBorder="1" applyAlignment="1" applyProtection="1">
      <alignment horizontal="center" vertical="center"/>
    </xf>
    <xf numFmtId="0" fontId="20" fillId="0" borderId="25" xfId="44" applyFont="1" applyBorder="1" applyAlignment="1" applyProtection="1">
      <alignment horizontal="center" vertical="center"/>
    </xf>
    <xf numFmtId="191" fontId="20" fillId="0" borderId="31" xfId="44" applyNumberFormat="1" applyFont="1" applyBorder="1" applyAlignment="1" applyProtection="1">
      <alignment horizontal="center" vertical="center"/>
    </xf>
    <xf numFmtId="191" fontId="20" fillId="0" borderId="56" xfId="44" applyNumberFormat="1" applyFont="1" applyBorder="1" applyAlignment="1" applyProtection="1">
      <alignment horizontal="center" vertical="center"/>
    </xf>
    <xf numFmtId="191" fontId="20" fillId="0" borderId="25" xfId="44" applyNumberFormat="1" applyFont="1" applyBorder="1" applyAlignment="1" applyProtection="1">
      <alignment horizontal="center" vertical="center"/>
    </xf>
    <xf numFmtId="0" fontId="20" fillId="0" borderId="39" xfId="44" applyFont="1" applyBorder="1" applyAlignment="1" applyProtection="1">
      <alignment horizontal="center" vertical="center"/>
    </xf>
    <xf numFmtId="0" fontId="20" fillId="0" borderId="81" xfId="44" applyFont="1" applyBorder="1" applyAlignment="1" applyProtection="1">
      <alignment horizontal="center" vertical="center"/>
    </xf>
    <xf numFmtId="0" fontId="20" fillId="0" borderId="42" xfId="44" applyFont="1" applyBorder="1" applyAlignment="1" applyProtection="1">
      <alignment horizontal="center" vertical="center"/>
    </xf>
    <xf numFmtId="0" fontId="20" fillId="0" borderId="79" xfId="44" applyFont="1" applyBorder="1" applyAlignment="1" applyProtection="1">
      <alignment horizontal="center" vertical="center"/>
    </xf>
    <xf numFmtId="0" fontId="13" fillId="0" borderId="109" xfId="44" applyFont="1" applyBorder="1" applyAlignment="1" applyProtection="1">
      <alignment horizontal="center" vertical="center" textRotation="255" wrapText="1"/>
    </xf>
    <xf numFmtId="0" fontId="13" fillId="0" borderId="67" xfId="44" applyFont="1" applyBorder="1" applyAlignment="1" applyProtection="1">
      <alignment horizontal="center" vertical="center" textRotation="255" wrapText="1"/>
    </xf>
    <xf numFmtId="0" fontId="13" fillId="0" borderId="58" xfId="44" applyFont="1" applyBorder="1" applyAlignment="1" applyProtection="1">
      <alignment horizontal="center" vertical="center" textRotation="255"/>
    </xf>
    <xf numFmtId="0" fontId="13" fillId="0" borderId="59" xfId="44" applyFont="1" applyBorder="1" applyAlignment="1" applyProtection="1">
      <alignment horizontal="center" vertical="center" textRotation="255"/>
    </xf>
    <xf numFmtId="0" fontId="13" fillId="0" borderId="57" xfId="44" applyFont="1" applyBorder="1" applyAlignment="1" applyProtection="1">
      <alignment horizontal="center" vertical="center" textRotation="255"/>
    </xf>
    <xf numFmtId="177" fontId="10" fillId="0" borderId="25" xfId="44" applyNumberFormat="1" applyFont="1" applyFill="1" applyBorder="1" applyAlignment="1" applyProtection="1">
      <alignment horizontal="center" vertical="center"/>
    </xf>
    <xf numFmtId="178" fontId="14" fillId="0" borderId="31" xfId="44" applyNumberFormat="1" applyFont="1" applyBorder="1" applyAlignment="1" applyProtection="1">
      <alignment horizontal="center"/>
    </xf>
    <xf numFmtId="178" fontId="14" fillId="0" borderId="25" xfId="44" applyNumberFormat="1" applyFont="1" applyBorder="1" applyAlignment="1" applyProtection="1">
      <alignment horizontal="center"/>
    </xf>
    <xf numFmtId="202" fontId="56" fillId="0" borderId="0" xfId="48" applyNumberFormat="1" applyAlignment="1">
      <alignment horizontal="right" vertical="center"/>
    </xf>
    <xf numFmtId="0" fontId="58" fillId="0" borderId="0" xfId="48" applyFont="1" applyAlignment="1">
      <alignment horizontal="distributed" vertical="center"/>
    </xf>
    <xf numFmtId="0" fontId="59" fillId="0" borderId="0" xfId="48" applyFont="1" applyAlignment="1">
      <alignment horizontal="distributed" vertical="center"/>
    </xf>
    <xf numFmtId="211" fontId="56" fillId="0" borderId="0" xfId="48" applyNumberFormat="1" applyAlignment="1" applyProtection="1">
      <alignment horizontal="right" vertical="center"/>
      <protection locked="0"/>
    </xf>
    <xf numFmtId="0" fontId="56" fillId="0" borderId="10" xfId="48" applyBorder="1">
      <alignment vertical="center"/>
    </xf>
    <xf numFmtId="0" fontId="62" fillId="0" borderId="10" xfId="48" applyFont="1" applyBorder="1" applyAlignment="1">
      <alignment horizontal="left" vertical="center"/>
    </xf>
    <xf numFmtId="0" fontId="56" fillId="0" borderId="0" xfId="48" applyFont="1" applyAlignment="1">
      <alignment horizontal="left" vertical="center"/>
    </xf>
    <xf numFmtId="0" fontId="56" fillId="0" borderId="0" xfId="48" applyFont="1" applyAlignment="1">
      <alignment horizontal="center" vertical="center"/>
    </xf>
    <xf numFmtId="0" fontId="56" fillId="0" borderId="0" xfId="48" applyAlignment="1">
      <alignment horizontal="left" vertical="center"/>
    </xf>
    <xf numFmtId="0" fontId="56" fillId="0" borderId="0" xfId="48" applyAlignment="1">
      <alignment horizontal="center" vertical="center"/>
    </xf>
    <xf numFmtId="210" fontId="60" fillId="0" borderId="0" xfId="48" applyNumberFormat="1" applyFont="1" applyAlignment="1">
      <alignment horizontal="center" vertical="center"/>
    </xf>
    <xf numFmtId="0" fontId="60" fillId="0" borderId="0" xfId="48" applyFont="1" applyAlignment="1">
      <alignment horizontal="center" vertical="center"/>
    </xf>
    <xf numFmtId="49" fontId="56" fillId="0" borderId="0" xfId="48" applyNumberFormat="1" applyAlignment="1" applyProtection="1">
      <alignment horizontal="left" vertical="center" wrapText="1"/>
      <protection locked="0"/>
    </xf>
    <xf numFmtId="0" fontId="56" fillId="0" borderId="0" xfId="48" applyNumberFormat="1" applyAlignment="1" applyProtection="1">
      <alignment horizontal="left" vertical="center" wrapText="1"/>
      <protection locked="0"/>
    </xf>
    <xf numFmtId="0" fontId="56" fillId="0" borderId="0" xfId="48" applyAlignment="1" applyProtection="1">
      <alignment horizontal="left" vertical="center" wrapText="1"/>
      <protection locked="0"/>
    </xf>
    <xf numFmtId="0" fontId="56" fillId="0" borderId="0" xfId="48" applyAlignment="1" applyProtection="1">
      <alignment horizontal="left" vertical="center"/>
      <protection locked="0"/>
    </xf>
    <xf numFmtId="0" fontId="56" fillId="0" borderId="0" xfId="48" applyAlignment="1">
      <alignment vertical="center"/>
    </xf>
    <xf numFmtId="0" fontId="56" fillId="0" borderId="31" xfId="48" applyBorder="1" applyAlignment="1">
      <alignment vertical="center"/>
    </xf>
    <xf numFmtId="0" fontId="56" fillId="0" borderId="56" xfId="48" applyBorder="1" applyAlignment="1">
      <alignment vertical="center"/>
    </xf>
    <xf numFmtId="0" fontId="56" fillId="0" borderId="25" xfId="48" applyBorder="1" applyAlignment="1">
      <alignment vertical="center"/>
    </xf>
    <xf numFmtId="0" fontId="56" fillId="0" borderId="10" xfId="48" applyBorder="1" applyProtection="1">
      <alignment vertical="center"/>
      <protection locked="0"/>
    </xf>
    <xf numFmtId="0" fontId="62" fillId="0" borderId="10" xfId="48" applyFont="1" applyBorder="1">
      <alignment vertical="center"/>
    </xf>
    <xf numFmtId="0" fontId="63" fillId="0" borderId="10" xfId="48" applyFont="1" applyBorder="1">
      <alignment vertical="center"/>
    </xf>
    <xf numFmtId="0" fontId="56" fillId="0" borderId="10" xfId="48" applyBorder="1" applyAlignment="1">
      <alignment vertical="center"/>
    </xf>
    <xf numFmtId="0" fontId="56" fillId="0" borderId="10" xfId="48" applyBorder="1" applyAlignment="1" applyProtection="1">
      <alignment horizontal="left" vertical="center"/>
      <protection locked="0"/>
    </xf>
    <xf numFmtId="31" fontId="56" fillId="0" borderId="10" xfId="48" applyNumberFormat="1" applyBorder="1" applyAlignment="1" applyProtection="1">
      <alignment vertical="center"/>
      <protection locked="0"/>
    </xf>
    <xf numFmtId="0" fontId="56" fillId="0" borderId="166" xfId="48" applyBorder="1" applyAlignment="1">
      <alignment horizontal="center" vertical="center"/>
    </xf>
    <xf numFmtId="0" fontId="56" fillId="0" borderId="165" xfId="48" applyBorder="1" applyAlignment="1">
      <alignment horizontal="center" vertical="center"/>
    </xf>
    <xf numFmtId="0" fontId="56" fillId="0" borderId="167" xfId="48" applyBorder="1" applyAlignment="1">
      <alignment horizontal="center" vertical="center"/>
    </xf>
    <xf numFmtId="0" fontId="56" fillId="0" borderId="25" xfId="48" applyBorder="1">
      <alignment vertical="center"/>
    </xf>
    <xf numFmtId="0" fontId="56" fillId="0" borderId="10" xfId="48" applyBorder="1" applyAlignment="1">
      <alignment horizontal="center" vertical="center"/>
    </xf>
    <xf numFmtId="0" fontId="67" fillId="0" borderId="10" xfId="48" applyFont="1" applyBorder="1" applyAlignment="1" applyProtection="1">
      <alignment vertical="center" wrapText="1"/>
      <protection locked="0"/>
    </xf>
    <xf numFmtId="0" fontId="56" fillId="0" borderId="169" xfId="48" applyBorder="1" applyAlignment="1">
      <alignment vertical="center"/>
    </xf>
    <xf numFmtId="0" fontId="56" fillId="0" borderId="170" xfId="48" applyBorder="1" applyAlignment="1">
      <alignment vertical="center"/>
    </xf>
    <xf numFmtId="0" fontId="56" fillId="0" borderId="171" xfId="48" applyBorder="1" applyAlignment="1">
      <alignment vertical="center"/>
    </xf>
    <xf numFmtId="0" fontId="56" fillId="0" borderId="166" xfId="48" applyBorder="1" applyAlignment="1">
      <alignment vertical="center"/>
    </xf>
    <xf numFmtId="0" fontId="56" fillId="0" borderId="165" xfId="48" applyBorder="1" applyAlignment="1">
      <alignment vertical="center"/>
    </xf>
    <xf numFmtId="0" fontId="56" fillId="0" borderId="167" xfId="48" applyBorder="1" applyAlignment="1">
      <alignment vertical="center"/>
    </xf>
    <xf numFmtId="0" fontId="56" fillId="0" borderId="172" xfId="48" applyBorder="1" applyAlignment="1">
      <alignment vertical="center"/>
    </xf>
    <xf numFmtId="0" fontId="56" fillId="0" borderId="173" xfId="48" applyBorder="1" applyAlignment="1">
      <alignment vertical="center"/>
    </xf>
    <xf numFmtId="0" fontId="56" fillId="0" borderId="174" xfId="48" applyBorder="1" applyAlignment="1">
      <alignment vertical="center"/>
    </xf>
    <xf numFmtId="0" fontId="56" fillId="0" borderId="31" xfId="48" applyBorder="1" applyProtection="1">
      <alignment vertical="center"/>
      <protection locked="0"/>
    </xf>
    <xf numFmtId="0" fontId="56" fillId="0" borderId="31" xfId="48" applyBorder="1">
      <alignment vertical="center"/>
    </xf>
    <xf numFmtId="202" fontId="56" fillId="0" borderId="10" xfId="48" applyNumberFormat="1" applyBorder="1" applyAlignment="1">
      <alignment horizontal="left" vertical="center"/>
    </xf>
    <xf numFmtId="0" fontId="56" fillId="0" borderId="39" xfId="48" applyBorder="1" applyAlignment="1">
      <alignment horizontal="left" vertical="center"/>
    </xf>
    <xf numFmtId="0" fontId="56" fillId="0" borderId="60" xfId="48" applyBorder="1" applyAlignment="1">
      <alignment horizontal="left" vertical="center"/>
    </xf>
    <xf numFmtId="0" fontId="56" fillId="0" borderId="82" xfId="48" applyBorder="1" applyAlignment="1">
      <alignment horizontal="left" vertical="center"/>
    </xf>
    <xf numFmtId="0" fontId="56" fillId="0" borderId="120" xfId="48" applyBorder="1" applyAlignment="1">
      <alignment horizontal="left" vertical="center"/>
    </xf>
    <xf numFmtId="0" fontId="56" fillId="0" borderId="0" xfId="48" applyBorder="1" applyAlignment="1">
      <alignment horizontal="left" vertical="center"/>
    </xf>
    <xf numFmtId="0" fontId="56" fillId="0" borderId="73" xfId="48" applyBorder="1" applyAlignment="1">
      <alignment horizontal="left" vertical="center"/>
    </xf>
    <xf numFmtId="0" fontId="56" fillId="0" borderId="42" xfId="48" applyBorder="1" applyAlignment="1">
      <alignment horizontal="left" vertical="center"/>
    </xf>
    <xf numFmtId="0" fontId="56" fillId="0" borderId="41" xfId="48" applyBorder="1" applyAlignment="1">
      <alignment horizontal="left" vertical="center"/>
    </xf>
    <xf numFmtId="0" fontId="56" fillId="0" borderId="26" xfId="48" applyBorder="1" applyAlignment="1">
      <alignment horizontal="left" vertical="center"/>
    </xf>
    <xf numFmtId="0" fontId="67" fillId="0" borderId="0" xfId="48" applyFont="1" applyFill="1" applyBorder="1" applyAlignment="1">
      <alignment horizontal="left" vertical="center"/>
    </xf>
    <xf numFmtId="0" fontId="56" fillId="0" borderId="0" xfId="48" applyFill="1" applyBorder="1" applyAlignment="1">
      <alignment horizontal="center" vertical="center"/>
    </xf>
    <xf numFmtId="0" fontId="56" fillId="0" borderId="39" xfId="48" applyBorder="1" applyAlignment="1" applyProtection="1">
      <alignment horizontal="left" vertical="center"/>
      <protection locked="0"/>
    </xf>
    <xf numFmtId="0" fontId="56" fillId="0" borderId="60" xfId="48" applyBorder="1" applyAlignment="1" applyProtection="1">
      <alignment horizontal="left" vertical="center"/>
      <protection locked="0"/>
    </xf>
    <xf numFmtId="0" fontId="56" fillId="0" borderId="82" xfId="48" applyBorder="1" applyAlignment="1" applyProtection="1">
      <alignment horizontal="left" vertical="center"/>
      <protection locked="0"/>
    </xf>
    <xf numFmtId="0" fontId="56" fillId="0" borderId="120" xfId="48" applyBorder="1" applyAlignment="1" applyProtection="1">
      <alignment horizontal="left" vertical="center"/>
      <protection locked="0"/>
    </xf>
    <xf numFmtId="0" fontId="56" fillId="0" borderId="0" xfId="48" applyBorder="1" applyAlignment="1" applyProtection="1">
      <alignment horizontal="left" vertical="center"/>
      <protection locked="0"/>
    </xf>
    <xf numFmtId="0" fontId="56" fillId="0" borderId="73" xfId="48" applyBorder="1" applyAlignment="1" applyProtection="1">
      <alignment horizontal="left" vertical="center"/>
      <protection locked="0"/>
    </xf>
    <xf numFmtId="0" fontId="56" fillId="0" borderId="42" xfId="48" applyBorder="1" applyAlignment="1" applyProtection="1">
      <alignment horizontal="left" vertical="center"/>
      <protection locked="0"/>
    </xf>
    <xf numFmtId="0" fontId="56" fillId="0" borderId="41" xfId="48" applyBorder="1" applyAlignment="1" applyProtection="1">
      <alignment horizontal="left" vertical="center"/>
      <protection locked="0"/>
    </xf>
    <xf numFmtId="0" fontId="56" fillId="0" borderId="26" xfId="48" applyBorder="1" applyAlignment="1" applyProtection="1">
      <alignment horizontal="left" vertical="center"/>
      <protection locked="0"/>
    </xf>
    <xf numFmtId="0" fontId="67" fillId="0" borderId="39" xfId="48" applyFont="1" applyFill="1" applyBorder="1" applyAlignment="1" applyProtection="1">
      <alignment horizontal="left" vertical="center"/>
      <protection locked="0"/>
    </xf>
    <xf numFmtId="0" fontId="67" fillId="0" borderId="60" xfId="48" applyFont="1" applyFill="1" applyBorder="1" applyAlignment="1" applyProtection="1">
      <alignment horizontal="left" vertical="center"/>
      <protection locked="0"/>
    </xf>
    <xf numFmtId="0" fontId="67" fillId="0" borderId="82" xfId="48" applyFont="1" applyFill="1" applyBorder="1" applyAlignment="1" applyProtection="1">
      <alignment horizontal="left" vertical="center"/>
      <protection locked="0"/>
    </xf>
    <xf numFmtId="0" fontId="67" fillId="0" borderId="120" xfId="48" applyFont="1" applyFill="1" applyBorder="1" applyAlignment="1" applyProtection="1">
      <alignment horizontal="left" vertical="center"/>
      <protection locked="0"/>
    </xf>
    <xf numFmtId="0" fontId="67" fillId="0" borderId="0" xfId="48" applyFont="1" applyFill="1" applyBorder="1" applyAlignment="1" applyProtection="1">
      <alignment horizontal="left" vertical="center"/>
      <protection locked="0"/>
    </xf>
    <xf numFmtId="0" fontId="67" fillId="0" borderId="73" xfId="48" applyFont="1" applyFill="1" applyBorder="1" applyAlignment="1" applyProtection="1">
      <alignment horizontal="left" vertical="center"/>
      <protection locked="0"/>
    </xf>
    <xf numFmtId="0" fontId="67" fillId="0" borderId="42" xfId="48" applyFont="1" applyFill="1" applyBorder="1" applyAlignment="1" applyProtection="1">
      <alignment horizontal="left" vertical="center"/>
      <protection locked="0"/>
    </xf>
    <xf numFmtId="0" fontId="67" fillId="0" borderId="41" xfId="48" applyFont="1" applyFill="1" applyBorder="1" applyAlignment="1" applyProtection="1">
      <alignment horizontal="left" vertical="center"/>
      <protection locked="0"/>
    </xf>
    <xf numFmtId="0" fontId="67" fillId="0" borderId="26" xfId="48" applyFont="1" applyFill="1" applyBorder="1" applyAlignment="1" applyProtection="1">
      <alignment horizontal="left" vertical="center"/>
      <protection locked="0"/>
    </xf>
    <xf numFmtId="0" fontId="61" fillId="0" borderId="10" xfId="48" applyFont="1" applyBorder="1" applyAlignment="1" applyProtection="1">
      <alignment horizontal="left" vertical="center"/>
      <protection locked="0"/>
    </xf>
    <xf numFmtId="31" fontId="56" fillId="0" borderId="56" xfId="48" applyNumberFormat="1" applyBorder="1" applyAlignment="1" applyProtection="1">
      <alignment horizontal="left" vertical="center"/>
      <protection locked="0"/>
    </xf>
    <xf numFmtId="31" fontId="56" fillId="0" borderId="25" xfId="48" applyNumberFormat="1" applyBorder="1" applyAlignment="1" applyProtection="1">
      <alignment horizontal="left" vertical="center"/>
      <protection locked="0"/>
    </xf>
    <xf numFmtId="0" fontId="4" fillId="0" borderId="73" xfId="43" applyFont="1" applyFill="1" applyBorder="1" applyAlignment="1" applyProtection="1">
      <alignment horizontal="center" vertical="center"/>
    </xf>
    <xf numFmtId="0" fontId="4" fillId="0" borderId="120" xfId="43" applyFont="1" applyFill="1" applyBorder="1" applyAlignment="1" applyProtection="1">
      <alignment horizontal="center" vertical="center"/>
    </xf>
    <xf numFmtId="183" fontId="8" fillId="0" borderId="129" xfId="44" applyNumberFormat="1" applyFont="1" applyFill="1" applyBorder="1" applyAlignment="1" applyProtection="1">
      <alignment horizontal="center" vertical="center"/>
    </xf>
    <xf numFmtId="183" fontId="0" fillId="0" borderId="69" xfId="0" applyNumberFormat="1" applyFill="1" applyBorder="1" applyAlignment="1" applyProtection="1">
      <alignment horizontal="center" vertical="center"/>
    </xf>
    <xf numFmtId="198" fontId="86" fillId="0" borderId="58" xfId="43" applyNumberFormat="1" applyFont="1" applyFill="1" applyBorder="1" applyAlignment="1" applyProtection="1">
      <alignment horizontal="center" vertical="center"/>
      <protection hidden="1"/>
    </xf>
    <xf numFmtId="0" fontId="86" fillId="0" borderId="58" xfId="43" applyFont="1" applyFill="1" applyBorder="1" applyAlignment="1" applyProtection="1">
      <alignment horizontal="center" vertical="center"/>
      <protection hidden="1"/>
    </xf>
    <xf numFmtId="0" fontId="86" fillId="0" borderId="57" xfId="43" applyFont="1" applyFill="1" applyBorder="1" applyAlignment="1" applyProtection="1">
      <alignment horizontal="center" vertical="center"/>
      <protection hidden="1"/>
    </xf>
    <xf numFmtId="0" fontId="3" fillId="0" borderId="10" xfId="43" applyFont="1" applyFill="1" applyBorder="1" applyAlignment="1" applyProtection="1">
      <alignment horizontal="center" vertical="center"/>
    </xf>
    <xf numFmtId="0" fontId="3" fillId="43" borderId="10" xfId="43" applyFont="1" applyFill="1" applyBorder="1" applyAlignment="1" applyProtection="1">
      <alignment horizontal="center" vertical="center"/>
    </xf>
    <xf numFmtId="0" fontId="4" fillId="0" borderId="0" xfId="43" applyFont="1" applyFill="1" applyBorder="1" applyAlignment="1" applyProtection="1">
      <alignment horizontal="center" vertical="center"/>
    </xf>
    <xf numFmtId="183" fontId="8" fillId="0" borderId="132" xfId="44" applyNumberFormat="1" applyFont="1" applyFill="1" applyBorder="1" applyAlignment="1" applyProtection="1">
      <alignment horizontal="center" vertical="center"/>
    </xf>
    <xf numFmtId="183" fontId="0" fillId="0" borderId="130" xfId="0" applyNumberFormat="1" applyFill="1" applyBorder="1" applyAlignment="1" applyProtection="1">
      <alignment horizontal="center" vertical="center"/>
    </xf>
    <xf numFmtId="49" fontId="8" fillId="0" borderId="75" xfId="44" applyNumberFormat="1" applyFont="1" applyFill="1" applyBorder="1" applyAlignment="1" applyProtection="1">
      <alignment horizontal="center" vertical="center" wrapText="1"/>
      <protection hidden="1"/>
    </xf>
    <xf numFmtId="0" fontId="8" fillId="0" borderId="76" xfId="44" applyFont="1" applyFill="1" applyBorder="1" applyAlignment="1" applyProtection="1">
      <alignment horizontal="center" vertical="center"/>
      <protection hidden="1"/>
    </xf>
    <xf numFmtId="198" fontId="20" fillId="0" borderId="76" xfId="44" applyNumberFormat="1" applyFont="1" applyFill="1" applyBorder="1" applyAlignment="1" applyProtection="1">
      <alignment horizontal="center" vertical="center"/>
      <protection hidden="1"/>
    </xf>
    <xf numFmtId="0" fontId="9" fillId="0" borderId="76" xfId="44" applyFont="1" applyFill="1" applyBorder="1" applyAlignment="1" applyProtection="1">
      <alignment horizontal="center" vertical="center"/>
    </xf>
    <xf numFmtId="0" fontId="20" fillId="0" borderId="93" xfId="44" applyNumberFormat="1" applyFont="1" applyFill="1" applyBorder="1" applyAlignment="1" applyProtection="1">
      <alignment horizontal="center" vertical="center"/>
    </xf>
    <xf numFmtId="0" fontId="20" fillId="0" borderId="175" xfId="44" applyNumberFormat="1" applyFont="1" applyFill="1" applyBorder="1" applyAlignment="1" applyProtection="1">
      <alignment horizontal="center" vertical="center"/>
    </xf>
    <xf numFmtId="0" fontId="8" fillId="0" borderId="75" xfId="44" applyFont="1" applyFill="1" applyBorder="1" applyAlignment="1" applyProtection="1">
      <alignment horizontal="center" vertical="center" shrinkToFit="1"/>
    </xf>
    <xf numFmtId="0" fontId="13" fillId="0" borderId="133" xfId="44" applyFont="1" applyFill="1" applyBorder="1" applyAlignment="1" applyProtection="1">
      <alignment horizontal="center" vertical="center" wrapText="1"/>
    </xf>
    <xf numFmtId="0" fontId="13" fillId="0" borderId="96" xfId="44" applyFont="1" applyFill="1" applyBorder="1" applyAlignment="1" applyProtection="1">
      <alignment horizontal="center" vertical="center"/>
    </xf>
    <xf numFmtId="0" fontId="13" fillId="0" borderId="53" xfId="44" applyFont="1" applyFill="1" applyBorder="1" applyAlignment="1" applyProtection="1">
      <alignment horizontal="center" vertical="center"/>
    </xf>
    <xf numFmtId="0" fontId="13" fillId="0" borderId="55" xfId="44" applyFont="1" applyFill="1" applyBorder="1" applyAlignment="1" applyProtection="1">
      <alignment horizontal="center" vertical="center"/>
    </xf>
    <xf numFmtId="0" fontId="9" fillId="27" borderId="31" xfId="46" applyFont="1" applyFill="1" applyBorder="1" applyAlignment="1">
      <alignment vertical="center"/>
    </xf>
    <xf numFmtId="0" fontId="9" fillId="27" borderId="56" xfId="46" applyFont="1" applyFill="1" applyBorder="1" applyAlignment="1">
      <alignment vertical="center"/>
    </xf>
    <xf numFmtId="0" fontId="9" fillId="27" borderId="25" xfId="46" applyFont="1" applyFill="1" applyBorder="1" applyAlignment="1">
      <alignment vertical="center"/>
    </xf>
    <xf numFmtId="0" fontId="9" fillId="0" borderId="31" xfId="46" applyFont="1" applyFill="1" applyBorder="1" applyAlignment="1" applyProtection="1">
      <alignment horizontal="left" vertical="center"/>
      <protection locked="0"/>
    </xf>
    <xf numFmtId="0" fontId="9" fillId="0" borderId="56" xfId="46" applyFont="1" applyFill="1" applyBorder="1" applyAlignment="1" applyProtection="1">
      <alignment horizontal="left" vertical="center"/>
      <protection locked="0"/>
    </xf>
    <xf numFmtId="0" fontId="9" fillId="0" borderId="25" xfId="46" applyFont="1" applyFill="1" applyBorder="1" applyAlignment="1" applyProtection="1">
      <alignment horizontal="left" vertical="center"/>
      <protection locked="0"/>
    </xf>
    <xf numFmtId="180" fontId="63" fillId="0" borderId="39" xfId="46" applyNumberFormat="1" applyFont="1" applyFill="1" applyBorder="1" applyAlignment="1" applyProtection="1">
      <alignment horizontal="center" vertical="center"/>
      <protection hidden="1"/>
    </xf>
    <xf numFmtId="180" fontId="63" fillId="0" borderId="60" xfId="46" applyNumberFormat="1" applyFont="1" applyFill="1" applyBorder="1" applyAlignment="1" applyProtection="1">
      <alignment horizontal="center" vertical="center"/>
      <protection hidden="1"/>
    </xf>
    <xf numFmtId="180" fontId="63" fillId="0" borderId="52" xfId="46" applyNumberFormat="1" applyFont="1" applyFill="1" applyBorder="1" applyAlignment="1" applyProtection="1">
      <alignment horizontal="center" vertical="center"/>
      <protection hidden="1"/>
    </xf>
    <xf numFmtId="180" fontId="63" fillId="0" borderId="20" xfId="46" applyNumberFormat="1" applyFont="1" applyFill="1" applyBorder="1" applyAlignment="1" applyProtection="1">
      <alignment horizontal="center" vertical="center"/>
      <protection hidden="1"/>
    </xf>
    <xf numFmtId="205" fontId="53" fillId="0" borderId="28" xfId="46" applyNumberFormat="1" applyFont="1" applyFill="1" applyBorder="1" applyAlignment="1" applyProtection="1">
      <alignment horizontal="center" vertical="center"/>
      <protection locked="0"/>
    </xf>
    <xf numFmtId="205" fontId="53" fillId="0" borderId="28" xfId="0" applyNumberFormat="1" applyFont="1" applyBorder="1" applyAlignment="1" applyProtection="1">
      <alignment horizontal="center" vertical="center"/>
      <protection locked="0"/>
    </xf>
    <xf numFmtId="205" fontId="53" fillId="0" borderId="27" xfId="0" applyNumberFormat="1" applyFont="1" applyBorder="1" applyAlignment="1" applyProtection="1">
      <alignment horizontal="center" vertical="center"/>
      <protection locked="0"/>
    </xf>
    <xf numFmtId="205" fontId="53" fillId="0" borderId="66" xfId="46" applyNumberFormat="1" applyFont="1" applyFill="1" applyBorder="1" applyAlignment="1" applyProtection="1">
      <alignment horizontal="center" vertical="center"/>
      <protection locked="0"/>
    </xf>
    <xf numFmtId="205" fontId="53" fillId="0" borderId="66" xfId="0" applyNumberFormat="1" applyFont="1" applyBorder="1" applyAlignment="1" applyProtection="1">
      <alignment horizontal="center" vertical="center"/>
      <protection locked="0"/>
    </xf>
    <xf numFmtId="205" fontId="53" fillId="0" borderId="65" xfId="0" applyNumberFormat="1" applyFont="1" applyBorder="1" applyAlignment="1" applyProtection="1">
      <alignment horizontal="center" vertical="center"/>
      <protection locked="0"/>
    </xf>
    <xf numFmtId="180" fontId="9" fillId="0" borderId="90" xfId="46" applyNumberFormat="1" applyFont="1" applyFill="1" applyBorder="1" applyAlignment="1" applyProtection="1">
      <alignment horizontal="center" vertical="center"/>
      <protection hidden="1"/>
    </xf>
    <xf numFmtId="180" fontId="9" fillId="0" borderId="107" xfId="46" applyNumberFormat="1" applyFont="1" applyFill="1" applyBorder="1" applyAlignment="1" applyProtection="1">
      <alignment horizontal="center" vertical="center"/>
      <protection hidden="1"/>
    </xf>
    <xf numFmtId="0" fontId="13" fillId="0" borderId="10" xfId="46" applyFont="1" applyFill="1" applyBorder="1" applyAlignment="1" applyProtection="1">
      <alignment horizontal="center" vertical="center"/>
      <protection locked="0"/>
    </xf>
    <xf numFmtId="0" fontId="13" fillId="0" borderId="31" xfId="46" applyFont="1" applyFill="1" applyBorder="1" applyAlignment="1" applyProtection="1">
      <alignment horizontal="center" vertical="center"/>
      <protection locked="0"/>
    </xf>
    <xf numFmtId="0" fontId="13" fillId="0" borderId="56" xfId="46" applyFont="1" applyFill="1" applyBorder="1" applyAlignment="1" applyProtection="1">
      <alignment horizontal="center" vertical="center"/>
      <protection locked="0"/>
    </xf>
    <xf numFmtId="0" fontId="13" fillId="0" borderId="25" xfId="46" applyFont="1" applyFill="1" applyBorder="1" applyAlignment="1" applyProtection="1">
      <alignment horizontal="center" vertical="center"/>
      <protection locked="0"/>
    </xf>
    <xf numFmtId="0" fontId="13" fillId="0" borderId="31" xfId="46" applyFont="1" applyFill="1" applyBorder="1" applyAlignment="1">
      <alignment horizontal="center" vertical="center"/>
    </xf>
    <xf numFmtId="0" fontId="13" fillId="0" borderId="56" xfId="46" applyFont="1" applyFill="1" applyBorder="1" applyAlignment="1">
      <alignment horizontal="center" vertical="center"/>
    </xf>
    <xf numFmtId="0" fontId="13" fillId="0" borderId="25" xfId="46" applyFont="1" applyFill="1" applyBorder="1" applyAlignment="1">
      <alignment horizontal="center" vertical="center"/>
    </xf>
    <xf numFmtId="0" fontId="34" fillId="0" borderId="0" xfId="46" applyFont="1" applyFill="1" applyAlignment="1">
      <alignment horizontal="center" vertical="center"/>
    </xf>
    <xf numFmtId="0" fontId="35" fillId="0" borderId="0" xfId="46" applyFill="1" applyAlignment="1">
      <alignment vertical="center"/>
    </xf>
    <xf numFmtId="0" fontId="13" fillId="0" borderId="31" xfId="46" applyFont="1" applyFill="1" applyBorder="1" applyAlignment="1" applyProtection="1">
      <alignment horizontal="left" vertical="center" wrapText="1"/>
      <protection locked="0"/>
    </xf>
    <xf numFmtId="0" fontId="13" fillId="0" borderId="56" xfId="46" applyFont="1" applyFill="1" applyBorder="1" applyAlignment="1" applyProtection="1">
      <alignment horizontal="left" vertical="center" wrapText="1"/>
      <protection locked="0"/>
    </xf>
    <xf numFmtId="0" fontId="13" fillId="0" borderId="25" xfId="46" applyFont="1" applyFill="1" applyBorder="1" applyAlignment="1" applyProtection="1">
      <alignment horizontal="left" vertical="center" wrapText="1"/>
      <protection locked="0"/>
    </xf>
    <xf numFmtId="0" fontId="13" fillId="0" borderId="150" xfId="46" applyFont="1" applyFill="1" applyBorder="1" applyAlignment="1">
      <alignment horizontal="center" vertical="center"/>
    </xf>
    <xf numFmtId="0" fontId="13" fillId="0" borderId="151" xfId="46" applyFont="1" applyFill="1" applyBorder="1" applyAlignment="1">
      <alignment horizontal="center" vertical="center"/>
    </xf>
    <xf numFmtId="0" fontId="13" fillId="0" borderId="10" xfId="46" applyFont="1" applyFill="1" applyBorder="1" applyAlignment="1">
      <alignment horizontal="center" vertical="center"/>
    </xf>
    <xf numFmtId="0" fontId="13" fillId="26" borderId="151" xfId="46" applyFont="1" applyFill="1" applyBorder="1" applyAlignment="1" applyProtection="1">
      <alignment vertical="center"/>
      <protection locked="0"/>
    </xf>
    <xf numFmtId="0" fontId="13" fillId="26" borderId="152" xfId="46" applyFont="1" applyFill="1" applyBorder="1" applyAlignment="1" applyProtection="1">
      <alignment vertical="center"/>
      <protection locked="0"/>
    </xf>
    <xf numFmtId="180" fontId="98" fillId="0" borderId="161" xfId="34" applyNumberFormat="1" applyFont="1" applyFill="1" applyBorder="1" applyAlignment="1" applyProtection="1">
      <alignment horizontal="center" vertical="center"/>
      <protection hidden="1"/>
    </xf>
    <xf numFmtId="180" fontId="98" fillId="0" borderId="162" xfId="34" applyNumberFormat="1" applyFont="1" applyFill="1" applyBorder="1" applyAlignment="1" applyProtection="1">
      <alignment horizontal="center" vertical="center"/>
      <protection hidden="1"/>
    </xf>
    <xf numFmtId="180" fontId="98" fillId="0" borderId="99" xfId="34" applyNumberFormat="1" applyFont="1" applyFill="1" applyBorder="1" applyAlignment="1" applyProtection="1">
      <alignment horizontal="center" vertical="center"/>
      <protection hidden="1"/>
    </xf>
    <xf numFmtId="180" fontId="98" fillId="0" borderId="98" xfId="34" applyNumberFormat="1" applyFont="1" applyFill="1" applyBorder="1" applyAlignment="1" applyProtection="1">
      <alignment horizontal="center" vertical="center"/>
      <protection hidden="1"/>
    </xf>
    <xf numFmtId="0" fontId="13" fillId="27" borderId="137" xfId="46" applyFont="1" applyFill="1" applyBorder="1" applyAlignment="1">
      <alignment horizontal="center" vertical="center"/>
    </xf>
    <xf numFmtId="0" fontId="13" fillId="27" borderId="138" xfId="46" applyFont="1" applyFill="1" applyBorder="1" applyAlignment="1">
      <alignment horizontal="center" vertical="center"/>
    </xf>
    <xf numFmtId="0" fontId="13" fillId="27" borderId="139" xfId="46" applyFont="1" applyFill="1" applyBorder="1" applyAlignment="1">
      <alignment horizontal="center" vertical="center"/>
    </xf>
    <xf numFmtId="56" fontId="13" fillId="0" borderId="10" xfId="46" applyNumberFormat="1" applyFont="1" applyFill="1" applyBorder="1" applyAlignment="1" applyProtection="1">
      <alignment horizontal="center" vertical="center"/>
      <protection locked="0"/>
    </xf>
    <xf numFmtId="38" fontId="36" fillId="0" borderId="200" xfId="34" applyFont="1" applyFill="1" applyBorder="1" applyAlignment="1" applyProtection="1">
      <alignment vertical="center"/>
      <protection hidden="1"/>
    </xf>
    <xf numFmtId="38" fontId="36" fillId="0" borderId="201" xfId="34" applyFont="1" applyFill="1" applyBorder="1" applyAlignment="1" applyProtection="1">
      <alignment vertical="center"/>
      <protection hidden="1"/>
    </xf>
    <xf numFmtId="38" fontId="36" fillId="0" borderId="202" xfId="34" applyFont="1" applyFill="1" applyBorder="1" applyAlignment="1" applyProtection="1">
      <alignment vertical="center"/>
      <protection hidden="1"/>
    </xf>
    <xf numFmtId="199" fontId="97" fillId="43" borderId="200" xfId="34" applyNumberFormat="1" applyFont="1" applyFill="1" applyBorder="1" applyAlignment="1">
      <alignment horizontal="center" vertical="center"/>
    </xf>
    <xf numFmtId="199" fontId="97" fillId="43" borderId="201" xfId="34" applyNumberFormat="1" applyFont="1" applyFill="1" applyBorder="1" applyAlignment="1">
      <alignment horizontal="center" vertical="center"/>
    </xf>
    <xf numFmtId="199" fontId="97" fillId="43" borderId="202" xfId="34" applyNumberFormat="1" applyFont="1" applyFill="1" applyBorder="1" applyAlignment="1">
      <alignment horizontal="center" vertical="center"/>
    </xf>
    <xf numFmtId="0" fontId="9" fillId="0" borderId="145" xfId="46" applyFont="1" applyFill="1" applyBorder="1" applyAlignment="1" applyProtection="1">
      <alignment horizontal="center" vertical="center"/>
      <protection locked="0"/>
    </xf>
    <xf numFmtId="180" fontId="9" fillId="0" borderId="86" xfId="46" applyNumberFormat="1" applyFont="1" applyFill="1" applyBorder="1" applyAlignment="1" applyProtection="1">
      <alignment horizontal="center" vertical="center"/>
      <protection hidden="1"/>
    </xf>
    <xf numFmtId="180" fontId="9" fillId="0" borderId="104" xfId="46" applyNumberFormat="1" applyFont="1" applyFill="1" applyBorder="1" applyAlignment="1" applyProtection="1">
      <alignment horizontal="center" vertical="center"/>
      <protection hidden="1"/>
    </xf>
    <xf numFmtId="0" fontId="55" fillId="43" borderId="154" xfId="46" applyFont="1" applyFill="1" applyBorder="1" applyAlignment="1">
      <alignment horizontal="center" vertical="center"/>
    </xf>
    <xf numFmtId="0" fontId="55" fillId="43" borderId="163" xfId="46" applyFont="1" applyFill="1" applyBorder="1" applyAlignment="1">
      <alignment horizontal="center" vertical="center"/>
    </xf>
    <xf numFmtId="0" fontId="95" fillId="43" borderId="37" xfId="46" applyFont="1" applyFill="1" applyBorder="1" applyAlignment="1">
      <alignment horizontal="center" vertical="center"/>
    </xf>
    <xf numFmtId="0" fontId="95" fillId="43" borderId="32" xfId="46" applyFont="1" applyFill="1" applyBorder="1" applyAlignment="1">
      <alignment horizontal="center" vertical="center"/>
    </xf>
    <xf numFmtId="201" fontId="9" fillId="0" borderId="72" xfId="46" applyNumberFormat="1" applyFont="1" applyFill="1" applyBorder="1" applyAlignment="1" applyProtection="1">
      <alignment horizontal="center" vertical="center"/>
      <protection hidden="1"/>
    </xf>
    <xf numFmtId="201" fontId="9" fillId="0" borderId="66" xfId="46" applyNumberFormat="1" applyFont="1" applyFill="1" applyBorder="1" applyAlignment="1" applyProtection="1">
      <alignment horizontal="center" vertical="center"/>
      <protection hidden="1"/>
    </xf>
    <xf numFmtId="201" fontId="9" fillId="0" borderId="112" xfId="46" applyNumberFormat="1" applyFont="1" applyFill="1" applyBorder="1" applyAlignment="1" applyProtection="1">
      <alignment horizontal="center" vertical="center"/>
      <protection hidden="1"/>
    </xf>
    <xf numFmtId="199" fontId="98" fillId="0" borderId="146" xfId="34" applyNumberFormat="1" applyFont="1" applyFill="1" applyBorder="1" applyAlignment="1" applyProtection="1">
      <alignment horizontal="center" vertical="center"/>
      <protection hidden="1"/>
    </xf>
    <xf numFmtId="177" fontId="98" fillId="0" borderId="148" xfId="46" applyNumberFormat="1" applyFont="1" applyFill="1" applyBorder="1" applyAlignment="1" applyProtection="1">
      <alignment horizontal="center" vertical="center"/>
      <protection hidden="1"/>
    </xf>
    <xf numFmtId="177" fontId="98" fillId="0" borderId="149" xfId="46" applyNumberFormat="1" applyFont="1" applyFill="1" applyBorder="1" applyAlignment="1" applyProtection="1">
      <alignment horizontal="center" vertical="center"/>
      <protection hidden="1"/>
    </xf>
    <xf numFmtId="0" fontId="55" fillId="43" borderId="153" xfId="46" applyFont="1" applyFill="1" applyBorder="1" applyAlignment="1">
      <alignment horizontal="center" vertical="center"/>
    </xf>
    <xf numFmtId="0" fontId="13" fillId="0" borderId="140" xfId="46" applyFont="1" applyFill="1" applyBorder="1" applyAlignment="1">
      <alignment horizontal="center" vertical="center"/>
    </xf>
    <xf numFmtId="0" fontId="13" fillId="0" borderId="141" xfId="46" applyFont="1" applyFill="1" applyBorder="1" applyAlignment="1">
      <alignment horizontal="center" vertical="center"/>
    </xf>
    <xf numFmtId="201" fontId="9" fillId="0" borderId="92" xfId="46" applyNumberFormat="1" applyFont="1" applyFill="1" applyBorder="1" applyAlignment="1" applyProtection="1">
      <alignment horizontal="center" vertical="center"/>
      <protection hidden="1"/>
    </xf>
    <xf numFmtId="201" fontId="9" fillId="0" borderId="76" xfId="46" applyNumberFormat="1" applyFont="1" applyFill="1" applyBorder="1" applyAlignment="1" applyProtection="1">
      <alignment horizontal="center" vertical="center"/>
      <protection hidden="1"/>
    </xf>
    <xf numFmtId="201" fontId="9" fillId="0" borderId="87" xfId="46" applyNumberFormat="1" applyFont="1" applyFill="1" applyBorder="1" applyAlignment="1" applyProtection="1">
      <alignment horizontal="center" vertical="center"/>
      <protection hidden="1"/>
    </xf>
    <xf numFmtId="199" fontId="9" fillId="0" borderId="106" xfId="46" applyNumberFormat="1" applyFont="1" applyFill="1" applyBorder="1" applyAlignment="1" applyProtection="1">
      <alignment horizontal="center" vertical="center"/>
      <protection hidden="1"/>
    </xf>
    <xf numFmtId="199" fontId="9" fillId="0" borderId="90" xfId="46" applyNumberFormat="1" applyFont="1" applyFill="1" applyBorder="1" applyAlignment="1" applyProtection="1">
      <alignment horizontal="center" vertical="center"/>
      <protection hidden="1"/>
    </xf>
    <xf numFmtId="38" fontId="13" fillId="0" borderId="10" xfId="34" applyFont="1" applyFill="1" applyBorder="1" applyAlignment="1" applyProtection="1">
      <alignment horizontal="center" vertical="center"/>
      <protection hidden="1"/>
    </xf>
    <xf numFmtId="0" fontId="13" fillId="0" borderId="143" xfId="46" applyFont="1" applyFill="1" applyBorder="1" applyAlignment="1">
      <alignment horizontal="center" vertical="center"/>
    </xf>
    <xf numFmtId="0" fontId="13" fillId="0" borderId="60" xfId="46" applyFont="1" applyFill="1" applyBorder="1" applyAlignment="1">
      <alignment horizontal="center" vertical="center"/>
    </xf>
    <xf numFmtId="0" fontId="13" fillId="0" borderId="144" xfId="46" applyFont="1" applyFill="1" applyBorder="1" applyAlignment="1">
      <alignment horizontal="center" vertical="center"/>
    </xf>
    <xf numFmtId="0" fontId="13" fillId="0" borderId="142" xfId="46" applyFont="1" applyFill="1" applyBorder="1" applyAlignment="1">
      <alignment horizontal="center" vertical="center"/>
    </xf>
    <xf numFmtId="197" fontId="9" fillId="0" borderId="90" xfId="46" applyNumberFormat="1" applyFont="1" applyFill="1" applyBorder="1" applyAlignment="1" applyProtection="1">
      <alignment horizontal="center" vertical="center"/>
      <protection hidden="1"/>
    </xf>
    <xf numFmtId="197" fontId="9" fillId="0" borderId="107" xfId="46" applyNumberFormat="1" applyFont="1" applyFill="1" applyBorder="1" applyAlignment="1" applyProtection="1">
      <alignment horizontal="center" vertical="center"/>
      <protection hidden="1"/>
    </xf>
    <xf numFmtId="0" fontId="13" fillId="26" borderId="60" xfId="46" applyFont="1" applyFill="1" applyBorder="1" applyAlignment="1" applyProtection="1">
      <alignment vertical="center"/>
      <protection locked="0"/>
    </xf>
    <xf numFmtId="0" fontId="13" fillId="26" borderId="142" xfId="46" applyFont="1" applyFill="1" applyBorder="1" applyAlignment="1" applyProtection="1">
      <alignment vertical="center"/>
      <protection locked="0"/>
    </xf>
    <xf numFmtId="0" fontId="9" fillId="0" borderId="103" xfId="46" applyFont="1" applyFill="1" applyBorder="1" applyAlignment="1" applyProtection="1">
      <alignment horizontal="center" vertical="center"/>
      <protection locked="0"/>
    </xf>
    <xf numFmtId="180" fontId="9" fillId="0" borderId="146" xfId="46" applyNumberFormat="1" applyFont="1" applyFill="1" applyBorder="1" applyAlignment="1" applyProtection="1">
      <alignment horizontal="center" vertical="center"/>
      <protection hidden="1"/>
    </xf>
    <xf numFmtId="180" fontId="9" fillId="0" borderId="147" xfId="46" applyNumberFormat="1" applyFont="1" applyFill="1" applyBorder="1" applyAlignment="1" applyProtection="1">
      <alignment horizontal="center" vertical="center"/>
      <protection hidden="1"/>
    </xf>
    <xf numFmtId="180" fontId="9" fillId="0" borderId="91" xfId="46" applyNumberFormat="1" applyFont="1" applyFill="1" applyBorder="1" applyAlignment="1" applyProtection="1">
      <alignment horizontal="center" vertical="center"/>
      <protection hidden="1"/>
    </xf>
    <xf numFmtId="180" fontId="9" fillId="0" borderId="106" xfId="46" applyNumberFormat="1" applyFont="1" applyFill="1" applyBorder="1" applyAlignment="1" applyProtection="1">
      <alignment horizontal="center" vertical="center"/>
      <protection hidden="1"/>
    </xf>
    <xf numFmtId="180" fontId="0" fillId="0" borderId="90" xfId="0" applyNumberFormat="1" applyBorder="1" applyAlignment="1" applyProtection="1">
      <alignment horizontal="center" vertical="center"/>
      <protection hidden="1"/>
    </xf>
    <xf numFmtId="194" fontId="9" fillId="0" borderId="135" xfId="46" applyNumberFormat="1" applyFont="1" applyFill="1" applyBorder="1" applyAlignment="1" applyProtection="1">
      <alignment horizontal="left" vertical="center" shrinkToFit="1"/>
      <protection locked="0"/>
    </xf>
    <xf numFmtId="194" fontId="9" fillId="0" borderId="66" xfId="46" applyNumberFormat="1" applyFont="1" applyFill="1" applyBorder="1" applyAlignment="1" applyProtection="1">
      <alignment horizontal="left" vertical="center" shrinkToFit="1"/>
      <protection locked="0"/>
    </xf>
    <xf numFmtId="194" fontId="9" fillId="0" borderId="65" xfId="46" applyNumberFormat="1" applyFont="1" applyFill="1" applyBorder="1" applyAlignment="1" applyProtection="1">
      <alignment horizontal="left" vertical="center" shrinkToFit="1"/>
      <protection locked="0"/>
    </xf>
    <xf numFmtId="0" fontId="9" fillId="27" borderId="135" xfId="46" applyFont="1" applyFill="1" applyBorder="1" applyAlignment="1">
      <alignment horizontal="distributed" vertical="center"/>
    </xf>
    <xf numFmtId="0" fontId="9" fillId="27" borderId="66" xfId="46" applyFont="1" applyFill="1" applyBorder="1" applyAlignment="1">
      <alignment horizontal="distributed" vertical="center"/>
    </xf>
    <xf numFmtId="0" fontId="9" fillId="27" borderId="65" xfId="46" applyFont="1" applyFill="1" applyBorder="1" applyAlignment="1">
      <alignment horizontal="distributed" vertical="center"/>
    </xf>
    <xf numFmtId="194" fontId="9" fillId="0" borderId="112" xfId="46" applyNumberFormat="1" applyFont="1" applyFill="1" applyBorder="1" applyAlignment="1" applyProtection="1">
      <alignment horizontal="left" vertical="center" shrinkToFit="1"/>
      <protection locked="0"/>
    </xf>
    <xf numFmtId="194" fontId="9" fillId="0" borderId="28" xfId="46" applyNumberFormat="1" applyFont="1" applyFill="1" applyBorder="1" applyAlignment="1" applyProtection="1">
      <alignment horizontal="left" vertical="center" shrinkToFit="1"/>
      <protection locked="0"/>
    </xf>
    <xf numFmtId="194" fontId="9" fillId="0" borderId="64" xfId="46" applyNumberFormat="1" applyFont="1" applyFill="1" applyBorder="1" applyAlignment="1" applyProtection="1">
      <alignment horizontal="left" vertical="center" shrinkToFit="1"/>
      <protection locked="0"/>
    </xf>
    <xf numFmtId="0" fontId="9" fillId="0" borderId="31" xfId="46" applyFont="1" applyFill="1" applyBorder="1" applyAlignment="1">
      <alignment horizontal="center" vertical="center"/>
    </xf>
    <xf numFmtId="0" fontId="9" fillId="0" borderId="56" xfId="46" applyFont="1" applyFill="1" applyBorder="1" applyAlignment="1">
      <alignment horizontal="center" vertical="center"/>
    </xf>
    <xf numFmtId="0" fontId="9" fillId="0" borderId="25" xfId="46" applyFont="1" applyFill="1" applyBorder="1" applyAlignment="1">
      <alignment horizontal="center" vertical="center"/>
    </xf>
    <xf numFmtId="0" fontId="9" fillId="0" borderId="136" xfId="46" applyFont="1" applyFill="1" applyBorder="1" applyAlignment="1" applyProtection="1">
      <alignment horizontal="center" vertical="center" wrapText="1"/>
      <protection hidden="1"/>
    </xf>
    <xf numFmtId="205" fontId="53" fillId="0" borderId="64" xfId="0" applyNumberFormat="1" applyFont="1" applyBorder="1" applyAlignment="1" applyProtection="1">
      <alignment horizontal="center" vertical="center"/>
      <protection locked="0"/>
    </xf>
    <xf numFmtId="205" fontId="53" fillId="0" borderId="112" xfId="0" applyNumberFormat="1" applyFont="1" applyBorder="1" applyAlignment="1" applyProtection="1">
      <alignment horizontal="center" vertical="center"/>
      <protection locked="0"/>
    </xf>
    <xf numFmtId="0" fontId="9" fillId="27" borderId="31" xfId="46" applyFont="1" applyFill="1" applyBorder="1" applyAlignment="1">
      <alignment horizontal="center" vertical="center"/>
    </xf>
    <xf numFmtId="0" fontId="9" fillId="27" borderId="56" xfId="46" applyFont="1" applyFill="1" applyBorder="1" applyAlignment="1">
      <alignment horizontal="center" vertical="center"/>
    </xf>
    <xf numFmtId="0" fontId="9" fillId="27" borderId="157" xfId="46" applyFont="1" applyFill="1" applyBorder="1" applyAlignment="1">
      <alignment horizontal="center" vertical="center"/>
    </xf>
    <xf numFmtId="0" fontId="9" fillId="27" borderId="31" xfId="46" applyFont="1" applyFill="1" applyBorder="1" applyAlignment="1">
      <alignment horizontal="center" vertical="center" shrinkToFit="1"/>
    </xf>
    <xf numFmtId="0" fontId="9" fillId="27" borderId="56" xfId="46" applyFont="1" applyFill="1" applyBorder="1" applyAlignment="1">
      <alignment horizontal="center" vertical="center" shrinkToFit="1"/>
    </xf>
    <xf numFmtId="0" fontId="9" fillId="27" borderId="157" xfId="46" applyFont="1" applyFill="1" applyBorder="1" applyAlignment="1">
      <alignment horizontal="center" vertical="center" shrinkToFit="1"/>
    </xf>
    <xf numFmtId="194" fontId="9" fillId="0" borderId="28" xfId="46" applyNumberFormat="1" applyFont="1" applyFill="1" applyBorder="1" applyAlignment="1" applyProtection="1">
      <alignment horizontal="left" vertical="center"/>
      <protection locked="0"/>
    </xf>
    <xf numFmtId="194" fontId="9" fillId="0" borderId="64" xfId="46" applyNumberFormat="1" applyFont="1" applyFill="1" applyBorder="1" applyAlignment="1" applyProtection="1">
      <alignment horizontal="left" vertical="center"/>
      <protection locked="0"/>
    </xf>
    <xf numFmtId="49" fontId="13" fillId="0" borderId="158" xfId="44" applyNumberFormat="1" applyFont="1" applyFill="1" applyBorder="1" applyAlignment="1" applyProtection="1">
      <alignment vertical="center" wrapText="1"/>
      <protection locked="0"/>
    </xf>
    <xf numFmtId="0" fontId="13" fillId="0" borderId="56" xfId="44" applyNumberFormat="1" applyFont="1" applyFill="1" applyBorder="1" applyAlignment="1" applyProtection="1">
      <alignment vertical="center" wrapText="1"/>
      <protection locked="0"/>
    </xf>
    <xf numFmtId="198" fontId="9" fillId="0" borderId="158" xfId="46" applyNumberFormat="1" applyFont="1" applyFill="1" applyBorder="1" applyAlignment="1" applyProtection="1">
      <alignment horizontal="center" vertical="center"/>
      <protection locked="0"/>
    </xf>
    <xf numFmtId="198" fontId="9" fillId="0" borderId="56" xfId="46" applyNumberFormat="1" applyFont="1" applyFill="1" applyBorder="1" applyAlignment="1" applyProtection="1">
      <alignment horizontal="center" vertical="center"/>
      <protection locked="0"/>
    </xf>
    <xf numFmtId="198" fontId="9" fillId="0" borderId="25" xfId="46" applyNumberFormat="1" applyFont="1" applyFill="1" applyBorder="1" applyAlignment="1" applyProtection="1">
      <alignment horizontal="center" vertical="center"/>
      <protection locked="0"/>
    </xf>
    <xf numFmtId="198" fontId="9" fillId="27" borderId="31" xfId="46" applyNumberFormat="1" applyFont="1" applyFill="1" applyBorder="1" applyAlignment="1">
      <alignment horizontal="center" vertical="center" shrinkToFit="1"/>
    </xf>
    <xf numFmtId="198" fontId="9" fillId="27" borderId="56" xfId="46" applyNumberFormat="1" applyFont="1" applyFill="1" applyBorder="1" applyAlignment="1">
      <alignment horizontal="center" vertical="center" shrinkToFit="1"/>
    </xf>
    <xf numFmtId="198" fontId="9" fillId="27" borderId="157" xfId="46" applyNumberFormat="1" applyFont="1" applyFill="1" applyBorder="1" applyAlignment="1">
      <alignment horizontal="center" vertical="center" shrinkToFit="1"/>
    </xf>
    <xf numFmtId="0" fontId="9" fillId="0" borderId="158" xfId="46" applyFont="1" applyFill="1" applyBorder="1" applyAlignment="1" applyProtection="1">
      <alignment horizontal="center" vertical="center"/>
      <protection locked="0"/>
    </xf>
    <xf numFmtId="0" fontId="9" fillId="0" borderId="56" xfId="46" applyFont="1" applyFill="1" applyBorder="1" applyAlignment="1" applyProtection="1">
      <alignment horizontal="center" vertical="center"/>
      <protection locked="0"/>
    </xf>
    <xf numFmtId="0" fontId="9" fillId="0" borderId="25" xfId="46" applyFont="1" applyFill="1" applyBorder="1" applyAlignment="1" applyProtection="1">
      <alignment horizontal="center" vertical="center"/>
      <protection locked="0"/>
    </xf>
    <xf numFmtId="0" fontId="9" fillId="27" borderId="92" xfId="46" applyFont="1" applyFill="1" applyBorder="1" applyAlignment="1">
      <alignment horizontal="distributed" vertical="center"/>
    </xf>
    <xf numFmtId="0" fontId="9" fillId="27" borderId="76" xfId="46" applyFont="1" applyFill="1" applyBorder="1" applyAlignment="1">
      <alignment horizontal="distributed" vertical="center"/>
    </xf>
    <xf numFmtId="0" fontId="9" fillId="27" borderId="159" xfId="46" applyFont="1" applyFill="1" applyBorder="1" applyAlignment="1">
      <alignment horizontal="distributed" vertical="center"/>
    </xf>
    <xf numFmtId="194" fontId="9" fillId="0" borderId="76" xfId="46" applyNumberFormat="1" applyFont="1" applyFill="1" applyBorder="1" applyAlignment="1" applyProtection="1">
      <alignment horizontal="left" vertical="center"/>
      <protection locked="0"/>
    </xf>
    <xf numFmtId="194" fontId="9" fillId="0" borderId="87" xfId="46" applyNumberFormat="1" applyFont="1" applyFill="1" applyBorder="1" applyAlignment="1" applyProtection="1">
      <alignment horizontal="left" vertical="center"/>
      <protection locked="0"/>
    </xf>
    <xf numFmtId="0" fontId="9" fillId="27" borderId="88" xfId="46" applyFont="1" applyFill="1" applyBorder="1" applyAlignment="1">
      <alignment horizontal="distributed" vertical="center"/>
    </xf>
    <xf numFmtId="0" fontId="9" fillId="27" borderId="28" xfId="46" applyFont="1" applyFill="1" applyBorder="1" applyAlignment="1">
      <alignment horizontal="distributed" vertical="center"/>
    </xf>
    <xf numFmtId="0" fontId="9" fillId="27" borderId="27" xfId="46" applyFont="1" applyFill="1" applyBorder="1" applyAlignment="1">
      <alignment horizontal="distributed" vertical="center"/>
    </xf>
    <xf numFmtId="0" fontId="9" fillId="27" borderId="39" xfId="46" applyFont="1" applyFill="1" applyBorder="1" applyAlignment="1">
      <alignment vertical="center"/>
    </xf>
    <xf numFmtId="0" fontId="9" fillId="27" borderId="60" xfId="46" applyFont="1" applyFill="1" applyBorder="1" applyAlignment="1">
      <alignment vertical="center"/>
    </xf>
    <xf numFmtId="0" fontId="9" fillId="27" borderId="82" xfId="46" applyFont="1" applyFill="1" applyBorder="1" applyAlignment="1">
      <alignment vertical="center"/>
    </xf>
    <xf numFmtId="0" fontId="9" fillId="27" borderId="42" xfId="46" applyFont="1" applyFill="1" applyBorder="1" applyAlignment="1">
      <alignment vertical="center"/>
    </xf>
    <xf numFmtId="0" fontId="9" fillId="27" borderId="41" xfId="46" applyFont="1" applyFill="1" applyBorder="1" applyAlignment="1">
      <alignment vertical="center"/>
    </xf>
    <xf numFmtId="0" fontId="9" fillId="27" borderId="26" xfId="46" applyFont="1" applyFill="1" applyBorder="1" applyAlignment="1">
      <alignment vertical="center"/>
    </xf>
    <xf numFmtId="0" fontId="0" fillId="0" borderId="136" xfId="0" applyBorder="1" applyAlignment="1" applyProtection="1">
      <alignment horizontal="center" vertical="center" wrapText="1"/>
      <protection hidden="1"/>
    </xf>
    <xf numFmtId="0" fontId="9" fillId="0" borderId="105" xfId="46" applyFont="1" applyFill="1" applyBorder="1" applyAlignment="1">
      <alignment horizontal="center" vertical="center" wrapText="1"/>
    </xf>
    <xf numFmtId="0" fontId="9" fillId="0" borderId="136" xfId="46" applyFont="1" applyFill="1" applyBorder="1" applyAlignment="1">
      <alignment horizontal="center" vertical="center"/>
    </xf>
    <xf numFmtId="205" fontId="53" fillId="0" borderId="72" xfId="46" applyNumberFormat="1" applyFont="1" applyFill="1" applyBorder="1" applyAlignment="1" applyProtection="1">
      <alignment horizontal="center" vertical="center"/>
      <protection locked="0"/>
    </xf>
    <xf numFmtId="0" fontId="9" fillId="0" borderId="83" xfId="46" applyFont="1" applyFill="1" applyBorder="1" applyAlignment="1">
      <alignment horizontal="center" vertical="center"/>
    </xf>
    <xf numFmtId="0" fontId="9" fillId="0" borderId="105" xfId="46" applyFont="1" applyFill="1" applyBorder="1" applyAlignment="1">
      <alignment horizontal="center" vertical="center"/>
    </xf>
    <xf numFmtId="205" fontId="53" fillId="0" borderId="88" xfId="46" applyNumberFormat="1" applyFont="1" applyFill="1" applyBorder="1" applyAlignment="1" applyProtection="1">
      <alignment horizontal="center" vertical="center"/>
      <protection locked="0"/>
    </xf>
    <xf numFmtId="0" fontId="13" fillId="43" borderId="51" xfId="46" applyFont="1" applyFill="1" applyBorder="1" applyAlignment="1">
      <alignment horizontal="center" vertical="center"/>
    </xf>
    <xf numFmtId="0" fontId="13" fillId="43" borderId="24" xfId="46" applyFont="1" applyFill="1" applyBorder="1" applyAlignment="1">
      <alignment horizontal="center" vertical="center"/>
    </xf>
    <xf numFmtId="199" fontId="98" fillId="0" borderId="63" xfId="34" applyNumberFormat="1" applyFont="1" applyFill="1" applyBorder="1" applyAlignment="1" applyProtection="1">
      <alignment horizontal="center" vertical="center"/>
      <protection hidden="1"/>
    </xf>
    <xf numFmtId="0" fontId="55" fillId="43" borderId="155" xfId="46" applyFont="1" applyFill="1" applyBorder="1" applyAlignment="1">
      <alignment horizontal="center" vertical="center" wrapText="1" shrinkToFit="1"/>
    </xf>
    <xf numFmtId="0" fontId="55" fillId="43" borderId="155" xfId="46" applyFont="1" applyFill="1" applyBorder="1" applyAlignment="1">
      <alignment horizontal="center" vertical="center" shrinkToFit="1"/>
    </xf>
    <xf numFmtId="0" fontId="55" fillId="43" borderId="156" xfId="46" applyFont="1" applyFill="1" applyBorder="1" applyAlignment="1">
      <alignment horizontal="center" vertical="center" wrapText="1" shrinkToFit="1"/>
    </xf>
    <xf numFmtId="193" fontId="63" fillId="0" borderId="36" xfId="46" applyNumberFormat="1" applyFont="1" applyFill="1" applyBorder="1" applyAlignment="1" applyProtection="1">
      <alignment horizontal="center" vertical="center"/>
      <protection hidden="1"/>
    </xf>
    <xf numFmtId="193" fontId="63" fillId="0" borderId="82" xfId="46" applyNumberFormat="1" applyFont="1" applyFill="1" applyBorder="1" applyAlignment="1" applyProtection="1">
      <alignment horizontal="center" vertical="center"/>
      <protection hidden="1"/>
    </xf>
    <xf numFmtId="193" fontId="63" fillId="0" borderId="53" xfId="46" applyNumberFormat="1" applyFont="1" applyFill="1" applyBorder="1" applyAlignment="1" applyProtection="1">
      <alignment horizontal="center" vertical="center"/>
      <protection hidden="1"/>
    </xf>
    <xf numFmtId="193" fontId="63" fillId="0" borderId="54" xfId="46" applyNumberFormat="1" applyFont="1" applyFill="1" applyBorder="1" applyAlignment="1" applyProtection="1">
      <alignment horizontal="center" vertical="center"/>
      <protection hidden="1"/>
    </xf>
    <xf numFmtId="0" fontId="9" fillId="43" borderId="37" xfId="46" applyFont="1" applyFill="1" applyBorder="1" applyAlignment="1">
      <alignment horizontal="center" vertical="center" wrapText="1"/>
    </xf>
    <xf numFmtId="0" fontId="9" fillId="43" borderId="32" xfId="46" applyFont="1" applyFill="1" applyBorder="1" applyAlignment="1">
      <alignment horizontal="center" vertical="center"/>
    </xf>
    <xf numFmtId="0" fontId="9" fillId="43" borderId="24" xfId="46" applyFont="1" applyFill="1" applyBorder="1" applyAlignment="1">
      <alignment horizontal="center" vertical="center"/>
    </xf>
    <xf numFmtId="0" fontId="9" fillId="27" borderId="157" xfId="46" applyFont="1" applyFill="1" applyBorder="1" applyAlignment="1">
      <alignment vertical="center"/>
    </xf>
    <xf numFmtId="194" fontId="9" fillId="0" borderId="158" xfId="46" applyNumberFormat="1" applyFont="1" applyFill="1" applyBorder="1" applyAlignment="1" applyProtection="1">
      <alignment vertical="center"/>
      <protection locked="0"/>
    </xf>
    <xf numFmtId="194" fontId="9" fillId="0" borderId="56" xfId="46" applyNumberFormat="1" applyFont="1" applyFill="1" applyBorder="1" applyAlignment="1" applyProtection="1">
      <alignment vertical="center"/>
      <protection locked="0"/>
    </xf>
    <xf numFmtId="194" fontId="9" fillId="0" borderId="25" xfId="46" applyNumberFormat="1" applyFont="1" applyFill="1" applyBorder="1" applyAlignment="1" applyProtection="1">
      <alignment vertical="center"/>
      <protection locked="0"/>
    </xf>
    <xf numFmtId="194" fontId="9" fillId="0" borderId="31" xfId="46" applyNumberFormat="1" applyFont="1" applyFill="1" applyBorder="1" applyAlignment="1" applyProtection="1">
      <alignment vertical="center"/>
      <protection locked="0"/>
    </xf>
    <xf numFmtId="0" fontId="23" fillId="0" borderId="145" xfId="46" applyFont="1" applyFill="1" applyBorder="1" applyAlignment="1" applyProtection="1">
      <alignment vertical="center" wrapText="1" shrinkToFit="1"/>
      <protection hidden="1"/>
    </xf>
    <xf numFmtId="200" fontId="63" fillId="0" borderId="88" xfId="46" applyNumberFormat="1" applyFont="1" applyFill="1" applyBorder="1" applyAlignment="1" applyProtection="1">
      <alignment horizontal="center" vertical="center"/>
      <protection hidden="1"/>
    </xf>
    <xf numFmtId="200" fontId="63" fillId="0" borderId="28" xfId="46" applyNumberFormat="1" applyFont="1" applyFill="1" applyBorder="1" applyAlignment="1" applyProtection="1">
      <alignment horizontal="center" vertical="center"/>
      <protection hidden="1"/>
    </xf>
    <xf numFmtId="200" fontId="63" fillId="0" borderId="64" xfId="46" applyNumberFormat="1" applyFont="1" applyFill="1" applyBorder="1" applyAlignment="1" applyProtection="1">
      <alignment horizontal="center" vertical="center"/>
      <protection hidden="1"/>
    </xf>
    <xf numFmtId="180" fontId="63" fillId="0" borderId="102" xfId="34" applyNumberFormat="1" applyFont="1" applyFill="1" applyBorder="1" applyAlignment="1" applyProtection="1">
      <alignment horizontal="center" vertical="center"/>
      <protection hidden="1"/>
    </xf>
    <xf numFmtId="180" fontId="63" fillId="0" borderId="131" xfId="34" applyNumberFormat="1" applyFont="1" applyFill="1" applyBorder="1" applyAlignment="1" applyProtection="1">
      <alignment horizontal="center" vertical="center"/>
      <protection hidden="1"/>
    </xf>
    <xf numFmtId="180" fontId="63" fillId="0" borderId="130" xfId="34" applyNumberFormat="1" applyFont="1" applyFill="1" applyBorder="1" applyAlignment="1" applyProtection="1">
      <alignment horizontal="center" vertical="center"/>
      <protection hidden="1"/>
    </xf>
    <xf numFmtId="0" fontId="35" fillId="27" borderId="42" xfId="46" applyFill="1" applyBorder="1" applyAlignment="1">
      <alignment vertical="center"/>
    </xf>
    <xf numFmtId="0" fontId="35" fillId="27" borderId="41" xfId="46" applyFill="1" applyBorder="1" applyAlignment="1">
      <alignment vertical="center"/>
    </xf>
    <xf numFmtId="0" fontId="35" fillId="27" borderId="26" xfId="46" applyFill="1" applyBorder="1" applyAlignment="1">
      <alignment vertical="center"/>
    </xf>
    <xf numFmtId="0" fontId="9" fillId="27" borderId="120" xfId="46" applyFont="1" applyFill="1" applyBorder="1" applyAlignment="1">
      <alignment vertical="center"/>
    </xf>
    <xf numFmtId="0" fontId="9" fillId="27" borderId="0" xfId="46" applyFont="1" applyFill="1" applyBorder="1" applyAlignment="1">
      <alignment vertical="center"/>
    </xf>
    <xf numFmtId="0" fontId="9" fillId="27" borderId="73" xfId="46" applyFont="1" applyFill="1" applyBorder="1" applyAlignment="1">
      <alignment vertical="center"/>
    </xf>
    <xf numFmtId="0" fontId="35" fillId="27" borderId="56" xfId="46" applyFill="1" applyBorder="1" applyAlignment="1">
      <alignment vertical="center"/>
    </xf>
    <xf numFmtId="0" fontId="35" fillId="27" borderId="25" xfId="46" applyFill="1" applyBorder="1" applyAlignment="1">
      <alignment vertical="center"/>
    </xf>
    <xf numFmtId="0" fontId="9" fillId="27" borderId="31" xfId="46" applyFont="1" applyFill="1" applyBorder="1" applyAlignment="1">
      <alignment vertical="center" wrapText="1"/>
    </xf>
    <xf numFmtId="0" fontId="36" fillId="27" borderId="56" xfId="46" applyFont="1" applyFill="1" applyBorder="1" applyAlignment="1">
      <alignment vertical="center"/>
    </xf>
    <xf numFmtId="0" fontId="36" fillId="27" borderId="25" xfId="46" applyFont="1" applyFill="1" applyBorder="1" applyAlignment="1">
      <alignment vertical="center"/>
    </xf>
    <xf numFmtId="0" fontId="9" fillId="27" borderId="39" xfId="46" applyFont="1" applyFill="1" applyBorder="1" applyAlignment="1">
      <alignment horizontal="center" vertical="center" textRotation="255"/>
    </xf>
    <xf numFmtId="0" fontId="9" fillId="27" borderId="120" xfId="46" applyFont="1" applyFill="1" applyBorder="1" applyAlignment="1">
      <alignment horizontal="center" vertical="center" textRotation="255"/>
    </xf>
    <xf numFmtId="0" fontId="8" fillId="27" borderId="42" xfId="46" applyFont="1" applyFill="1" applyBorder="1" applyAlignment="1">
      <alignment vertical="center"/>
    </xf>
    <xf numFmtId="0" fontId="9" fillId="27" borderId="72" xfId="46" applyFont="1" applyFill="1" applyBorder="1" applyAlignment="1">
      <alignment horizontal="distributed" vertical="center"/>
    </xf>
    <xf numFmtId="194" fontId="9" fillId="0" borderId="66" xfId="46" applyNumberFormat="1" applyFont="1" applyFill="1" applyBorder="1" applyAlignment="1" applyProtection="1">
      <alignment horizontal="left" vertical="center"/>
      <protection locked="0"/>
    </xf>
    <xf numFmtId="194" fontId="9" fillId="0" borderId="112" xfId="46" applyNumberFormat="1" applyFont="1" applyFill="1" applyBorder="1" applyAlignment="1" applyProtection="1">
      <alignment horizontal="left" vertical="center"/>
      <protection locked="0"/>
    </xf>
    <xf numFmtId="194" fontId="9" fillId="0" borderId="134" xfId="46" applyNumberFormat="1" applyFont="1" applyFill="1" applyBorder="1" applyAlignment="1" applyProtection="1">
      <alignment horizontal="left" vertical="center" shrinkToFit="1"/>
      <protection locked="0"/>
    </xf>
    <xf numFmtId="194" fontId="9" fillId="0" borderId="27" xfId="46" applyNumberFormat="1" applyFont="1" applyFill="1" applyBorder="1" applyAlignment="1" applyProtection="1">
      <alignment horizontal="left" vertical="center" shrinkToFit="1"/>
      <protection locked="0"/>
    </xf>
    <xf numFmtId="0" fontId="9" fillId="27" borderId="134" xfId="46" applyFont="1" applyFill="1" applyBorder="1" applyAlignment="1">
      <alignment horizontal="distributed" vertical="center"/>
    </xf>
    <xf numFmtId="180" fontId="63" fillId="0" borderId="82" xfId="46" applyNumberFormat="1" applyFont="1" applyFill="1" applyBorder="1" applyAlignment="1" applyProtection="1">
      <alignment horizontal="center" vertical="center"/>
      <protection hidden="1"/>
    </xf>
    <xf numFmtId="180" fontId="63" fillId="0" borderId="54" xfId="46" applyNumberFormat="1" applyFont="1" applyFill="1" applyBorder="1" applyAlignment="1" applyProtection="1">
      <alignment horizontal="center" vertical="center"/>
      <protection hidden="1"/>
    </xf>
    <xf numFmtId="180" fontId="13" fillId="0" borderId="10" xfId="46" applyNumberFormat="1" applyFont="1" applyFill="1" applyBorder="1" applyAlignment="1" applyProtection="1">
      <alignment horizontal="center" vertical="center"/>
      <protection hidden="1"/>
    </xf>
    <xf numFmtId="180" fontId="98" fillId="0" borderId="164" xfId="34" applyNumberFormat="1" applyFont="1" applyFill="1" applyBorder="1" applyAlignment="1" applyProtection="1">
      <alignment horizontal="center" vertical="center"/>
      <protection hidden="1"/>
    </xf>
    <xf numFmtId="0" fontId="0" fillId="0" borderId="25" xfId="0" applyFill="1" applyBorder="1" applyAlignment="1" applyProtection="1">
      <alignment horizontal="center" vertical="center"/>
      <protection locked="0"/>
    </xf>
    <xf numFmtId="180" fontId="9" fillId="0" borderId="63" xfId="46" applyNumberFormat="1" applyFont="1" applyFill="1" applyBorder="1" applyAlignment="1" applyProtection="1">
      <alignment horizontal="center" vertical="center"/>
      <protection hidden="1"/>
    </xf>
    <xf numFmtId="199" fontId="98" fillId="0" borderId="160" xfId="34" applyNumberFormat="1" applyFont="1" applyFill="1" applyBorder="1" applyAlignment="1" applyProtection="1">
      <alignment horizontal="center" vertical="center"/>
      <protection hidden="1"/>
    </xf>
    <xf numFmtId="199" fontId="98" fillId="0" borderId="148" xfId="34" applyNumberFormat="1" applyFont="1" applyFill="1" applyBorder="1" applyAlignment="1" applyProtection="1">
      <alignment horizontal="center" vertical="center"/>
      <protection hidden="1"/>
    </xf>
    <xf numFmtId="0" fontId="23" fillId="0" borderId="77" xfId="46" applyFont="1" applyFill="1" applyBorder="1" applyAlignment="1" applyProtection="1">
      <alignment vertical="center" wrapText="1" shrinkToFit="1"/>
      <protection hidden="1"/>
    </xf>
    <xf numFmtId="180" fontId="9" fillId="0" borderId="78" xfId="46" applyNumberFormat="1" applyFont="1" applyFill="1" applyBorder="1" applyAlignment="1" applyProtection="1">
      <alignment horizontal="center" vertical="center"/>
      <protection hidden="1"/>
    </xf>
    <xf numFmtId="0" fontId="53" fillId="43" borderId="37" xfId="46" applyFont="1" applyFill="1" applyBorder="1" applyAlignment="1">
      <alignment horizontal="center" vertical="center" wrapText="1"/>
    </xf>
    <xf numFmtId="0" fontId="53" fillId="43" borderId="32" xfId="46" applyFont="1" applyFill="1" applyBorder="1" applyAlignment="1">
      <alignment horizontal="center" vertical="center" wrapText="1"/>
    </xf>
    <xf numFmtId="0" fontId="53" fillId="43" borderId="32" xfId="46" applyFont="1" applyFill="1" applyBorder="1" applyAlignment="1">
      <alignment horizontal="center" vertical="center"/>
    </xf>
    <xf numFmtId="0" fontId="53" fillId="43" borderId="24" xfId="46" applyFont="1" applyFill="1" applyBorder="1" applyAlignment="1">
      <alignment horizontal="center" vertical="center"/>
    </xf>
    <xf numFmtId="197" fontId="9" fillId="0" borderId="86" xfId="46" applyNumberFormat="1" applyFont="1" applyFill="1" applyBorder="1" applyAlignment="1" applyProtection="1">
      <alignment horizontal="center" vertical="center"/>
      <protection hidden="1"/>
    </xf>
    <xf numFmtId="197" fontId="9" fillId="0" borderId="104" xfId="46" applyNumberFormat="1" applyFont="1" applyFill="1" applyBorder="1" applyAlignment="1" applyProtection="1">
      <alignment horizontal="center" vertical="center"/>
      <protection hidden="1"/>
    </xf>
    <xf numFmtId="0" fontId="9" fillId="0" borderId="77" xfId="46" applyFont="1" applyFill="1" applyBorder="1" applyAlignment="1" applyProtection="1">
      <alignment horizontal="center" vertical="center"/>
      <protection locked="0"/>
    </xf>
    <xf numFmtId="180" fontId="13" fillId="0" borderId="31" xfId="46" applyNumberFormat="1" applyFont="1" applyFill="1" applyBorder="1" applyAlignment="1" applyProtection="1">
      <alignment horizontal="center" vertical="center"/>
      <protection hidden="1"/>
    </xf>
    <xf numFmtId="180" fontId="13" fillId="0" borderId="56" xfId="46" applyNumberFormat="1" applyFont="1" applyFill="1" applyBorder="1" applyAlignment="1" applyProtection="1">
      <alignment horizontal="center" vertical="center"/>
      <protection hidden="1"/>
    </xf>
    <xf numFmtId="180" fontId="13" fillId="0" borderId="25" xfId="46" applyNumberFormat="1" applyFont="1" applyFill="1" applyBorder="1" applyAlignment="1" applyProtection="1">
      <alignment horizontal="center" vertical="center"/>
      <protection hidden="1"/>
    </xf>
    <xf numFmtId="180" fontId="0" fillId="0" borderId="86" xfId="0" applyNumberFormat="1" applyBorder="1" applyAlignment="1" applyProtection="1">
      <alignment horizontal="center" vertical="center"/>
      <protection hidden="1"/>
    </xf>
    <xf numFmtId="197" fontId="13" fillId="0" borderId="31" xfId="46" applyNumberFormat="1" applyFont="1" applyFill="1" applyBorder="1" applyAlignment="1" applyProtection="1">
      <alignment horizontal="center" vertical="center"/>
      <protection hidden="1"/>
    </xf>
    <xf numFmtId="0" fontId="13" fillId="0" borderId="56" xfId="46" applyNumberFormat="1" applyFont="1" applyFill="1" applyBorder="1" applyAlignment="1" applyProtection="1">
      <alignment horizontal="center" vertical="center"/>
      <protection hidden="1"/>
    </xf>
    <xf numFmtId="0" fontId="13" fillId="0" borderId="25" xfId="46" applyNumberFormat="1" applyFont="1" applyFill="1" applyBorder="1" applyAlignment="1" applyProtection="1">
      <alignment horizontal="center" vertical="center"/>
      <protection hidden="1"/>
    </xf>
    <xf numFmtId="0" fontId="52" fillId="0" borderId="0" xfId="46" applyFont="1" applyFill="1" applyAlignment="1">
      <alignment horizontal="center" vertical="center"/>
    </xf>
    <xf numFmtId="0" fontId="9" fillId="0" borderId="83" xfId="46" applyFont="1" applyFill="1" applyBorder="1" applyAlignment="1" applyProtection="1">
      <alignment horizontal="center" vertical="center" wrapText="1"/>
      <protection hidden="1"/>
    </xf>
    <xf numFmtId="0" fontId="9" fillId="0" borderId="105" xfId="46" applyFont="1" applyFill="1" applyBorder="1" applyAlignment="1" applyProtection="1">
      <alignment horizontal="center" vertical="center" wrapText="1"/>
      <protection hidden="1"/>
    </xf>
    <xf numFmtId="201" fontId="9" fillId="0" borderId="103" xfId="46" applyNumberFormat="1" applyFont="1" applyFill="1" applyBorder="1" applyAlignment="1" applyProtection="1">
      <alignment horizontal="center" vertical="center"/>
      <protection hidden="1"/>
    </xf>
    <xf numFmtId="180" fontId="9" fillId="0" borderId="108" xfId="46" applyNumberFormat="1" applyFont="1" applyFill="1" applyBorder="1" applyAlignment="1" applyProtection="1">
      <alignment horizontal="center" vertical="center"/>
      <protection hidden="1"/>
    </xf>
    <xf numFmtId="180" fontId="9" fillId="0" borderId="70" xfId="46" applyNumberFormat="1" applyFont="1" applyFill="1" applyBorder="1" applyAlignment="1" applyProtection="1">
      <alignment horizontal="center" vertical="center"/>
      <protection hidden="1"/>
    </xf>
    <xf numFmtId="180" fontId="0" fillId="0" borderId="91" xfId="0" applyNumberFormat="1" applyBorder="1" applyAlignment="1" applyProtection="1">
      <alignment horizontal="center" vertical="center"/>
      <protection hidden="1"/>
    </xf>
    <xf numFmtId="197" fontId="9" fillId="0" borderId="146" xfId="46" applyNumberFormat="1" applyFont="1" applyFill="1" applyBorder="1" applyAlignment="1" applyProtection="1">
      <alignment horizontal="center" vertical="center"/>
      <protection hidden="1"/>
    </xf>
    <xf numFmtId="197" fontId="9" fillId="0" borderId="147" xfId="46" applyNumberFormat="1" applyFont="1" applyFill="1" applyBorder="1" applyAlignment="1" applyProtection="1">
      <alignment horizontal="center" vertical="center"/>
      <protection hidden="1"/>
    </xf>
    <xf numFmtId="0" fontId="23" fillId="0" borderId="103" xfId="46" applyFont="1" applyFill="1" applyBorder="1" applyAlignment="1" applyProtection="1">
      <alignment vertical="center" wrapText="1" shrinkToFit="1"/>
      <protection hidden="1"/>
    </xf>
    <xf numFmtId="194" fontId="9" fillId="0" borderId="31" xfId="46" applyNumberFormat="1" applyFont="1" applyFill="1" applyBorder="1" applyAlignment="1" applyProtection="1">
      <alignment vertical="center" wrapText="1" shrinkToFit="1"/>
      <protection locked="0"/>
    </xf>
    <xf numFmtId="194" fontId="9" fillId="0" borderId="56" xfId="46" applyNumberFormat="1" applyFont="1" applyFill="1" applyBorder="1" applyAlignment="1" applyProtection="1">
      <alignment vertical="center" wrapText="1" shrinkToFit="1"/>
      <protection locked="0"/>
    </xf>
    <xf numFmtId="194" fontId="9" fillId="0" borderId="25" xfId="46" applyNumberFormat="1" applyFont="1" applyFill="1" applyBorder="1" applyAlignment="1" applyProtection="1">
      <alignment vertical="center" wrapText="1" shrinkToFit="1"/>
      <protection locked="0"/>
    </xf>
    <xf numFmtId="180" fontId="36" fillId="43" borderId="194" xfId="46" applyNumberFormat="1" applyFont="1" applyFill="1" applyBorder="1" applyAlignment="1">
      <alignment horizontal="center" vertical="center"/>
    </xf>
    <xf numFmtId="180" fontId="36" fillId="43" borderId="195" xfId="46" applyNumberFormat="1" applyFont="1" applyFill="1" applyBorder="1" applyAlignment="1">
      <alignment horizontal="center" vertical="center"/>
    </xf>
    <xf numFmtId="180" fontId="36" fillId="43" borderId="196" xfId="46" applyNumberFormat="1" applyFont="1" applyFill="1" applyBorder="1" applyAlignment="1">
      <alignment horizontal="center" vertical="center"/>
    </xf>
    <xf numFmtId="180" fontId="36" fillId="43" borderId="197" xfId="46" applyNumberFormat="1" applyFont="1" applyFill="1" applyBorder="1" applyAlignment="1">
      <alignment horizontal="center" vertical="center"/>
    </xf>
    <xf numFmtId="180" fontId="36" fillId="43" borderId="198" xfId="46" applyNumberFormat="1" applyFont="1" applyFill="1" applyBorder="1" applyAlignment="1">
      <alignment horizontal="center" vertical="center"/>
    </xf>
    <xf numFmtId="180" fontId="36" fillId="43" borderId="199" xfId="46" applyNumberFormat="1" applyFont="1" applyFill="1" applyBorder="1" applyAlignment="1">
      <alignment horizontal="center" vertical="center"/>
    </xf>
    <xf numFmtId="0" fontId="36" fillId="43" borderId="200" xfId="34" applyNumberFormat="1" applyFont="1" applyFill="1" applyBorder="1" applyAlignment="1" applyProtection="1">
      <alignment horizontal="center" vertical="center" wrapText="1" shrinkToFit="1"/>
      <protection hidden="1"/>
    </xf>
    <xf numFmtId="0" fontId="36" fillId="43" borderId="201" xfId="34" applyNumberFormat="1" applyFont="1" applyFill="1" applyBorder="1" applyAlignment="1" applyProtection="1">
      <alignment horizontal="center" vertical="center" wrapText="1" shrinkToFit="1"/>
      <protection hidden="1"/>
    </xf>
    <xf numFmtId="0" fontId="36" fillId="43" borderId="202" xfId="34" applyNumberFormat="1" applyFont="1" applyFill="1" applyBorder="1" applyAlignment="1" applyProtection="1">
      <alignment horizontal="center" vertical="center" wrapText="1" shrinkToFit="1"/>
      <protection hidden="1"/>
    </xf>
    <xf numFmtId="0" fontId="76" fillId="0" borderId="31" xfId="51" applyFont="1" applyBorder="1" applyAlignment="1" applyProtection="1">
      <alignment vertical="center" wrapText="1"/>
      <protection locked="0"/>
    </xf>
    <xf numFmtId="0" fontId="76" fillId="0" borderId="56" xfId="51" applyFont="1" applyBorder="1" applyAlignment="1" applyProtection="1">
      <alignment vertical="center" wrapText="1"/>
      <protection locked="0"/>
    </xf>
    <xf numFmtId="0" fontId="76" fillId="0" borderId="25" xfId="51" applyFont="1" applyBorder="1" applyAlignment="1" applyProtection="1">
      <alignment vertical="center" wrapText="1"/>
      <protection locked="0"/>
    </xf>
    <xf numFmtId="0" fontId="63" fillId="0" borderId="31" xfId="51" applyFont="1" applyBorder="1" applyAlignment="1" applyProtection="1">
      <alignment horizontal="center" vertical="center" wrapText="1"/>
      <protection locked="0"/>
    </xf>
    <xf numFmtId="0" fontId="63" fillId="0" borderId="25" xfId="51" applyFont="1" applyBorder="1" applyAlignment="1" applyProtection="1">
      <alignment horizontal="center" vertical="center" wrapText="1"/>
      <protection locked="0"/>
    </xf>
    <xf numFmtId="0" fontId="76" fillId="0" borderId="38" xfId="51" applyFont="1" applyBorder="1" applyAlignment="1" applyProtection="1">
      <alignment vertical="center" wrapText="1"/>
      <protection locked="0"/>
    </xf>
    <xf numFmtId="0" fontId="76" fillId="0" borderId="44" xfId="51" applyFont="1" applyBorder="1" applyAlignment="1" applyProtection="1">
      <alignment vertical="center" wrapText="1"/>
      <protection locked="0"/>
    </xf>
    <xf numFmtId="0" fontId="76" fillId="0" borderId="29" xfId="51" applyFont="1" applyBorder="1" applyAlignment="1" applyProtection="1">
      <alignment vertical="center" wrapText="1"/>
      <protection locked="0"/>
    </xf>
    <xf numFmtId="0" fontId="63" fillId="0" borderId="38" xfId="51" applyFont="1" applyBorder="1" applyAlignment="1" applyProtection="1">
      <alignment horizontal="center" vertical="center" wrapText="1"/>
      <protection locked="0"/>
    </xf>
    <xf numFmtId="0" fontId="63" fillId="0" borderId="29" xfId="51" applyFont="1" applyBorder="1" applyAlignment="1" applyProtection="1">
      <alignment horizontal="center" vertical="center" wrapText="1"/>
      <protection locked="0"/>
    </xf>
    <xf numFmtId="0" fontId="63" fillId="38" borderId="31" xfId="49" applyFont="1" applyFill="1" applyBorder="1" applyAlignment="1" applyProtection="1">
      <alignment horizontal="center" vertical="center"/>
      <protection locked="0"/>
    </xf>
    <xf numFmtId="0" fontId="63" fillId="38" borderId="25" xfId="49" applyFont="1" applyFill="1" applyBorder="1" applyAlignment="1" applyProtection="1">
      <alignment horizontal="center" vertical="center"/>
      <protection locked="0"/>
    </xf>
    <xf numFmtId="0" fontId="63" fillId="38" borderId="105" xfId="49" applyFont="1" applyFill="1" applyBorder="1" applyAlignment="1" applyProtection="1">
      <alignment horizontal="center" vertical="center"/>
      <protection locked="0"/>
    </xf>
    <xf numFmtId="0" fontId="63" fillId="38" borderId="83" xfId="49" applyFont="1" applyFill="1" applyBorder="1" applyAlignment="1" applyProtection="1">
      <alignment horizontal="center" vertical="center"/>
      <protection locked="0"/>
    </xf>
    <xf numFmtId="0" fontId="80" fillId="41" borderId="35" xfId="49" applyFont="1" applyFill="1" applyBorder="1" applyAlignment="1" applyProtection="1">
      <alignment horizontal="center" vertical="center"/>
    </xf>
    <xf numFmtId="0" fontId="80" fillId="41" borderId="29" xfId="49" applyFont="1" applyFill="1" applyBorder="1" applyAlignment="1" applyProtection="1">
      <alignment horizontal="center" vertical="center"/>
    </xf>
    <xf numFmtId="208" fontId="81" fillId="41" borderId="38" xfId="49" applyNumberFormat="1" applyFont="1" applyFill="1" applyBorder="1" applyAlignment="1" applyProtection="1">
      <alignment horizontal="right" vertical="center"/>
      <protection hidden="1"/>
    </xf>
    <xf numFmtId="208" fontId="81" fillId="41" borderId="184" xfId="49" applyNumberFormat="1" applyFont="1" applyFill="1" applyBorder="1" applyAlignment="1" applyProtection="1">
      <alignment horizontal="right" vertical="center"/>
      <protection hidden="1"/>
    </xf>
    <xf numFmtId="207" fontId="81" fillId="41" borderId="185" xfId="49" applyNumberFormat="1" applyFont="1" applyFill="1" applyBorder="1" applyAlignment="1" applyProtection="1">
      <alignment horizontal="center" vertical="center"/>
      <protection hidden="1"/>
    </xf>
    <xf numFmtId="207" fontId="81" fillId="41" borderId="45" xfId="49" applyNumberFormat="1" applyFont="1" applyFill="1" applyBorder="1" applyAlignment="1" applyProtection="1">
      <alignment horizontal="center" vertical="center"/>
      <protection hidden="1"/>
    </xf>
    <xf numFmtId="0" fontId="72" fillId="40" borderId="35" xfId="0" applyFont="1" applyFill="1" applyBorder="1" applyAlignment="1">
      <alignment vertical="center"/>
    </xf>
    <xf numFmtId="0" fontId="72" fillId="40" borderId="184" xfId="0" applyFont="1" applyFill="1" applyBorder="1" applyAlignment="1">
      <alignment vertical="center"/>
    </xf>
    <xf numFmtId="0" fontId="72" fillId="0" borderId="185" xfId="49" applyFont="1" applyBorder="1" applyAlignment="1" applyProtection="1">
      <alignment vertical="center" wrapText="1"/>
      <protection locked="0"/>
    </xf>
    <xf numFmtId="0" fontId="72" fillId="0" borderId="44" xfId="49" applyFont="1" applyBorder="1" applyAlignment="1" applyProtection="1">
      <alignment vertical="center" wrapText="1"/>
      <protection locked="0"/>
    </xf>
    <xf numFmtId="0" fontId="72" fillId="0" borderId="45" xfId="49" applyFont="1" applyBorder="1" applyAlignment="1" applyProtection="1">
      <alignment vertical="center" wrapText="1"/>
      <protection locked="0"/>
    </xf>
    <xf numFmtId="0" fontId="36" fillId="38" borderId="133" xfId="49" applyFont="1" applyFill="1" applyBorder="1" applyAlignment="1" applyProtection="1">
      <alignment horizontal="center" vertical="center" wrapText="1"/>
      <protection locked="0"/>
    </xf>
    <xf numFmtId="0" fontId="36" fillId="38" borderId="40" xfId="49" applyFont="1" applyFill="1" applyBorder="1" applyAlignment="1" applyProtection="1">
      <alignment horizontal="center" vertical="center"/>
      <protection locked="0"/>
    </xf>
    <xf numFmtId="0" fontId="63" fillId="38" borderId="95" xfId="49" applyFont="1" applyFill="1" applyBorder="1" applyAlignment="1" applyProtection="1">
      <alignment horizontal="center" vertical="center"/>
      <protection locked="0"/>
    </xf>
    <xf numFmtId="0" fontId="63" fillId="38" borderId="19" xfId="50" applyFont="1" applyFill="1" applyBorder="1" applyProtection="1">
      <protection locked="0"/>
    </xf>
    <xf numFmtId="0" fontId="63" fillId="38" borderId="119" xfId="50" applyFont="1" applyFill="1" applyBorder="1" applyProtection="1">
      <protection locked="0"/>
    </xf>
    <xf numFmtId="0" fontId="63" fillId="38" borderId="19" xfId="49" applyFont="1" applyFill="1" applyBorder="1" applyAlignment="1" applyProtection="1">
      <alignment horizontal="center" vertical="center"/>
      <protection locked="0"/>
    </xf>
    <xf numFmtId="0" fontId="63" fillId="38" borderId="119" xfId="49" applyFont="1" applyFill="1" applyBorder="1" applyAlignment="1" applyProtection="1">
      <alignment horizontal="center" vertical="center"/>
      <protection locked="0"/>
    </xf>
    <xf numFmtId="0" fontId="63" fillId="38" borderId="42" xfId="49" applyFont="1" applyFill="1" applyBorder="1" applyAlignment="1" applyProtection="1">
      <alignment horizontal="center" vertical="center"/>
      <protection locked="0"/>
    </xf>
    <xf numFmtId="0" fontId="63" fillId="38" borderId="41" xfId="49" applyFont="1" applyFill="1" applyBorder="1" applyAlignment="1" applyProtection="1">
      <alignment horizontal="center" vertical="center"/>
      <protection locked="0"/>
    </xf>
    <xf numFmtId="0" fontId="63" fillId="38" borderId="26" xfId="49" applyFont="1" applyFill="1" applyBorder="1" applyAlignment="1" applyProtection="1">
      <alignment horizontal="center" vertical="center"/>
      <protection locked="0"/>
    </xf>
    <xf numFmtId="0" fontId="63" fillId="38" borderId="37" xfId="49" applyFont="1" applyFill="1" applyBorder="1" applyAlignment="1" applyProtection="1">
      <alignment horizontal="center" vertical="center" wrapText="1"/>
      <protection locked="0"/>
    </xf>
    <xf numFmtId="0" fontId="63" fillId="38" borderId="32" xfId="49" applyFont="1" applyFill="1" applyBorder="1" applyAlignment="1" applyProtection="1">
      <alignment horizontal="center" vertical="center" wrapText="1"/>
      <protection locked="0"/>
    </xf>
    <xf numFmtId="0" fontId="63" fillId="38" borderId="24" xfId="49" applyFont="1" applyFill="1" applyBorder="1" applyAlignment="1" applyProtection="1">
      <alignment horizontal="center" vertical="center" wrapText="1"/>
      <protection locked="0"/>
    </xf>
    <xf numFmtId="0" fontId="35" fillId="0" borderId="34" xfId="49" applyFont="1" applyFill="1" applyBorder="1" applyAlignment="1" applyProtection="1">
      <alignment horizontal="center" vertical="center" wrapText="1"/>
      <protection locked="0"/>
    </xf>
    <xf numFmtId="0" fontId="35" fillId="0" borderId="25" xfId="49" applyFont="1" applyFill="1" applyBorder="1" applyAlignment="1" applyProtection="1">
      <alignment horizontal="center" vertical="center" wrapText="1"/>
      <protection locked="0"/>
    </xf>
    <xf numFmtId="208" fontId="72" fillId="39" borderId="31" xfId="52" applyNumberFormat="1" applyFont="1" applyFill="1" applyBorder="1" applyAlignment="1" applyProtection="1">
      <alignment horizontal="right" vertical="center"/>
      <protection hidden="1"/>
    </xf>
    <xf numFmtId="208" fontId="72" fillId="39" borderId="56" xfId="52" applyNumberFormat="1" applyFont="1" applyFill="1" applyBorder="1" applyAlignment="1" applyProtection="1">
      <alignment horizontal="right" vertical="center"/>
      <protection hidden="1"/>
    </xf>
    <xf numFmtId="207" fontId="72" fillId="39" borderId="158" xfId="52" applyNumberFormat="1" applyFont="1" applyFill="1" applyBorder="1" applyAlignment="1" applyProtection="1">
      <alignment horizontal="center" vertical="center"/>
      <protection hidden="1"/>
    </xf>
    <xf numFmtId="207" fontId="72" fillId="39" borderId="49" xfId="52" applyNumberFormat="1" applyFont="1" applyFill="1" applyBorder="1" applyAlignment="1" applyProtection="1">
      <alignment horizontal="center" vertical="center"/>
      <protection hidden="1"/>
    </xf>
    <xf numFmtId="0" fontId="72" fillId="40" borderId="34" xfId="0" applyFont="1" applyFill="1" applyBorder="1" applyAlignment="1">
      <alignment vertical="center"/>
    </xf>
    <xf numFmtId="0" fontId="72" fillId="40" borderId="157" xfId="0" applyFont="1" applyFill="1" applyBorder="1" applyAlignment="1">
      <alignment vertical="center"/>
    </xf>
    <xf numFmtId="0" fontId="72" fillId="0" borderId="158" xfId="0" applyFont="1" applyBorder="1" applyAlignment="1" applyProtection="1">
      <alignment horizontal="left" vertical="center" wrapText="1"/>
      <protection locked="0"/>
    </xf>
    <xf numFmtId="0" fontId="72" fillId="0" borderId="56" xfId="0" applyFont="1" applyBorder="1" applyAlignment="1" applyProtection="1">
      <alignment horizontal="left" vertical="center" wrapText="1"/>
      <protection locked="0"/>
    </xf>
    <xf numFmtId="0" fontId="72" fillId="0" borderId="49" xfId="0" applyFont="1" applyBorder="1" applyAlignment="1" applyProtection="1">
      <alignment horizontal="left" vertical="center" wrapText="1"/>
      <protection locked="0"/>
    </xf>
    <xf numFmtId="0" fontId="72" fillId="0" borderId="158" xfId="49" applyFont="1" applyBorder="1" applyAlignment="1" applyProtection="1">
      <alignment vertical="center" wrapText="1"/>
      <protection locked="0"/>
    </xf>
    <xf numFmtId="0" fontId="72" fillId="0" borderId="56" xfId="49" applyFont="1" applyBorder="1" applyAlignment="1" applyProtection="1">
      <alignment vertical="center" wrapText="1"/>
      <protection locked="0"/>
    </xf>
    <xf numFmtId="0" fontId="72" fillId="0" borderId="49" xfId="49" applyFont="1" applyBorder="1" applyAlignment="1" applyProtection="1">
      <alignment vertical="center" wrapText="1"/>
      <protection locked="0"/>
    </xf>
    <xf numFmtId="0" fontId="72" fillId="40" borderId="51" xfId="0" applyFont="1" applyFill="1" applyBorder="1" applyAlignment="1">
      <alignment vertical="center"/>
    </xf>
    <xf numFmtId="0" fontId="72" fillId="40" borderId="192" xfId="0" applyFont="1" applyFill="1" applyBorder="1" applyAlignment="1">
      <alignment vertical="center"/>
    </xf>
    <xf numFmtId="0" fontId="72" fillId="0" borderId="193" xfId="0" applyFont="1" applyBorder="1" applyAlignment="1" applyProtection="1">
      <alignment horizontal="left" vertical="center" wrapText="1"/>
    </xf>
    <xf numFmtId="0" fontId="72" fillId="0" borderId="32" xfId="0" applyFont="1" applyBorder="1" applyAlignment="1" applyProtection="1">
      <alignment horizontal="left" vertical="center" wrapText="1"/>
    </xf>
    <xf numFmtId="0" fontId="72" fillId="0" borderId="46" xfId="0" applyFont="1" applyBorder="1" applyAlignment="1" applyProtection="1">
      <alignment horizontal="left" vertical="center" wrapText="1"/>
    </xf>
    <xf numFmtId="213" fontId="72" fillId="0" borderId="158" xfId="0" applyNumberFormat="1" applyFont="1" applyBorder="1" applyAlignment="1" applyProtection="1">
      <alignment horizontal="left" vertical="center" wrapText="1"/>
      <protection locked="0"/>
    </xf>
    <xf numFmtId="213" fontId="72" fillId="0" borderId="56" xfId="0" applyNumberFormat="1" applyFont="1" applyBorder="1" applyAlignment="1" applyProtection="1">
      <alignment horizontal="left" vertical="center" wrapText="1"/>
      <protection locked="0"/>
    </xf>
    <xf numFmtId="213" fontId="72" fillId="0" borderId="49" xfId="0" applyNumberFormat="1" applyFont="1" applyBorder="1" applyAlignment="1" applyProtection="1">
      <alignment horizontal="left" vertical="center" wrapText="1"/>
      <protection locked="0"/>
    </xf>
    <xf numFmtId="0" fontId="77" fillId="38" borderId="188" xfId="49" applyFont="1" applyFill="1" applyBorder="1" applyAlignment="1" applyProtection="1">
      <alignment horizontal="center" vertical="center" wrapText="1"/>
    </xf>
    <xf numFmtId="0" fontId="77" fillId="38" borderId="189" xfId="49" applyFont="1" applyFill="1" applyBorder="1" applyAlignment="1" applyProtection="1">
      <alignment horizontal="center" vertical="center" wrapText="1"/>
    </xf>
    <xf numFmtId="0" fontId="77" fillId="38" borderId="125" xfId="49" applyFont="1" applyFill="1" applyBorder="1" applyAlignment="1" applyProtection="1">
      <alignment horizontal="center" vertical="center" wrapText="1"/>
    </xf>
    <xf numFmtId="0" fontId="77" fillId="38" borderId="51" xfId="49" applyFont="1" applyFill="1" applyBorder="1" applyAlignment="1" applyProtection="1">
      <alignment horizontal="center" vertical="center" wrapText="1"/>
    </xf>
    <xf numFmtId="0" fontId="77" fillId="38" borderId="24" xfId="49" applyFont="1" applyFill="1" applyBorder="1" applyAlignment="1" applyProtection="1">
      <alignment horizontal="center" vertical="center" wrapText="1"/>
    </xf>
    <xf numFmtId="0" fontId="77" fillId="38" borderId="37" xfId="49" applyFont="1" applyFill="1" applyBorder="1" applyAlignment="1" applyProtection="1">
      <alignment horizontal="center" vertical="center" wrapText="1"/>
    </xf>
    <xf numFmtId="0" fontId="77" fillId="38" borderId="192" xfId="49" applyFont="1" applyFill="1" applyBorder="1" applyAlignment="1" applyProtection="1">
      <alignment horizontal="center" vertical="center" wrapText="1"/>
    </xf>
    <xf numFmtId="0" fontId="77" fillId="38" borderId="193" xfId="49" applyFont="1" applyFill="1" applyBorder="1" applyAlignment="1" applyProtection="1">
      <alignment horizontal="center" vertical="center" wrapText="1"/>
    </xf>
    <xf numFmtId="0" fontId="77" fillId="38" borderId="46" xfId="49" applyFont="1" applyFill="1" applyBorder="1" applyAlignment="1" applyProtection="1">
      <alignment horizontal="center" vertical="center" wrapText="1"/>
    </xf>
    <xf numFmtId="0" fontId="77" fillId="38" borderId="133" xfId="49" applyFont="1" applyFill="1" applyBorder="1" applyAlignment="1" applyProtection="1">
      <alignment horizontal="center" vertical="center"/>
    </xf>
    <xf numFmtId="0" fontId="77" fillId="38" borderId="19" xfId="49" applyFont="1" applyFill="1" applyBorder="1" applyAlignment="1" applyProtection="1">
      <alignment horizontal="center" vertical="center"/>
    </xf>
    <xf numFmtId="0" fontId="77" fillId="38" borderId="190" xfId="49" applyFont="1" applyFill="1" applyBorder="1" applyAlignment="1" applyProtection="1">
      <alignment horizontal="center" vertical="center"/>
    </xf>
    <xf numFmtId="0" fontId="77" fillId="38" borderId="191" xfId="49" applyFont="1" applyFill="1" applyBorder="1" applyAlignment="1" applyProtection="1">
      <alignment horizontal="center" vertical="center"/>
    </xf>
    <xf numFmtId="0" fontId="52" fillId="0" borderId="0" xfId="49" applyFont="1" applyAlignment="1" applyProtection="1">
      <alignment vertical="center"/>
    </xf>
    <xf numFmtId="0" fontId="71" fillId="0" borderId="0" xfId="49" applyFont="1" applyFill="1" applyBorder="1" applyAlignment="1" applyProtection="1">
      <alignment horizontal="center"/>
      <protection locked="0"/>
    </xf>
    <xf numFmtId="0" fontId="72" fillId="0" borderId="0" xfId="49" applyFont="1" applyBorder="1" applyAlignment="1" applyProtection="1">
      <alignment horizontal="center"/>
      <protection locked="0"/>
    </xf>
    <xf numFmtId="0" fontId="63" fillId="0" borderId="0" xfId="50" applyFont="1" applyBorder="1" applyAlignment="1" applyProtection="1">
      <protection locked="0"/>
    </xf>
    <xf numFmtId="206" fontId="73" fillId="0" borderId="0" xfId="49" applyNumberFormat="1" applyFont="1" applyBorder="1" applyAlignment="1" applyProtection="1">
      <alignment horizontal="center" vertical="center" shrinkToFit="1"/>
      <protection locked="0"/>
    </xf>
    <xf numFmtId="0" fontId="74" fillId="0" borderId="168" xfId="49" applyFont="1" applyBorder="1" applyAlignment="1" applyProtection="1">
      <alignment horizontal="distributed" vertical="center" shrinkToFit="1"/>
    </xf>
    <xf numFmtId="0" fontId="77" fillId="38" borderId="63" xfId="49" applyFont="1" applyFill="1" applyBorder="1" applyAlignment="1" applyProtection="1">
      <alignment horizontal="center" vertical="center" wrapText="1"/>
    </xf>
    <xf numFmtId="0" fontId="77" fillId="38" borderId="146" xfId="49" applyFont="1" applyFill="1" applyBorder="1" applyAlignment="1" applyProtection="1">
      <alignment horizontal="center" vertical="center" wrapText="1"/>
    </xf>
    <xf numFmtId="0" fontId="77" fillId="38" borderId="147" xfId="49" applyFont="1" applyFill="1" applyBorder="1" applyAlignment="1" applyProtection="1">
      <alignment horizontal="center" vertical="center" wrapText="1"/>
    </xf>
    <xf numFmtId="0" fontId="77" fillId="38" borderId="96" xfId="49" applyFont="1" applyFill="1" applyBorder="1" applyAlignment="1" applyProtection="1">
      <alignment horizontal="center" vertical="center"/>
    </xf>
    <xf numFmtId="49" fontId="72" fillId="0" borderId="16" xfId="49" applyNumberFormat="1" applyFont="1" applyFill="1" applyBorder="1" applyAlignment="1" applyProtection="1">
      <alignment horizontal="center" vertical="center" shrinkToFit="1"/>
      <protection locked="0"/>
    </xf>
    <xf numFmtId="0" fontId="72" fillId="0" borderId="17" xfId="49" applyNumberFormat="1" applyFont="1" applyFill="1" applyBorder="1" applyAlignment="1" applyProtection="1">
      <alignment horizontal="center" vertical="center" shrinkToFit="1"/>
      <protection locked="0"/>
    </xf>
    <xf numFmtId="0" fontId="72" fillId="0" borderId="17" xfId="49" applyFont="1" applyFill="1" applyBorder="1" applyAlignment="1" applyProtection="1">
      <alignment horizontal="center" vertical="center"/>
      <protection locked="0"/>
    </xf>
    <xf numFmtId="0" fontId="72" fillId="0" borderId="18" xfId="49" applyFont="1" applyFill="1" applyBorder="1" applyAlignment="1" applyProtection="1">
      <alignment horizontal="center" vertical="center"/>
      <protection locked="0"/>
    </xf>
    <xf numFmtId="0" fontId="35" fillId="38" borderId="78" xfId="50" applyFont="1" applyFill="1" applyBorder="1" applyAlignment="1" applyProtection="1">
      <alignment horizontal="center" wrapText="1"/>
    </xf>
    <xf numFmtId="0" fontId="35" fillId="38" borderId="86" xfId="50" applyFont="1" applyFill="1" applyBorder="1" applyAlignment="1" applyProtection="1">
      <alignment horizontal="center" wrapText="1"/>
    </xf>
    <xf numFmtId="0" fontId="35" fillId="38" borderId="104" xfId="50" applyFont="1" applyFill="1" applyBorder="1" applyAlignment="1" applyProtection="1">
      <alignment horizontal="center" wrapText="1"/>
    </xf>
    <xf numFmtId="0" fontId="63" fillId="0" borderId="39" xfId="49" applyFont="1" applyBorder="1" applyAlignment="1" applyProtection="1">
      <alignment horizontal="center" vertical="center"/>
      <protection locked="0"/>
    </xf>
    <xf numFmtId="0" fontId="63" fillId="0" borderId="82" xfId="49" applyFont="1" applyBorder="1" applyAlignment="1" applyProtection="1">
      <alignment horizontal="center" vertical="center"/>
      <protection locked="0"/>
    </xf>
    <xf numFmtId="0" fontId="63" fillId="0" borderId="120" xfId="49" applyFont="1" applyBorder="1" applyAlignment="1" applyProtection="1">
      <alignment horizontal="center" vertical="center"/>
      <protection locked="0"/>
    </xf>
    <xf numFmtId="0" fontId="63" fillId="0" borderId="73" xfId="49" applyFont="1" applyBorder="1" applyAlignment="1" applyProtection="1">
      <alignment horizontal="center" vertical="center"/>
      <protection locked="0"/>
    </xf>
    <xf numFmtId="0" fontId="63" fillId="0" borderId="42" xfId="49" applyFont="1" applyBorder="1" applyAlignment="1" applyProtection="1">
      <alignment horizontal="center" vertical="center"/>
      <protection locked="0"/>
    </xf>
    <xf numFmtId="0" fontId="63" fillId="0" borderId="26" xfId="49" applyFont="1" applyBorder="1" applyAlignment="1" applyProtection="1">
      <alignment horizontal="center" vertical="center"/>
      <protection locked="0"/>
    </xf>
    <xf numFmtId="0" fontId="71" fillId="0" borderId="177" xfId="49" applyFont="1" applyFill="1" applyBorder="1" applyAlignment="1" applyProtection="1">
      <alignment horizontal="center" vertical="center"/>
    </xf>
    <xf numFmtId="0" fontId="71" fillId="0" borderId="178" xfId="49" applyFont="1" applyFill="1" applyBorder="1" applyAlignment="1" applyProtection="1">
      <alignment horizontal="center" vertical="center"/>
    </xf>
    <xf numFmtId="0" fontId="71" fillId="0" borderId="180" xfId="49" applyFont="1" applyFill="1" applyBorder="1" applyAlignment="1" applyProtection="1">
      <alignment horizontal="center" vertical="center"/>
    </xf>
    <xf numFmtId="0" fontId="71" fillId="0" borderId="168" xfId="49" applyFont="1" applyFill="1" applyBorder="1" applyAlignment="1" applyProtection="1">
      <alignment horizontal="center" vertical="center"/>
    </xf>
    <xf numFmtId="0" fontId="73" fillId="0" borderId="178" xfId="49" applyFont="1" applyBorder="1" applyAlignment="1" applyProtection="1">
      <alignment horizontal="left"/>
    </xf>
    <xf numFmtId="0" fontId="73" fillId="0" borderId="168" xfId="49" applyFont="1" applyBorder="1" applyAlignment="1" applyProtection="1">
      <alignment horizontal="left"/>
    </xf>
    <xf numFmtId="0" fontId="73" fillId="0" borderId="179" xfId="49" applyFont="1" applyBorder="1" applyAlignment="1" applyProtection="1">
      <alignment horizontal="center"/>
    </xf>
    <xf numFmtId="0" fontId="73" fillId="0" borderId="181" xfId="50" applyFont="1" applyBorder="1" applyAlignment="1" applyProtection="1"/>
    <xf numFmtId="0" fontId="13" fillId="0" borderId="80" xfId="45" applyFont="1" applyBorder="1" applyAlignment="1">
      <alignment horizontal="center" vertical="center"/>
    </xf>
    <xf numFmtId="0" fontId="13" fillId="0" borderId="91" xfId="45" applyFont="1" applyBorder="1" applyAlignment="1">
      <alignment horizontal="center" vertical="center"/>
    </xf>
    <xf numFmtId="0" fontId="13" fillId="0" borderId="110" xfId="45" applyFont="1" applyBorder="1" applyAlignment="1">
      <alignment horizontal="center" vertical="center" wrapText="1"/>
    </xf>
    <xf numFmtId="0" fontId="13" fillId="0" borderId="108" xfId="45" applyFont="1" applyBorder="1" applyAlignment="1">
      <alignment horizontal="center" vertical="center" wrapText="1"/>
    </xf>
    <xf numFmtId="0" fontId="13" fillId="0" borderId="134" xfId="45" applyFont="1" applyBorder="1" applyAlignment="1">
      <alignment horizontal="center" vertical="center"/>
    </xf>
    <xf numFmtId="0" fontId="8" fillId="0" borderId="28" xfId="45" applyBorder="1" applyAlignment="1">
      <alignment horizontal="center" vertical="center"/>
    </xf>
    <xf numFmtId="0" fontId="8" fillId="0" borderId="27" xfId="45" applyBorder="1" applyAlignment="1">
      <alignment horizontal="center" vertical="center"/>
    </xf>
    <xf numFmtId="0" fontId="13" fillId="0" borderId="109" xfId="45" applyFont="1" applyBorder="1" applyAlignment="1">
      <alignment horizontal="center" vertical="center"/>
    </xf>
    <xf numFmtId="0" fontId="13" fillId="0" borderId="70" xfId="45" applyFont="1" applyBorder="1" applyAlignment="1">
      <alignment horizontal="center" vertical="center"/>
    </xf>
    <xf numFmtId="0" fontId="9" fillId="0" borderId="134" xfId="45" applyFont="1" applyBorder="1" applyAlignment="1">
      <alignment horizontal="center" vertical="center"/>
    </xf>
    <xf numFmtId="0" fontId="9" fillId="0" borderId="27" xfId="45" applyFont="1" applyBorder="1" applyAlignment="1">
      <alignment horizontal="center" vertical="center"/>
    </xf>
    <xf numFmtId="0" fontId="13" fillId="0" borderId="81" xfId="45" applyFont="1" applyBorder="1" applyAlignment="1">
      <alignment horizontal="center" vertical="center"/>
    </xf>
    <xf numFmtId="0" fontId="13" fillId="0" borderId="69" xfId="45" applyFont="1" applyBorder="1" applyAlignment="1">
      <alignment horizontal="center" vertical="center"/>
    </xf>
    <xf numFmtId="0" fontId="13" fillId="0" borderId="80" xfId="45" applyFont="1" applyBorder="1" applyAlignment="1">
      <alignment horizontal="center" vertical="center" wrapText="1"/>
    </xf>
    <xf numFmtId="0" fontId="13" fillId="0" borderId="91" xfId="45" applyFont="1" applyBorder="1" applyAlignment="1">
      <alignment horizontal="center" vertical="center" wrapText="1"/>
    </xf>
    <xf numFmtId="0" fontId="0" fillId="0" borderId="0" xfId="0" applyAlignment="1">
      <alignment horizontal="center"/>
    </xf>
    <xf numFmtId="20" fontId="0" fillId="0" borderId="0" xfId="0" applyNumberFormat="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20" fontId="0" fillId="0" borderId="0" xfId="0" applyNumberFormat="1" applyBorder="1" applyAlignment="1">
      <alignment horizontal="center" vertical="center"/>
    </xf>
    <xf numFmtId="0" fontId="18" fillId="0" borderId="0" xfId="0" applyFont="1" applyAlignment="1">
      <alignment horizontal="center" wrapText="1"/>
    </xf>
    <xf numFmtId="0" fontId="18" fillId="0" borderId="0" xfId="0" applyFont="1" applyAlignment="1">
      <alignment horizontal="center"/>
    </xf>
    <xf numFmtId="0" fontId="0" fillId="0" borderId="0" xfId="0" applyAlignment="1">
      <alignment horizontal="center" wrapText="1"/>
    </xf>
    <xf numFmtId="20" fontId="0" fillId="0" borderId="16" xfId="0" applyNumberFormat="1" applyBorder="1" applyAlignment="1">
      <alignment horizontal="left"/>
    </xf>
    <xf numFmtId="20" fontId="0" fillId="0" borderId="17" xfId="0" applyNumberFormat="1" applyBorder="1" applyAlignment="1">
      <alignment horizontal="left"/>
    </xf>
    <xf numFmtId="20" fontId="0" fillId="0" borderId="38" xfId="0" applyNumberFormat="1" applyBorder="1" applyAlignment="1">
      <alignment horizontal="left"/>
    </xf>
    <xf numFmtId="20" fontId="0" fillId="0" borderId="11" xfId="0" applyNumberFormat="1" applyBorder="1" applyAlignment="1">
      <alignment horizontal="left"/>
    </xf>
    <xf numFmtId="20" fontId="0" fillId="0" borderId="12" xfId="0" applyNumberFormat="1" applyBorder="1" applyAlignment="1">
      <alignment horizontal="left"/>
    </xf>
    <xf numFmtId="20" fontId="0" fillId="0" borderId="18" xfId="0" applyNumberFormat="1" applyBorder="1" applyAlignment="1">
      <alignment horizontal="left"/>
    </xf>
    <xf numFmtId="20" fontId="0" fillId="0" borderId="13" xfId="0" applyNumberFormat="1" applyBorder="1" applyAlignment="1">
      <alignment horizontal="left"/>
    </xf>
    <xf numFmtId="20" fontId="0" fillId="0" borderId="37" xfId="0" applyNumberFormat="1" applyBorder="1" applyAlignment="1">
      <alignment horizontal="left"/>
    </xf>
    <xf numFmtId="0" fontId="16" fillId="35" borderId="10" xfId="0" applyFont="1" applyFill="1" applyBorder="1" applyAlignment="1">
      <alignment horizontal="center" vertical="center"/>
    </xf>
    <xf numFmtId="20" fontId="0" fillId="0" borderId="24" xfId="0" applyNumberFormat="1" applyBorder="1" applyAlignment="1">
      <alignment horizontal="left"/>
    </xf>
    <xf numFmtId="0" fontId="16" fillId="33" borderId="10" xfId="0" applyFont="1" applyFill="1" applyBorder="1" applyAlignment="1">
      <alignment horizontal="center" vertical="center"/>
    </xf>
    <xf numFmtId="0" fontId="0" fillId="26" borderId="10" xfId="0" applyFill="1" applyBorder="1" applyAlignment="1">
      <alignment horizontal="center" vertical="center"/>
    </xf>
    <xf numFmtId="0" fontId="19" fillId="34" borderId="10" xfId="0" applyFont="1" applyFill="1" applyBorder="1" applyAlignment="1">
      <alignment horizontal="center" vertical="center"/>
    </xf>
    <xf numFmtId="0" fontId="0" fillId="25" borderId="10" xfId="0" applyFill="1" applyBorder="1" applyAlignment="1">
      <alignment horizontal="center" vertical="center"/>
    </xf>
    <xf numFmtId="0" fontId="0" fillId="27" borderId="10" xfId="0" applyFill="1" applyBorder="1" applyAlignment="1">
      <alignment horizontal="center" vertical="center"/>
    </xf>
    <xf numFmtId="20" fontId="0" fillId="0" borderId="127" xfId="0" applyNumberFormat="1" applyBorder="1" applyAlignment="1">
      <alignment horizontal="left"/>
    </xf>
    <xf numFmtId="20" fontId="0" fillId="0" borderId="97" xfId="0" applyNumberFormat="1" applyBorder="1" applyAlignment="1">
      <alignment horizontal="left"/>
    </xf>
    <xf numFmtId="49" fontId="0" fillId="0" borderId="10" xfId="0" applyNumberFormat="1" applyBorder="1" applyAlignment="1">
      <alignment horizontal="center" wrapText="1"/>
    </xf>
    <xf numFmtId="49" fontId="0" fillId="0" borderId="10" xfId="0" applyNumberFormat="1" applyBorder="1" applyAlignment="1">
      <alignment horizontal="center"/>
    </xf>
    <xf numFmtId="0" fontId="18" fillId="0" borderId="58" xfId="0" applyFont="1" applyBorder="1" applyAlignment="1">
      <alignment horizontal="center" wrapText="1"/>
    </xf>
    <xf numFmtId="0" fontId="18" fillId="0" borderId="57" xfId="0" applyFont="1" applyBorder="1" applyAlignment="1">
      <alignment horizontal="center"/>
    </xf>
    <xf numFmtId="49" fontId="0" fillId="0" borderId="11" xfId="0" applyNumberFormat="1" applyBorder="1" applyAlignment="1">
      <alignment horizontal="center"/>
    </xf>
    <xf numFmtId="49" fontId="0" fillId="0" borderId="12" xfId="0" applyNumberFormat="1" applyBorder="1" applyAlignment="1">
      <alignment horizontal="center"/>
    </xf>
    <xf numFmtId="49" fontId="0" fillId="0" borderId="13" xfId="0" applyNumberFormat="1" applyBorder="1" applyAlignment="1">
      <alignment horizontal="center"/>
    </xf>
    <xf numFmtId="0" fontId="0" fillId="25" borderId="31" xfId="0" applyFill="1" applyBorder="1" applyAlignment="1">
      <alignment horizontal="left" vertical="center"/>
    </xf>
    <xf numFmtId="0" fontId="0" fillId="25" borderId="56" xfId="0" applyFill="1" applyBorder="1" applyAlignment="1">
      <alignment horizontal="left" vertical="center"/>
    </xf>
    <xf numFmtId="0" fontId="0" fillId="25" borderId="25" xfId="0" applyFill="1" applyBorder="1" applyAlignment="1">
      <alignment horizontal="left" vertical="center"/>
    </xf>
  </cellXfs>
  <cellStyles count="53">
    <cellStyle name="20% - アクセント 1" xfId="1"/>
    <cellStyle name="20% - アクセント 2" xfId="2"/>
    <cellStyle name="20% - アクセント 3" xfId="3"/>
    <cellStyle name="20% - アクセント 4" xfId="4"/>
    <cellStyle name="20% - アクセント 5" xfId="5"/>
    <cellStyle name="20% - アクセント 6" xfId="6"/>
    <cellStyle name="40% - アクセント 1" xfId="7"/>
    <cellStyle name="40% - アクセント 2" xfId="8"/>
    <cellStyle name="40% - アクセント 3" xfId="9"/>
    <cellStyle name="40% - アクセント 4" xfId="10"/>
    <cellStyle name="40% - アクセント 5" xfId="11"/>
    <cellStyle name="40% - アクセント 6" xfId="12"/>
    <cellStyle name="60% - アクセント 1" xfId="13"/>
    <cellStyle name="60% - アクセント 2" xfId="14"/>
    <cellStyle name="60% - アクセント 3" xfId="15"/>
    <cellStyle name="60% - アクセント 4" xfId="16"/>
    <cellStyle name="60% - アクセント 5" xfId="17"/>
    <cellStyle name="60% - アクセント 6" xfId="18"/>
    <cellStyle name="アクセント 1" xfId="19"/>
    <cellStyle name="アクセント 2" xfId="20"/>
    <cellStyle name="アクセント 3" xfId="21"/>
    <cellStyle name="アクセント 4" xfId="22"/>
    <cellStyle name="アクセント 5" xfId="23"/>
    <cellStyle name="アクセント 6" xfId="24"/>
    <cellStyle name="タイトル" xfId="25"/>
    <cellStyle name="チェック セル" xfId="26"/>
    <cellStyle name="どちらでもない" xfId="27"/>
    <cellStyle name="ハイパーリンク" xfId="28" builtinId="8"/>
    <cellStyle name="メモ" xfId="29"/>
    <cellStyle name="リンク セル" xfId="30"/>
    <cellStyle name="悪い" xfId="31"/>
    <cellStyle name="計算" xfId="32"/>
    <cellStyle name="警告文" xfId="33"/>
    <cellStyle name="桁区切り" xfId="34" builtinId="6"/>
    <cellStyle name="桁区切り 2" xfId="52"/>
    <cellStyle name="見出し 1" xfId="35"/>
    <cellStyle name="見出し 2" xfId="36"/>
    <cellStyle name="見出し 3" xfId="37"/>
    <cellStyle name="見出し 4" xfId="38"/>
    <cellStyle name="集計" xfId="39"/>
    <cellStyle name="出力" xfId="40"/>
    <cellStyle name="説明文" xfId="41"/>
    <cellStyle name="入力" xfId="42"/>
    <cellStyle name="標準" xfId="0" builtinId="0"/>
    <cellStyle name="標準 2" xfId="48"/>
    <cellStyle name="標準 3" xfId="50"/>
    <cellStyle name="標準_休業_休職願(1)" xfId="51"/>
    <cellStyle name="標準_休業_休職願(1)_交通費請求書　兼　精算書" xfId="49"/>
    <cellStyle name="標準_業務完了報告書（請負）" xfId="43"/>
    <cellStyle name="標準_勤務報告書" xfId="44"/>
    <cellStyle name="標準_新勤務報告書(2)Ver(1).2.6" xfId="45"/>
    <cellStyle name="標準_派遣受入用_個別契約･就業条件通知書･管理台帳（ひな型）(1)" xfId="46"/>
    <cellStyle name="良い" xfId="47"/>
  </cellStyles>
  <dxfs count="51">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indexed="26"/>
        </patternFill>
      </fill>
    </dxf>
    <dxf>
      <fill>
        <patternFill>
          <bgColor rgb="FFFFFF99"/>
        </patternFill>
      </fill>
    </dxf>
    <dxf>
      <fill>
        <patternFill>
          <bgColor indexed="26"/>
        </patternFill>
      </fill>
    </dxf>
    <dxf>
      <fill>
        <patternFill>
          <bgColor indexed="26"/>
        </patternFill>
      </fill>
    </dxf>
    <dxf>
      <fill>
        <patternFill>
          <bgColor indexed="26"/>
        </patternFill>
      </fill>
    </dxf>
    <dxf>
      <fill>
        <patternFill>
          <bgColor indexed="42"/>
        </patternFill>
      </fill>
    </dxf>
    <dxf>
      <font>
        <condense val="0"/>
        <extend val="0"/>
        <color indexed="10"/>
      </font>
      <fill>
        <patternFill patternType="none">
          <bgColor indexed="65"/>
        </patternFill>
      </fill>
    </dxf>
    <dxf>
      <font>
        <condense val="0"/>
        <extend val="0"/>
        <color indexed="10"/>
      </font>
      <fill>
        <patternFill patternType="none">
          <bgColor indexed="65"/>
        </patternFill>
      </fill>
    </dxf>
  </dxfs>
  <tableStyles count="0" defaultTableStyle="TableStyleMedium9" defaultPivotStyle="PivotStyleLight16"/>
  <colors>
    <mruColors>
      <color rgb="FFFFEBEB"/>
      <color rgb="FF99CCFF"/>
      <color rgb="FFFFFF99"/>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Radio" checked="Checked" firstButton="1" fmlaLink="$K$48"/>
</file>

<file path=xl/ctrlProps/ctrlProp3.xml><?xml version="1.0" encoding="utf-8"?>
<formControlPr xmlns="http://schemas.microsoft.com/office/spreadsheetml/2009/9/main" objectType="Radio"/>
</file>

<file path=xl/ctrlProps/ctrlProp4.xml><?xml version="1.0" encoding="utf-8"?>
<formControlPr xmlns="http://schemas.microsoft.com/office/spreadsheetml/2009/9/main" objectType="CheckBox" fmlaLink="$AU$55" lockText="1"/>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firstButton="1" fmlaLink="$AV$55"/>
</file>

<file path=xl/ctrlProps/ctrlProp9.xml><?xml version="1.0" encoding="utf-8"?>
<formControlPr xmlns="http://schemas.microsoft.com/office/spreadsheetml/2009/9/main" objectType="Radio"/>
</file>

<file path=xl/drawings/_rels/drawing4.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emf"/></Relationships>
</file>

<file path=xl/drawings/_rels/drawing7.x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5.emf"/></Relationships>
</file>

<file path=xl/drawings/_rels/drawing9.xml.rels><?xml version="1.0" encoding="UTF-8" standalone="yes"?>
<Relationships xmlns="http://schemas.openxmlformats.org/package/2006/relationships"><Relationship Id="rId2" Type="http://schemas.openxmlformats.org/officeDocument/2006/relationships/hyperlink" Target="#&#12479;&#12452;&#12512;&#12486;&#12540;&#12502;&#12523;!FX1"/><Relationship Id="rId1" Type="http://schemas.openxmlformats.org/officeDocument/2006/relationships/hyperlink" Target="#&#12479;&#12452;&#12512;&#12486;&#12540;&#12502;&#12523;!FJ1"/></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2.emf"/><Relationship Id="rId3" Type="http://schemas.openxmlformats.org/officeDocument/2006/relationships/image" Target="../media/image22.emf"/><Relationship Id="rId7" Type="http://schemas.openxmlformats.org/officeDocument/2006/relationships/image" Target="../media/image18.emf"/><Relationship Id="rId12" Type="http://schemas.openxmlformats.org/officeDocument/2006/relationships/image" Target="../media/image13.emf"/><Relationship Id="rId17" Type="http://schemas.openxmlformats.org/officeDocument/2006/relationships/image" Target="../media/image8.emf"/><Relationship Id="rId2" Type="http://schemas.openxmlformats.org/officeDocument/2006/relationships/image" Target="../media/image23.emf"/><Relationship Id="rId16" Type="http://schemas.openxmlformats.org/officeDocument/2006/relationships/image" Target="../media/image9.emf"/><Relationship Id="rId1" Type="http://schemas.openxmlformats.org/officeDocument/2006/relationships/image" Target="../media/image24.emf"/><Relationship Id="rId6" Type="http://schemas.openxmlformats.org/officeDocument/2006/relationships/image" Target="../media/image19.emf"/><Relationship Id="rId11" Type="http://schemas.openxmlformats.org/officeDocument/2006/relationships/image" Target="../media/image14.emf"/><Relationship Id="rId5" Type="http://schemas.openxmlformats.org/officeDocument/2006/relationships/image" Target="../media/image20.emf"/><Relationship Id="rId15" Type="http://schemas.openxmlformats.org/officeDocument/2006/relationships/image" Target="../media/image10.emf"/><Relationship Id="rId10" Type="http://schemas.openxmlformats.org/officeDocument/2006/relationships/image" Target="../media/image15.emf"/><Relationship Id="rId4" Type="http://schemas.openxmlformats.org/officeDocument/2006/relationships/image" Target="../media/image21.emf"/><Relationship Id="rId9" Type="http://schemas.openxmlformats.org/officeDocument/2006/relationships/image" Target="../media/image16.emf"/><Relationship Id="rId1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4</xdr:col>
      <xdr:colOff>0</xdr:colOff>
      <xdr:row>44</xdr:row>
      <xdr:rowOff>219075</xdr:rowOff>
    </xdr:from>
    <xdr:to>
      <xdr:col>5</xdr:col>
      <xdr:colOff>19050</xdr:colOff>
      <xdr:row>45</xdr:row>
      <xdr:rowOff>0</xdr:rowOff>
    </xdr:to>
    <xdr:sp macro="" textlink="">
      <xdr:nvSpPr>
        <xdr:cNvPr id="7169" name="Text Box 1"/>
        <xdr:cNvSpPr txBox="1">
          <a:spLocks noChangeArrowheads="1"/>
        </xdr:cNvSpPr>
      </xdr:nvSpPr>
      <xdr:spPr bwMode="auto">
        <a:xfrm>
          <a:off x="2066925" y="17306925"/>
          <a:ext cx="638175" cy="200025"/>
        </a:xfrm>
        <a:prstGeom prst="rect">
          <a:avLst/>
        </a:prstGeom>
        <a:no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ﾘﾌﾚｯｼｭ</a:t>
          </a:r>
        </a:p>
      </xdr:txBody>
    </xdr:sp>
    <xdr:clientData/>
  </xdr:twoCellAnchor>
  <xdr:twoCellAnchor>
    <xdr:from>
      <xdr:col>13</xdr:col>
      <xdr:colOff>590550</xdr:colOff>
      <xdr:row>44</xdr:row>
      <xdr:rowOff>28575</xdr:rowOff>
    </xdr:from>
    <xdr:to>
      <xdr:col>14</xdr:col>
      <xdr:colOff>0</xdr:colOff>
      <xdr:row>44</xdr:row>
      <xdr:rowOff>238125</xdr:rowOff>
    </xdr:to>
    <xdr:sp macro="" textlink="">
      <xdr:nvSpPr>
        <xdr:cNvPr id="7170" name="Text Box 2"/>
        <xdr:cNvSpPr txBox="1">
          <a:spLocks noChangeArrowheads="1"/>
        </xdr:cNvSpPr>
      </xdr:nvSpPr>
      <xdr:spPr bwMode="auto">
        <a:xfrm>
          <a:off x="7572375" y="17116425"/>
          <a:ext cx="3429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14</xdr:col>
      <xdr:colOff>552450</xdr:colOff>
      <xdr:row>44</xdr:row>
      <xdr:rowOff>28575</xdr:rowOff>
    </xdr:from>
    <xdr:to>
      <xdr:col>15</xdr:col>
      <xdr:colOff>9525</xdr:colOff>
      <xdr:row>44</xdr:row>
      <xdr:rowOff>238125</xdr:rowOff>
    </xdr:to>
    <xdr:sp macro="" textlink="">
      <xdr:nvSpPr>
        <xdr:cNvPr id="7171" name="Text Box 3"/>
        <xdr:cNvSpPr txBox="1">
          <a:spLocks noChangeArrowheads="1"/>
        </xdr:cNvSpPr>
      </xdr:nvSpPr>
      <xdr:spPr bwMode="auto">
        <a:xfrm>
          <a:off x="8467725" y="17116425"/>
          <a:ext cx="2952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oneCellAnchor>
    <xdr:from>
      <xdr:col>6</xdr:col>
      <xdr:colOff>438150</xdr:colOff>
      <xdr:row>11</xdr:row>
      <xdr:rowOff>84190</xdr:rowOff>
    </xdr:from>
    <xdr:ext cx="2191369" cy="270330"/>
    <xdr:sp macro="" textlink="">
      <xdr:nvSpPr>
        <xdr:cNvPr id="7172" name="Text Box 4"/>
        <xdr:cNvSpPr txBox="1">
          <a:spLocks noChangeArrowheads="1"/>
        </xdr:cNvSpPr>
      </xdr:nvSpPr>
      <xdr:spPr bwMode="auto">
        <a:xfrm>
          <a:off x="3812721" y="3309083"/>
          <a:ext cx="2191369" cy="270330"/>
        </a:xfrm>
        <a:prstGeom prst="rect">
          <a:avLst/>
        </a:prstGeom>
        <a:noFill/>
        <a:ln w="9525">
          <a:noFill/>
          <a:miter lim="800000"/>
          <a:headEnd/>
          <a:tailEnd/>
        </a:ln>
      </xdr:spPr>
      <xdr:txBody>
        <a:bodyPr wrap="none" lIns="18288" tIns="18288" rIns="18288" bIns="18288" anchor="ctr" upright="1">
          <a:spAutoFit/>
        </a:bodyPr>
        <a:lstStyle/>
        <a:p>
          <a:pPr algn="ctr" rtl="0">
            <a:defRPr sz="1000"/>
          </a:pPr>
          <a:r>
            <a:rPr lang="ja-JP" altLang="en-US" sz="1400" b="0" i="0" strike="noStrike">
              <a:solidFill>
                <a:srgbClr val="000000"/>
              </a:solidFill>
              <a:latin typeface="ＭＳ 明朝"/>
              <a:ea typeface="ＭＳ 明朝"/>
            </a:rPr>
            <a:t>摘　　　　　　　　　　要</a:t>
          </a:r>
        </a:p>
      </xdr:txBody>
    </xdr:sp>
    <xdr:clientData/>
  </xdr:oneCellAnchor>
  <xdr:oneCellAnchor>
    <xdr:from>
      <xdr:col>10</xdr:col>
      <xdr:colOff>476251</xdr:colOff>
      <xdr:row>7</xdr:row>
      <xdr:rowOff>42183</xdr:rowOff>
    </xdr:from>
    <xdr:ext cx="634020" cy="285206"/>
    <xdr:sp macro="" textlink="">
      <xdr:nvSpPr>
        <xdr:cNvPr id="7173" name="Text Box 5"/>
        <xdr:cNvSpPr txBox="1">
          <a:spLocks noChangeArrowheads="1"/>
        </xdr:cNvSpPr>
      </xdr:nvSpPr>
      <xdr:spPr bwMode="auto">
        <a:xfrm>
          <a:off x="6232072" y="1960790"/>
          <a:ext cx="634020" cy="285206"/>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600" b="0" i="0" strike="noStrike">
              <a:solidFill>
                <a:srgbClr val="000000"/>
              </a:solidFill>
              <a:latin typeface="ＭＳ Ｐ明朝" pitchFamily="18" charset="-128"/>
              <a:ea typeface="ＭＳ Ｐ明朝" pitchFamily="18" charset="-128"/>
            </a:rPr>
            <a:t>（西暦）</a:t>
          </a:r>
        </a:p>
      </xdr:txBody>
    </xdr:sp>
    <xdr:clientData/>
  </xdr:oneCellAnchor>
  <xdr:twoCellAnchor>
    <xdr:from>
      <xdr:col>5</xdr:col>
      <xdr:colOff>0</xdr:colOff>
      <xdr:row>44</xdr:row>
      <xdr:rowOff>228600</xdr:rowOff>
    </xdr:from>
    <xdr:to>
      <xdr:col>6</xdr:col>
      <xdr:colOff>28575</xdr:colOff>
      <xdr:row>45</xdr:row>
      <xdr:rowOff>0</xdr:rowOff>
    </xdr:to>
    <xdr:sp macro="" textlink="">
      <xdr:nvSpPr>
        <xdr:cNvPr id="7174" name="Text Box 6"/>
        <xdr:cNvSpPr txBox="1">
          <a:spLocks noChangeArrowheads="1"/>
        </xdr:cNvSpPr>
      </xdr:nvSpPr>
      <xdr:spPr bwMode="auto">
        <a:xfrm>
          <a:off x="2686050" y="17316450"/>
          <a:ext cx="695325" cy="190500"/>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慶 弔</a:t>
          </a:r>
        </a:p>
      </xdr:txBody>
    </xdr:sp>
    <xdr:clientData/>
  </xdr:twoCellAnchor>
  <xdr:twoCellAnchor>
    <xdr:from>
      <xdr:col>16</xdr:col>
      <xdr:colOff>352425</xdr:colOff>
      <xdr:row>46</xdr:row>
      <xdr:rowOff>28575</xdr:rowOff>
    </xdr:from>
    <xdr:to>
      <xdr:col>17</xdr:col>
      <xdr:colOff>0</xdr:colOff>
      <xdr:row>46</xdr:row>
      <xdr:rowOff>238125</xdr:rowOff>
    </xdr:to>
    <xdr:sp macro="" textlink="">
      <xdr:nvSpPr>
        <xdr:cNvPr id="7175" name="Text Box 7"/>
        <xdr:cNvSpPr txBox="1">
          <a:spLocks noChangeArrowheads="1"/>
        </xdr:cNvSpPr>
      </xdr:nvSpPr>
      <xdr:spPr bwMode="auto">
        <a:xfrm>
          <a:off x="9915525" y="17935575"/>
          <a:ext cx="2667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a:t>
          </a:r>
          <a:r>
            <a:rPr lang="ja-JP" altLang="en-US" sz="900" b="0" i="0" strike="noStrike">
              <a:solidFill>
                <a:srgbClr val="000000"/>
              </a:solidFill>
              <a:latin typeface="ＭＳ Ｐゴシック"/>
              <a:ea typeface="ＭＳ Ｐゴシック"/>
            </a:rPr>
            <a:t>回</a:t>
          </a:r>
          <a:r>
            <a:rPr lang="en-US" altLang="ja-JP" sz="900" b="0" i="0" strike="noStrike">
              <a:solidFill>
                <a:srgbClr val="000000"/>
              </a:solidFill>
              <a:latin typeface="ＭＳ Ｐゴシック"/>
              <a:ea typeface="ＭＳ Ｐゴシック"/>
            </a:rPr>
            <a:t>)</a:t>
          </a:r>
        </a:p>
      </xdr:txBody>
    </xdr:sp>
    <xdr:clientData/>
  </xdr:twoCellAnchor>
  <xdr:twoCellAnchor>
    <xdr:from>
      <xdr:col>17</xdr:col>
      <xdr:colOff>0</xdr:colOff>
      <xdr:row>45</xdr:row>
      <xdr:rowOff>0</xdr:rowOff>
    </xdr:from>
    <xdr:to>
      <xdr:col>17</xdr:col>
      <xdr:colOff>457200</xdr:colOff>
      <xdr:row>47</xdr:row>
      <xdr:rowOff>0</xdr:rowOff>
    </xdr:to>
    <xdr:sp macro="" textlink="">
      <xdr:nvSpPr>
        <xdr:cNvPr id="7176" name="Text Box 8"/>
        <xdr:cNvSpPr txBox="1">
          <a:spLocks noChangeArrowheads="1"/>
        </xdr:cNvSpPr>
      </xdr:nvSpPr>
      <xdr:spPr bwMode="auto">
        <a:xfrm>
          <a:off x="10182225" y="17506950"/>
          <a:ext cx="457200" cy="838200"/>
        </a:xfrm>
        <a:prstGeom prst="rect">
          <a:avLst/>
        </a:prstGeom>
        <a:solidFill>
          <a:srgbClr val="FFFFFF"/>
        </a:solidFill>
        <a:ln w="63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Ｐゴシック"/>
              <a:ea typeface="ＭＳ Ｐゴシック"/>
            </a:rPr>
            <a:t>振休</a:t>
          </a:r>
        </a:p>
        <a:p>
          <a:pPr algn="ctr" rtl="0">
            <a:defRPr sz="1000"/>
          </a:pPr>
          <a:r>
            <a:rPr lang="ja-JP" altLang="en-US" sz="1100" b="0" i="0" strike="noStrike">
              <a:solidFill>
                <a:srgbClr val="000000"/>
              </a:solidFill>
              <a:latin typeface="ＭＳ Ｐゴシック"/>
              <a:ea typeface="ＭＳ Ｐゴシック"/>
            </a:rPr>
            <a:t>控除</a:t>
          </a:r>
        </a:p>
      </xdr:txBody>
    </xdr:sp>
    <xdr:clientData/>
  </xdr:twoCellAnchor>
  <xdr:twoCellAnchor>
    <xdr:from>
      <xdr:col>22</xdr:col>
      <xdr:colOff>371475</xdr:colOff>
      <xdr:row>46</xdr:row>
      <xdr:rowOff>66675</xdr:rowOff>
    </xdr:from>
    <xdr:to>
      <xdr:col>22</xdr:col>
      <xdr:colOff>685800</xdr:colOff>
      <xdr:row>46</xdr:row>
      <xdr:rowOff>276225</xdr:rowOff>
    </xdr:to>
    <xdr:sp macro="" textlink="">
      <xdr:nvSpPr>
        <xdr:cNvPr id="7177" name="Text Box 9"/>
        <xdr:cNvSpPr txBox="1">
          <a:spLocks noChangeArrowheads="1"/>
        </xdr:cNvSpPr>
      </xdr:nvSpPr>
      <xdr:spPr bwMode="auto">
        <a:xfrm>
          <a:off x="13954125" y="17973675"/>
          <a:ext cx="31432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1000" b="0" i="0" strike="noStrike">
              <a:solidFill>
                <a:srgbClr val="000000"/>
              </a:solidFill>
              <a:latin typeface="ＭＳ Ｐゴシック"/>
              <a:ea typeface="ＭＳ Ｐゴシック"/>
            </a:rPr>
            <a:t>(</a:t>
          </a:r>
          <a:r>
            <a:rPr lang="ja-JP" altLang="en-US" sz="1000" b="0" i="0" strike="noStrike">
              <a:solidFill>
                <a:srgbClr val="000000"/>
              </a:solidFill>
              <a:latin typeface="ＭＳ Ｐゴシック"/>
              <a:ea typeface="ＭＳ Ｐゴシック"/>
            </a:rPr>
            <a:t>回</a:t>
          </a:r>
          <a:r>
            <a:rPr lang="en-US" altLang="ja-JP" sz="1000" b="0" i="0" strike="noStrike">
              <a:solidFill>
                <a:srgbClr val="000000"/>
              </a:solidFill>
              <a:latin typeface="ＭＳ Ｐゴシック"/>
              <a:ea typeface="ＭＳ Ｐゴシック"/>
            </a:rPr>
            <a:t>)</a:t>
          </a:r>
        </a:p>
      </xdr:txBody>
    </xdr:sp>
    <xdr:clientData/>
  </xdr:twoCellAnchor>
  <xdr:twoCellAnchor editAs="oneCell">
    <xdr:from>
      <xdr:col>21</xdr:col>
      <xdr:colOff>0</xdr:colOff>
      <xdr:row>39</xdr:row>
      <xdr:rowOff>247650</xdr:rowOff>
    </xdr:from>
    <xdr:to>
      <xdr:col>21</xdr:col>
      <xdr:colOff>123825</xdr:colOff>
      <xdr:row>40</xdr:row>
      <xdr:rowOff>142875</xdr:rowOff>
    </xdr:to>
    <xdr:sp macro="" textlink="">
      <xdr:nvSpPr>
        <xdr:cNvPr id="7731" name="Text Box 12"/>
        <xdr:cNvSpPr txBox="1">
          <a:spLocks noChangeArrowheads="1"/>
        </xdr:cNvSpPr>
      </xdr:nvSpPr>
      <xdr:spPr bwMode="auto">
        <a:xfrm>
          <a:off x="12858750" y="15449550"/>
          <a:ext cx="123825" cy="323850"/>
        </a:xfrm>
        <a:prstGeom prst="rect">
          <a:avLst/>
        </a:prstGeom>
        <a:noFill/>
        <a:ln w="9525">
          <a:noFill/>
          <a:miter lim="800000"/>
          <a:headEnd/>
          <a:tailEnd/>
        </a:ln>
      </xdr:spPr>
    </xdr:sp>
    <xdr:clientData/>
  </xdr:twoCellAnchor>
  <xdr:twoCellAnchor editAs="oneCell">
    <xdr:from>
      <xdr:col>7</xdr:col>
      <xdr:colOff>342900</xdr:colOff>
      <xdr:row>2</xdr:row>
      <xdr:rowOff>0</xdr:rowOff>
    </xdr:from>
    <xdr:to>
      <xdr:col>20</xdr:col>
      <xdr:colOff>190500</xdr:colOff>
      <xdr:row>4</xdr:row>
      <xdr:rowOff>102088</xdr:rowOff>
    </xdr:to>
    <xdr:sp macro="" textlink="">
      <xdr:nvSpPr>
        <xdr:cNvPr id="7182" name="テキスト 13"/>
        <xdr:cNvSpPr txBox="1">
          <a:spLocks noChangeArrowheads="1"/>
        </xdr:cNvSpPr>
      </xdr:nvSpPr>
      <xdr:spPr bwMode="auto">
        <a:xfrm>
          <a:off x="4267200" y="609600"/>
          <a:ext cx="8077200" cy="476250"/>
        </a:xfrm>
        <a:prstGeom prst="rect">
          <a:avLst/>
        </a:prstGeom>
        <a:solidFill>
          <a:srgbClr val="FFFFFF"/>
        </a:solidFill>
        <a:ln w="1">
          <a:noFill/>
          <a:miter lim="800000"/>
          <a:headEnd/>
          <a:tailEnd/>
        </a:ln>
      </xdr:spPr>
      <xdr:txBody>
        <a:bodyPr vertOverflow="clip" wrap="square" lIns="36576" tIns="22860" rIns="36576" bIns="22860" anchor="ctr" upright="1"/>
        <a:lstStyle/>
        <a:p>
          <a:pPr algn="ctr" rtl="0">
            <a:defRPr sz="1000"/>
          </a:pPr>
          <a:r>
            <a:rPr lang="ja-JP" altLang="en-US" sz="2800" b="1" i="0" strike="noStrike">
              <a:solidFill>
                <a:srgbClr val="000000"/>
              </a:solidFill>
              <a:latin typeface="ＭＳ 明朝"/>
              <a:ea typeface="ＭＳ 明朝"/>
            </a:rPr>
            <a:t>　稼働実績内訳書・派遣先管理台帳　入力用</a:t>
          </a:r>
        </a:p>
      </xdr:txBody>
    </xdr:sp>
    <xdr:clientData/>
  </xdr:twoCellAnchor>
  <xdr:twoCellAnchor>
    <xdr:from>
      <xdr:col>15</xdr:col>
      <xdr:colOff>590550</xdr:colOff>
      <xdr:row>44</xdr:row>
      <xdr:rowOff>28575</xdr:rowOff>
    </xdr:from>
    <xdr:to>
      <xdr:col>16</xdr:col>
      <xdr:colOff>123825</xdr:colOff>
      <xdr:row>44</xdr:row>
      <xdr:rowOff>238125</xdr:rowOff>
    </xdr:to>
    <xdr:sp macro="" textlink="">
      <xdr:nvSpPr>
        <xdr:cNvPr id="7183" name="Text Box 15"/>
        <xdr:cNvSpPr txBox="1">
          <a:spLocks noChangeArrowheads="1"/>
        </xdr:cNvSpPr>
      </xdr:nvSpPr>
      <xdr:spPr bwMode="auto">
        <a:xfrm>
          <a:off x="9344025" y="17116425"/>
          <a:ext cx="3429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17</xdr:col>
      <xdr:colOff>266700</xdr:colOff>
      <xdr:row>44</xdr:row>
      <xdr:rowOff>19050</xdr:rowOff>
    </xdr:from>
    <xdr:to>
      <xdr:col>18</xdr:col>
      <xdr:colOff>95250</xdr:colOff>
      <xdr:row>44</xdr:row>
      <xdr:rowOff>228600</xdr:rowOff>
    </xdr:to>
    <xdr:sp macro="" textlink="">
      <xdr:nvSpPr>
        <xdr:cNvPr id="7184" name="Text Box 16"/>
        <xdr:cNvSpPr txBox="1">
          <a:spLocks noChangeArrowheads="1"/>
        </xdr:cNvSpPr>
      </xdr:nvSpPr>
      <xdr:spPr bwMode="auto">
        <a:xfrm>
          <a:off x="10448925" y="17106900"/>
          <a:ext cx="4857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18</xdr:col>
      <xdr:colOff>266700</xdr:colOff>
      <xdr:row>44</xdr:row>
      <xdr:rowOff>19050</xdr:rowOff>
    </xdr:from>
    <xdr:to>
      <xdr:col>19</xdr:col>
      <xdr:colOff>57150</xdr:colOff>
      <xdr:row>44</xdr:row>
      <xdr:rowOff>228600</xdr:rowOff>
    </xdr:to>
    <xdr:sp macro="" textlink="">
      <xdr:nvSpPr>
        <xdr:cNvPr id="7185" name="Text Box 17"/>
        <xdr:cNvSpPr txBox="1">
          <a:spLocks noChangeArrowheads="1"/>
        </xdr:cNvSpPr>
      </xdr:nvSpPr>
      <xdr:spPr bwMode="auto">
        <a:xfrm>
          <a:off x="11106150" y="17106900"/>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19</xdr:col>
      <xdr:colOff>266700</xdr:colOff>
      <xdr:row>44</xdr:row>
      <xdr:rowOff>19050</xdr:rowOff>
    </xdr:from>
    <xdr:to>
      <xdr:col>20</xdr:col>
      <xdr:colOff>57150</xdr:colOff>
      <xdr:row>44</xdr:row>
      <xdr:rowOff>228600</xdr:rowOff>
    </xdr:to>
    <xdr:sp macro="" textlink="">
      <xdr:nvSpPr>
        <xdr:cNvPr id="7186" name="Text Box 18"/>
        <xdr:cNvSpPr txBox="1">
          <a:spLocks noChangeArrowheads="1"/>
        </xdr:cNvSpPr>
      </xdr:nvSpPr>
      <xdr:spPr bwMode="auto">
        <a:xfrm>
          <a:off x="11763375" y="17106900"/>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20</xdr:col>
      <xdr:colOff>323850</xdr:colOff>
      <xdr:row>44</xdr:row>
      <xdr:rowOff>19050</xdr:rowOff>
    </xdr:from>
    <xdr:to>
      <xdr:col>21</xdr:col>
      <xdr:colOff>66675</xdr:colOff>
      <xdr:row>44</xdr:row>
      <xdr:rowOff>228600</xdr:rowOff>
    </xdr:to>
    <xdr:sp macro="" textlink="">
      <xdr:nvSpPr>
        <xdr:cNvPr id="7187" name="Text Box 19"/>
        <xdr:cNvSpPr txBox="1">
          <a:spLocks noChangeArrowheads="1"/>
        </xdr:cNvSpPr>
      </xdr:nvSpPr>
      <xdr:spPr bwMode="auto">
        <a:xfrm>
          <a:off x="12477750" y="17106900"/>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16</xdr:col>
      <xdr:colOff>266700</xdr:colOff>
      <xdr:row>44</xdr:row>
      <xdr:rowOff>19050</xdr:rowOff>
    </xdr:from>
    <xdr:to>
      <xdr:col>17</xdr:col>
      <xdr:colOff>95250</xdr:colOff>
      <xdr:row>44</xdr:row>
      <xdr:rowOff>228600</xdr:rowOff>
    </xdr:to>
    <xdr:sp macro="" textlink="">
      <xdr:nvSpPr>
        <xdr:cNvPr id="7188" name="Text Box 20"/>
        <xdr:cNvSpPr txBox="1">
          <a:spLocks noChangeArrowheads="1"/>
        </xdr:cNvSpPr>
      </xdr:nvSpPr>
      <xdr:spPr bwMode="auto">
        <a:xfrm>
          <a:off x="9829800" y="17106900"/>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22</xdr:col>
      <xdr:colOff>361950</xdr:colOff>
      <xdr:row>44</xdr:row>
      <xdr:rowOff>9525</xdr:rowOff>
    </xdr:from>
    <xdr:to>
      <xdr:col>24</xdr:col>
      <xdr:colOff>9525</xdr:colOff>
      <xdr:row>44</xdr:row>
      <xdr:rowOff>219075</xdr:rowOff>
    </xdr:to>
    <xdr:sp macro="" textlink="">
      <xdr:nvSpPr>
        <xdr:cNvPr id="7189" name="Text Box 21"/>
        <xdr:cNvSpPr txBox="1">
          <a:spLocks noChangeArrowheads="1"/>
        </xdr:cNvSpPr>
      </xdr:nvSpPr>
      <xdr:spPr bwMode="auto">
        <a:xfrm>
          <a:off x="13944600" y="17097375"/>
          <a:ext cx="5238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6</xdr:col>
      <xdr:colOff>0</xdr:colOff>
      <xdr:row>44</xdr:row>
      <xdr:rowOff>228600</xdr:rowOff>
    </xdr:from>
    <xdr:to>
      <xdr:col>7</xdr:col>
      <xdr:colOff>0</xdr:colOff>
      <xdr:row>45</xdr:row>
      <xdr:rowOff>0</xdr:rowOff>
    </xdr:to>
    <xdr:sp macro="" textlink="">
      <xdr:nvSpPr>
        <xdr:cNvPr id="7190" name="Text Box 22"/>
        <xdr:cNvSpPr txBox="1">
          <a:spLocks noChangeArrowheads="1"/>
        </xdr:cNvSpPr>
      </xdr:nvSpPr>
      <xdr:spPr bwMode="auto">
        <a:xfrm>
          <a:off x="3352800" y="17316450"/>
          <a:ext cx="571500" cy="190500"/>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900" b="0" i="0" strike="noStrike">
              <a:solidFill>
                <a:srgbClr val="000000"/>
              </a:solidFill>
              <a:latin typeface="ＭＳ 明朝"/>
              <a:ea typeface="ＭＳ 明朝"/>
            </a:rPr>
            <a:t>永年勤続</a:t>
          </a:r>
        </a:p>
      </xdr:txBody>
    </xdr:sp>
    <xdr:clientData/>
  </xdr:twoCellAnchor>
  <xdr:twoCellAnchor>
    <xdr:from>
      <xdr:col>4</xdr:col>
      <xdr:colOff>0</xdr:colOff>
      <xdr:row>44</xdr:row>
      <xdr:rowOff>9525</xdr:rowOff>
    </xdr:from>
    <xdr:to>
      <xdr:col>7</xdr:col>
      <xdr:colOff>0</xdr:colOff>
      <xdr:row>44</xdr:row>
      <xdr:rowOff>228600</xdr:rowOff>
    </xdr:to>
    <xdr:sp macro="" textlink="">
      <xdr:nvSpPr>
        <xdr:cNvPr id="7191" name="テキスト 15"/>
        <xdr:cNvSpPr txBox="1">
          <a:spLocks noChangeArrowheads="1"/>
        </xdr:cNvSpPr>
      </xdr:nvSpPr>
      <xdr:spPr bwMode="auto">
        <a:xfrm>
          <a:off x="2066925" y="17097375"/>
          <a:ext cx="1857375" cy="219075"/>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明朝"/>
              <a:ea typeface="ＭＳ 明朝"/>
            </a:rPr>
            <a:t>特休</a:t>
          </a:r>
        </a:p>
      </xdr:txBody>
    </xdr:sp>
    <xdr:clientData/>
  </xdr:twoCellAnchor>
  <xdr:twoCellAnchor>
    <xdr:from>
      <xdr:col>1</xdr:col>
      <xdr:colOff>152400</xdr:colOff>
      <xdr:row>12</xdr:row>
      <xdr:rowOff>19050</xdr:rowOff>
    </xdr:from>
    <xdr:to>
      <xdr:col>2</xdr:col>
      <xdr:colOff>600075</xdr:colOff>
      <xdr:row>13</xdr:row>
      <xdr:rowOff>0</xdr:rowOff>
    </xdr:to>
    <xdr:sp macro="" textlink="">
      <xdr:nvSpPr>
        <xdr:cNvPr id="7743" name="Holiday1"/>
        <xdr:cNvSpPr>
          <a:spLocks noChangeArrowheads="1"/>
        </xdr:cNvSpPr>
      </xdr:nvSpPr>
      <xdr:spPr bwMode="auto">
        <a:xfrm>
          <a:off x="581025" y="3648075"/>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13</xdr:row>
      <xdr:rowOff>19050</xdr:rowOff>
    </xdr:from>
    <xdr:to>
      <xdr:col>2</xdr:col>
      <xdr:colOff>600075</xdr:colOff>
      <xdr:row>14</xdr:row>
      <xdr:rowOff>0</xdr:rowOff>
    </xdr:to>
    <xdr:sp macro="" textlink="">
      <xdr:nvSpPr>
        <xdr:cNvPr id="7744" name="Holiday2"/>
        <xdr:cNvSpPr>
          <a:spLocks noChangeArrowheads="1"/>
        </xdr:cNvSpPr>
      </xdr:nvSpPr>
      <xdr:spPr bwMode="auto">
        <a:xfrm>
          <a:off x="581025" y="4076700"/>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14</xdr:row>
      <xdr:rowOff>19050</xdr:rowOff>
    </xdr:from>
    <xdr:to>
      <xdr:col>2</xdr:col>
      <xdr:colOff>600075</xdr:colOff>
      <xdr:row>15</xdr:row>
      <xdr:rowOff>0</xdr:rowOff>
    </xdr:to>
    <xdr:sp macro="" textlink="">
      <xdr:nvSpPr>
        <xdr:cNvPr id="7745" name="Holiday3"/>
        <xdr:cNvSpPr>
          <a:spLocks noChangeArrowheads="1"/>
        </xdr:cNvSpPr>
      </xdr:nvSpPr>
      <xdr:spPr bwMode="auto">
        <a:xfrm>
          <a:off x="581025" y="4505325"/>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15</xdr:row>
      <xdr:rowOff>19050</xdr:rowOff>
    </xdr:from>
    <xdr:to>
      <xdr:col>2</xdr:col>
      <xdr:colOff>600075</xdr:colOff>
      <xdr:row>16</xdr:row>
      <xdr:rowOff>0</xdr:rowOff>
    </xdr:to>
    <xdr:sp macro="" textlink="">
      <xdr:nvSpPr>
        <xdr:cNvPr id="7746" name="Holiday4"/>
        <xdr:cNvSpPr>
          <a:spLocks noChangeArrowheads="1"/>
        </xdr:cNvSpPr>
      </xdr:nvSpPr>
      <xdr:spPr bwMode="auto">
        <a:xfrm>
          <a:off x="581025" y="4933950"/>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16</xdr:row>
      <xdr:rowOff>19050</xdr:rowOff>
    </xdr:from>
    <xdr:to>
      <xdr:col>2</xdr:col>
      <xdr:colOff>600075</xdr:colOff>
      <xdr:row>17</xdr:row>
      <xdr:rowOff>0</xdr:rowOff>
    </xdr:to>
    <xdr:sp macro="" textlink="">
      <xdr:nvSpPr>
        <xdr:cNvPr id="7747" name="Holiday5"/>
        <xdr:cNvSpPr>
          <a:spLocks noChangeArrowheads="1"/>
        </xdr:cNvSpPr>
      </xdr:nvSpPr>
      <xdr:spPr bwMode="auto">
        <a:xfrm>
          <a:off x="581025" y="5362575"/>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17</xdr:row>
      <xdr:rowOff>19050</xdr:rowOff>
    </xdr:from>
    <xdr:to>
      <xdr:col>2</xdr:col>
      <xdr:colOff>600075</xdr:colOff>
      <xdr:row>18</xdr:row>
      <xdr:rowOff>0</xdr:rowOff>
    </xdr:to>
    <xdr:sp macro="" textlink="">
      <xdr:nvSpPr>
        <xdr:cNvPr id="7748" name="Holiday6"/>
        <xdr:cNvSpPr>
          <a:spLocks noChangeArrowheads="1"/>
        </xdr:cNvSpPr>
      </xdr:nvSpPr>
      <xdr:spPr bwMode="auto">
        <a:xfrm>
          <a:off x="581025" y="5791200"/>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18</xdr:row>
      <xdr:rowOff>19050</xdr:rowOff>
    </xdr:from>
    <xdr:to>
      <xdr:col>2</xdr:col>
      <xdr:colOff>600075</xdr:colOff>
      <xdr:row>19</xdr:row>
      <xdr:rowOff>0</xdr:rowOff>
    </xdr:to>
    <xdr:sp macro="" textlink="">
      <xdr:nvSpPr>
        <xdr:cNvPr id="7749" name="Holiday7"/>
        <xdr:cNvSpPr>
          <a:spLocks noChangeArrowheads="1"/>
        </xdr:cNvSpPr>
      </xdr:nvSpPr>
      <xdr:spPr bwMode="auto">
        <a:xfrm>
          <a:off x="581025" y="6219825"/>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19</xdr:row>
      <xdr:rowOff>19050</xdr:rowOff>
    </xdr:from>
    <xdr:to>
      <xdr:col>2</xdr:col>
      <xdr:colOff>600075</xdr:colOff>
      <xdr:row>20</xdr:row>
      <xdr:rowOff>0</xdr:rowOff>
    </xdr:to>
    <xdr:sp macro="" textlink="">
      <xdr:nvSpPr>
        <xdr:cNvPr id="7750" name="Holiday8"/>
        <xdr:cNvSpPr>
          <a:spLocks noChangeArrowheads="1"/>
        </xdr:cNvSpPr>
      </xdr:nvSpPr>
      <xdr:spPr bwMode="auto">
        <a:xfrm>
          <a:off x="581025" y="6648450"/>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20</xdr:row>
      <xdr:rowOff>19050</xdr:rowOff>
    </xdr:from>
    <xdr:to>
      <xdr:col>2</xdr:col>
      <xdr:colOff>600075</xdr:colOff>
      <xdr:row>21</xdr:row>
      <xdr:rowOff>0</xdr:rowOff>
    </xdr:to>
    <xdr:sp macro="" textlink="">
      <xdr:nvSpPr>
        <xdr:cNvPr id="7751" name="Holiday9"/>
        <xdr:cNvSpPr>
          <a:spLocks noChangeArrowheads="1"/>
        </xdr:cNvSpPr>
      </xdr:nvSpPr>
      <xdr:spPr bwMode="auto">
        <a:xfrm>
          <a:off x="581025" y="7077075"/>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21</xdr:row>
      <xdr:rowOff>19050</xdr:rowOff>
    </xdr:from>
    <xdr:to>
      <xdr:col>2</xdr:col>
      <xdr:colOff>600075</xdr:colOff>
      <xdr:row>22</xdr:row>
      <xdr:rowOff>0</xdr:rowOff>
    </xdr:to>
    <xdr:sp macro="" textlink="">
      <xdr:nvSpPr>
        <xdr:cNvPr id="7752" name="Holiday10"/>
        <xdr:cNvSpPr>
          <a:spLocks noChangeArrowheads="1"/>
        </xdr:cNvSpPr>
      </xdr:nvSpPr>
      <xdr:spPr bwMode="auto">
        <a:xfrm>
          <a:off x="581025" y="7505700"/>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22</xdr:row>
      <xdr:rowOff>19050</xdr:rowOff>
    </xdr:from>
    <xdr:to>
      <xdr:col>2</xdr:col>
      <xdr:colOff>600075</xdr:colOff>
      <xdr:row>23</xdr:row>
      <xdr:rowOff>0</xdr:rowOff>
    </xdr:to>
    <xdr:sp macro="" textlink="">
      <xdr:nvSpPr>
        <xdr:cNvPr id="7753" name="Holiday11"/>
        <xdr:cNvSpPr>
          <a:spLocks noChangeArrowheads="1"/>
        </xdr:cNvSpPr>
      </xdr:nvSpPr>
      <xdr:spPr bwMode="auto">
        <a:xfrm>
          <a:off x="581025" y="7934325"/>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23</xdr:row>
      <xdr:rowOff>19050</xdr:rowOff>
    </xdr:from>
    <xdr:to>
      <xdr:col>2</xdr:col>
      <xdr:colOff>600075</xdr:colOff>
      <xdr:row>24</xdr:row>
      <xdr:rowOff>0</xdr:rowOff>
    </xdr:to>
    <xdr:sp macro="" textlink="">
      <xdr:nvSpPr>
        <xdr:cNvPr id="7754" name="Holiday12"/>
        <xdr:cNvSpPr>
          <a:spLocks noChangeArrowheads="1"/>
        </xdr:cNvSpPr>
      </xdr:nvSpPr>
      <xdr:spPr bwMode="auto">
        <a:xfrm>
          <a:off x="581025" y="8362950"/>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24</xdr:row>
      <xdr:rowOff>19050</xdr:rowOff>
    </xdr:from>
    <xdr:to>
      <xdr:col>2</xdr:col>
      <xdr:colOff>600075</xdr:colOff>
      <xdr:row>25</xdr:row>
      <xdr:rowOff>0</xdr:rowOff>
    </xdr:to>
    <xdr:sp macro="" textlink="">
      <xdr:nvSpPr>
        <xdr:cNvPr id="7755" name="Holiday13"/>
        <xdr:cNvSpPr>
          <a:spLocks noChangeArrowheads="1"/>
        </xdr:cNvSpPr>
      </xdr:nvSpPr>
      <xdr:spPr bwMode="auto">
        <a:xfrm>
          <a:off x="581025" y="8791575"/>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25</xdr:row>
      <xdr:rowOff>19050</xdr:rowOff>
    </xdr:from>
    <xdr:to>
      <xdr:col>2</xdr:col>
      <xdr:colOff>600075</xdr:colOff>
      <xdr:row>26</xdr:row>
      <xdr:rowOff>0</xdr:rowOff>
    </xdr:to>
    <xdr:sp macro="" textlink="">
      <xdr:nvSpPr>
        <xdr:cNvPr id="7756" name="Holiday14"/>
        <xdr:cNvSpPr>
          <a:spLocks noChangeArrowheads="1"/>
        </xdr:cNvSpPr>
      </xdr:nvSpPr>
      <xdr:spPr bwMode="auto">
        <a:xfrm>
          <a:off x="581025" y="9220200"/>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26</xdr:row>
      <xdr:rowOff>19050</xdr:rowOff>
    </xdr:from>
    <xdr:to>
      <xdr:col>2</xdr:col>
      <xdr:colOff>600075</xdr:colOff>
      <xdr:row>27</xdr:row>
      <xdr:rowOff>0</xdr:rowOff>
    </xdr:to>
    <xdr:sp macro="" textlink="">
      <xdr:nvSpPr>
        <xdr:cNvPr id="7757" name="Holiday15"/>
        <xdr:cNvSpPr>
          <a:spLocks noChangeArrowheads="1"/>
        </xdr:cNvSpPr>
      </xdr:nvSpPr>
      <xdr:spPr bwMode="auto">
        <a:xfrm>
          <a:off x="581025" y="9648825"/>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27</xdr:row>
      <xdr:rowOff>19050</xdr:rowOff>
    </xdr:from>
    <xdr:to>
      <xdr:col>2</xdr:col>
      <xdr:colOff>600075</xdr:colOff>
      <xdr:row>28</xdr:row>
      <xdr:rowOff>0</xdr:rowOff>
    </xdr:to>
    <xdr:sp macro="" textlink="">
      <xdr:nvSpPr>
        <xdr:cNvPr id="7758" name="Holiday16"/>
        <xdr:cNvSpPr>
          <a:spLocks noChangeArrowheads="1"/>
        </xdr:cNvSpPr>
      </xdr:nvSpPr>
      <xdr:spPr bwMode="auto">
        <a:xfrm>
          <a:off x="581025" y="10077450"/>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28</xdr:row>
      <xdr:rowOff>19050</xdr:rowOff>
    </xdr:from>
    <xdr:to>
      <xdr:col>2</xdr:col>
      <xdr:colOff>600075</xdr:colOff>
      <xdr:row>29</xdr:row>
      <xdr:rowOff>0</xdr:rowOff>
    </xdr:to>
    <xdr:sp macro="" textlink="">
      <xdr:nvSpPr>
        <xdr:cNvPr id="7759" name="Holiday17"/>
        <xdr:cNvSpPr>
          <a:spLocks noChangeArrowheads="1"/>
        </xdr:cNvSpPr>
      </xdr:nvSpPr>
      <xdr:spPr bwMode="auto">
        <a:xfrm>
          <a:off x="581025" y="10506075"/>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29</xdr:row>
      <xdr:rowOff>19050</xdr:rowOff>
    </xdr:from>
    <xdr:to>
      <xdr:col>2</xdr:col>
      <xdr:colOff>600075</xdr:colOff>
      <xdr:row>30</xdr:row>
      <xdr:rowOff>0</xdr:rowOff>
    </xdr:to>
    <xdr:sp macro="" textlink="">
      <xdr:nvSpPr>
        <xdr:cNvPr id="7760" name="Holiday18"/>
        <xdr:cNvSpPr>
          <a:spLocks noChangeArrowheads="1"/>
        </xdr:cNvSpPr>
      </xdr:nvSpPr>
      <xdr:spPr bwMode="auto">
        <a:xfrm>
          <a:off x="581025" y="10934700"/>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30</xdr:row>
      <xdr:rowOff>19050</xdr:rowOff>
    </xdr:from>
    <xdr:to>
      <xdr:col>2</xdr:col>
      <xdr:colOff>600075</xdr:colOff>
      <xdr:row>31</xdr:row>
      <xdr:rowOff>0</xdr:rowOff>
    </xdr:to>
    <xdr:sp macro="" textlink="">
      <xdr:nvSpPr>
        <xdr:cNvPr id="7761" name="Holiday19"/>
        <xdr:cNvSpPr>
          <a:spLocks noChangeArrowheads="1"/>
        </xdr:cNvSpPr>
      </xdr:nvSpPr>
      <xdr:spPr bwMode="auto">
        <a:xfrm>
          <a:off x="581025" y="11363325"/>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31</xdr:row>
      <xdr:rowOff>19050</xdr:rowOff>
    </xdr:from>
    <xdr:to>
      <xdr:col>2</xdr:col>
      <xdr:colOff>600075</xdr:colOff>
      <xdr:row>32</xdr:row>
      <xdr:rowOff>0</xdr:rowOff>
    </xdr:to>
    <xdr:sp macro="" textlink="">
      <xdr:nvSpPr>
        <xdr:cNvPr id="7762" name="Holiday20"/>
        <xdr:cNvSpPr>
          <a:spLocks noChangeArrowheads="1"/>
        </xdr:cNvSpPr>
      </xdr:nvSpPr>
      <xdr:spPr bwMode="auto">
        <a:xfrm>
          <a:off x="581025" y="11791950"/>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32</xdr:row>
      <xdr:rowOff>19050</xdr:rowOff>
    </xdr:from>
    <xdr:to>
      <xdr:col>2</xdr:col>
      <xdr:colOff>600075</xdr:colOff>
      <xdr:row>33</xdr:row>
      <xdr:rowOff>0</xdr:rowOff>
    </xdr:to>
    <xdr:sp macro="" textlink="">
      <xdr:nvSpPr>
        <xdr:cNvPr id="7763" name="Holiday21"/>
        <xdr:cNvSpPr>
          <a:spLocks noChangeArrowheads="1"/>
        </xdr:cNvSpPr>
      </xdr:nvSpPr>
      <xdr:spPr bwMode="auto">
        <a:xfrm>
          <a:off x="581025" y="12220575"/>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33</xdr:row>
      <xdr:rowOff>19050</xdr:rowOff>
    </xdr:from>
    <xdr:to>
      <xdr:col>2</xdr:col>
      <xdr:colOff>600075</xdr:colOff>
      <xdr:row>34</xdr:row>
      <xdr:rowOff>0</xdr:rowOff>
    </xdr:to>
    <xdr:sp macro="" textlink="">
      <xdr:nvSpPr>
        <xdr:cNvPr id="7764" name="Holiday22"/>
        <xdr:cNvSpPr>
          <a:spLocks noChangeArrowheads="1"/>
        </xdr:cNvSpPr>
      </xdr:nvSpPr>
      <xdr:spPr bwMode="auto">
        <a:xfrm>
          <a:off x="581025" y="12649200"/>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34</xdr:row>
      <xdr:rowOff>19050</xdr:rowOff>
    </xdr:from>
    <xdr:to>
      <xdr:col>2</xdr:col>
      <xdr:colOff>600075</xdr:colOff>
      <xdr:row>35</xdr:row>
      <xdr:rowOff>0</xdr:rowOff>
    </xdr:to>
    <xdr:sp macro="" textlink="">
      <xdr:nvSpPr>
        <xdr:cNvPr id="7765" name="Holiday23"/>
        <xdr:cNvSpPr>
          <a:spLocks noChangeArrowheads="1"/>
        </xdr:cNvSpPr>
      </xdr:nvSpPr>
      <xdr:spPr bwMode="auto">
        <a:xfrm>
          <a:off x="581025" y="13077825"/>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35</xdr:row>
      <xdr:rowOff>19050</xdr:rowOff>
    </xdr:from>
    <xdr:to>
      <xdr:col>2</xdr:col>
      <xdr:colOff>600075</xdr:colOff>
      <xdr:row>36</xdr:row>
      <xdr:rowOff>0</xdr:rowOff>
    </xdr:to>
    <xdr:sp macro="" textlink="">
      <xdr:nvSpPr>
        <xdr:cNvPr id="7766" name="Holiday24"/>
        <xdr:cNvSpPr>
          <a:spLocks noChangeArrowheads="1"/>
        </xdr:cNvSpPr>
      </xdr:nvSpPr>
      <xdr:spPr bwMode="auto">
        <a:xfrm>
          <a:off x="581025" y="13506450"/>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36</xdr:row>
      <xdr:rowOff>19050</xdr:rowOff>
    </xdr:from>
    <xdr:to>
      <xdr:col>2</xdr:col>
      <xdr:colOff>600075</xdr:colOff>
      <xdr:row>37</xdr:row>
      <xdr:rowOff>0</xdr:rowOff>
    </xdr:to>
    <xdr:sp macro="" textlink="">
      <xdr:nvSpPr>
        <xdr:cNvPr id="7767" name="Holiday25"/>
        <xdr:cNvSpPr>
          <a:spLocks noChangeArrowheads="1"/>
        </xdr:cNvSpPr>
      </xdr:nvSpPr>
      <xdr:spPr bwMode="auto">
        <a:xfrm>
          <a:off x="581025" y="13935075"/>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37</xdr:row>
      <xdr:rowOff>19050</xdr:rowOff>
    </xdr:from>
    <xdr:to>
      <xdr:col>2</xdr:col>
      <xdr:colOff>600075</xdr:colOff>
      <xdr:row>38</xdr:row>
      <xdr:rowOff>0</xdr:rowOff>
    </xdr:to>
    <xdr:sp macro="" textlink="">
      <xdr:nvSpPr>
        <xdr:cNvPr id="7768" name="Holiday26"/>
        <xdr:cNvSpPr>
          <a:spLocks noChangeArrowheads="1"/>
        </xdr:cNvSpPr>
      </xdr:nvSpPr>
      <xdr:spPr bwMode="auto">
        <a:xfrm>
          <a:off x="581025" y="14363700"/>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38</xdr:row>
      <xdr:rowOff>19050</xdr:rowOff>
    </xdr:from>
    <xdr:to>
      <xdr:col>2</xdr:col>
      <xdr:colOff>600075</xdr:colOff>
      <xdr:row>39</xdr:row>
      <xdr:rowOff>0</xdr:rowOff>
    </xdr:to>
    <xdr:sp macro="" textlink="">
      <xdr:nvSpPr>
        <xdr:cNvPr id="7769" name="Holiday27"/>
        <xdr:cNvSpPr>
          <a:spLocks noChangeArrowheads="1"/>
        </xdr:cNvSpPr>
      </xdr:nvSpPr>
      <xdr:spPr bwMode="auto">
        <a:xfrm>
          <a:off x="581025" y="14792325"/>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39</xdr:row>
      <xdr:rowOff>19050</xdr:rowOff>
    </xdr:from>
    <xdr:to>
      <xdr:col>2</xdr:col>
      <xdr:colOff>600075</xdr:colOff>
      <xdr:row>40</xdr:row>
      <xdr:rowOff>0</xdr:rowOff>
    </xdr:to>
    <xdr:sp macro="" textlink="">
      <xdr:nvSpPr>
        <xdr:cNvPr id="7770" name="Holiday28"/>
        <xdr:cNvSpPr>
          <a:spLocks noChangeArrowheads="1"/>
        </xdr:cNvSpPr>
      </xdr:nvSpPr>
      <xdr:spPr bwMode="auto">
        <a:xfrm>
          <a:off x="581025" y="15220950"/>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40</xdr:row>
      <xdr:rowOff>19050</xdr:rowOff>
    </xdr:from>
    <xdr:to>
      <xdr:col>2</xdr:col>
      <xdr:colOff>600075</xdr:colOff>
      <xdr:row>41</xdr:row>
      <xdr:rowOff>0</xdr:rowOff>
    </xdr:to>
    <xdr:sp macro="" textlink="">
      <xdr:nvSpPr>
        <xdr:cNvPr id="7771" name="Holiday29"/>
        <xdr:cNvSpPr>
          <a:spLocks noChangeArrowheads="1"/>
        </xdr:cNvSpPr>
      </xdr:nvSpPr>
      <xdr:spPr bwMode="auto">
        <a:xfrm>
          <a:off x="581025" y="15649575"/>
          <a:ext cx="714375" cy="409575"/>
        </a:xfrm>
        <a:prstGeom prst="ellipse">
          <a:avLst/>
        </a:prstGeom>
        <a:noFill/>
        <a:ln w="9525" cmpd="sng">
          <a:noFill/>
          <a:prstDash val="solid"/>
          <a:round/>
          <a:headEnd/>
          <a:tailEnd/>
        </a:ln>
        <a:extLst>
          <a:ext uri="{91240B29-F687-4F45-9708-019B960494DF}">
            <a14:hiddenLine xmlns:a14="http://schemas.microsoft.com/office/drawing/2010/main" w="9525" cmpd="sng">
              <a:solidFill>
                <a:srgbClr xmlns:mc="http://schemas.openxmlformats.org/markup-compatibility/2006" val="000000" mc:Ignorable="a14" a14:legacySpreadsheetColorIndex="64"/>
              </a:solidFill>
              <a:prstDash val="solid"/>
              <a:round/>
              <a:headEnd/>
              <a:tailEnd/>
            </a14:hiddenLine>
          </a:ext>
        </a:extLst>
      </xdr:spPr>
    </xdr:sp>
    <xdr:clientData/>
  </xdr:twoCellAnchor>
  <xdr:twoCellAnchor>
    <xdr:from>
      <xdr:col>1</xdr:col>
      <xdr:colOff>152400</xdr:colOff>
      <xdr:row>41</xdr:row>
      <xdr:rowOff>19050</xdr:rowOff>
    </xdr:from>
    <xdr:to>
      <xdr:col>2</xdr:col>
      <xdr:colOff>600075</xdr:colOff>
      <xdr:row>42</xdr:row>
      <xdr:rowOff>0</xdr:rowOff>
    </xdr:to>
    <xdr:sp macro="" textlink="">
      <xdr:nvSpPr>
        <xdr:cNvPr id="7772" name="Holiday30"/>
        <xdr:cNvSpPr>
          <a:spLocks noChangeArrowheads="1"/>
        </xdr:cNvSpPr>
      </xdr:nvSpPr>
      <xdr:spPr bwMode="auto">
        <a:xfrm>
          <a:off x="581025" y="16078200"/>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1</xdr:col>
      <xdr:colOff>152400</xdr:colOff>
      <xdr:row>42</xdr:row>
      <xdr:rowOff>19050</xdr:rowOff>
    </xdr:from>
    <xdr:to>
      <xdr:col>2</xdr:col>
      <xdr:colOff>600075</xdr:colOff>
      <xdr:row>43</xdr:row>
      <xdr:rowOff>0</xdr:rowOff>
    </xdr:to>
    <xdr:sp macro="" textlink="">
      <xdr:nvSpPr>
        <xdr:cNvPr id="7773" name="Holiday31"/>
        <xdr:cNvSpPr>
          <a:spLocks noChangeArrowheads="1"/>
        </xdr:cNvSpPr>
      </xdr:nvSpPr>
      <xdr:spPr bwMode="auto">
        <a:xfrm>
          <a:off x="581025" y="16506825"/>
          <a:ext cx="714375" cy="409575"/>
        </a:xfrm>
        <a:prstGeom prst="ellipse">
          <a:avLst/>
        </a:prstGeom>
        <a:noFill/>
        <a:ln w="9525" cmpd="sng">
          <a:solidFill>
            <a:srgbClr xmlns:mc="http://schemas.openxmlformats.org/markup-compatibility/2006" xmlns:a14="http://schemas.microsoft.com/office/drawing/2010/main" val="000000" mc:Ignorable="a14" a14:legacySpreadsheetColorIndex="64"/>
          </a:solidFill>
          <a:prstDash val="solid"/>
          <a:round/>
          <a:headEnd/>
          <a:tailEnd/>
        </a:ln>
        <a:extLst/>
      </xdr:spPr>
    </xdr:sp>
    <xdr:clientData/>
  </xdr:twoCellAnchor>
  <xdr:twoCellAnchor>
    <xdr:from>
      <xdr:col>4</xdr:col>
      <xdr:colOff>0</xdr:colOff>
      <xdr:row>57</xdr:row>
      <xdr:rowOff>219075</xdr:rowOff>
    </xdr:from>
    <xdr:to>
      <xdr:col>5</xdr:col>
      <xdr:colOff>19050</xdr:colOff>
      <xdr:row>58</xdr:row>
      <xdr:rowOff>0</xdr:rowOff>
    </xdr:to>
    <xdr:sp macro="" textlink="">
      <xdr:nvSpPr>
        <xdr:cNvPr id="7229" name="Text Box 61"/>
        <xdr:cNvSpPr txBox="1">
          <a:spLocks noChangeArrowheads="1"/>
        </xdr:cNvSpPr>
      </xdr:nvSpPr>
      <xdr:spPr bwMode="auto">
        <a:xfrm>
          <a:off x="2066925" y="20831175"/>
          <a:ext cx="638175" cy="209550"/>
        </a:xfrm>
        <a:prstGeom prst="rect">
          <a:avLst/>
        </a:prstGeom>
        <a:no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ﾘﾌﾚｯｼｭ</a:t>
          </a:r>
        </a:p>
      </xdr:txBody>
    </xdr:sp>
    <xdr:clientData/>
  </xdr:twoCellAnchor>
  <xdr:twoCellAnchor>
    <xdr:from>
      <xdr:col>13</xdr:col>
      <xdr:colOff>590550</xdr:colOff>
      <xdr:row>57</xdr:row>
      <xdr:rowOff>28575</xdr:rowOff>
    </xdr:from>
    <xdr:to>
      <xdr:col>14</xdr:col>
      <xdr:colOff>0</xdr:colOff>
      <xdr:row>57</xdr:row>
      <xdr:rowOff>238125</xdr:rowOff>
    </xdr:to>
    <xdr:sp macro="" textlink="">
      <xdr:nvSpPr>
        <xdr:cNvPr id="7230" name="Text Box 62"/>
        <xdr:cNvSpPr txBox="1">
          <a:spLocks noChangeArrowheads="1"/>
        </xdr:cNvSpPr>
      </xdr:nvSpPr>
      <xdr:spPr bwMode="auto">
        <a:xfrm>
          <a:off x="7572375" y="20640675"/>
          <a:ext cx="3429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14</xdr:col>
      <xdr:colOff>552450</xdr:colOff>
      <xdr:row>57</xdr:row>
      <xdr:rowOff>28575</xdr:rowOff>
    </xdr:from>
    <xdr:to>
      <xdr:col>15</xdr:col>
      <xdr:colOff>9525</xdr:colOff>
      <xdr:row>57</xdr:row>
      <xdr:rowOff>238125</xdr:rowOff>
    </xdr:to>
    <xdr:sp macro="" textlink="">
      <xdr:nvSpPr>
        <xdr:cNvPr id="7231" name="Text Box 63"/>
        <xdr:cNvSpPr txBox="1">
          <a:spLocks noChangeArrowheads="1"/>
        </xdr:cNvSpPr>
      </xdr:nvSpPr>
      <xdr:spPr bwMode="auto">
        <a:xfrm>
          <a:off x="8467725" y="20640675"/>
          <a:ext cx="2952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5</xdr:col>
      <xdr:colOff>0</xdr:colOff>
      <xdr:row>57</xdr:row>
      <xdr:rowOff>228600</xdr:rowOff>
    </xdr:from>
    <xdr:to>
      <xdr:col>6</xdr:col>
      <xdr:colOff>28575</xdr:colOff>
      <xdr:row>58</xdr:row>
      <xdr:rowOff>0</xdr:rowOff>
    </xdr:to>
    <xdr:sp macro="" textlink="">
      <xdr:nvSpPr>
        <xdr:cNvPr id="7232" name="Text Box 64"/>
        <xdr:cNvSpPr txBox="1">
          <a:spLocks noChangeArrowheads="1"/>
        </xdr:cNvSpPr>
      </xdr:nvSpPr>
      <xdr:spPr bwMode="auto">
        <a:xfrm>
          <a:off x="2686050" y="20840700"/>
          <a:ext cx="695325" cy="200025"/>
        </a:xfrm>
        <a:prstGeom prst="rect">
          <a:avLst/>
        </a:prstGeom>
        <a:solidFill>
          <a:schemeClr val="bg1">
            <a:lumMod val="65000"/>
          </a:schemeClr>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慶 弔</a:t>
          </a:r>
        </a:p>
      </xdr:txBody>
    </xdr:sp>
    <xdr:clientData/>
  </xdr:twoCellAnchor>
  <xdr:twoCellAnchor>
    <xdr:from>
      <xdr:col>16</xdr:col>
      <xdr:colOff>352425</xdr:colOff>
      <xdr:row>59</xdr:row>
      <xdr:rowOff>28575</xdr:rowOff>
    </xdr:from>
    <xdr:to>
      <xdr:col>17</xdr:col>
      <xdr:colOff>0</xdr:colOff>
      <xdr:row>59</xdr:row>
      <xdr:rowOff>238125</xdr:rowOff>
    </xdr:to>
    <xdr:sp macro="" textlink="">
      <xdr:nvSpPr>
        <xdr:cNvPr id="7233" name="Text Box 65"/>
        <xdr:cNvSpPr txBox="1">
          <a:spLocks noChangeArrowheads="1"/>
        </xdr:cNvSpPr>
      </xdr:nvSpPr>
      <xdr:spPr bwMode="auto">
        <a:xfrm>
          <a:off x="9915525" y="21469350"/>
          <a:ext cx="2667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a:t>
          </a:r>
          <a:r>
            <a:rPr lang="ja-JP" altLang="en-US" sz="900" b="0" i="0" strike="noStrike">
              <a:solidFill>
                <a:srgbClr val="000000"/>
              </a:solidFill>
              <a:latin typeface="ＭＳ Ｐゴシック"/>
              <a:ea typeface="ＭＳ Ｐゴシック"/>
            </a:rPr>
            <a:t>回</a:t>
          </a:r>
          <a:r>
            <a:rPr lang="en-US" altLang="ja-JP" sz="900" b="0" i="0" strike="noStrike">
              <a:solidFill>
                <a:srgbClr val="000000"/>
              </a:solidFill>
              <a:latin typeface="ＭＳ Ｐゴシック"/>
              <a:ea typeface="ＭＳ Ｐゴシック"/>
            </a:rPr>
            <a:t>)</a:t>
          </a:r>
        </a:p>
      </xdr:txBody>
    </xdr:sp>
    <xdr:clientData/>
  </xdr:twoCellAnchor>
  <xdr:twoCellAnchor>
    <xdr:from>
      <xdr:col>22</xdr:col>
      <xdr:colOff>381000</xdr:colOff>
      <xdr:row>59</xdr:row>
      <xdr:rowOff>66675</xdr:rowOff>
    </xdr:from>
    <xdr:to>
      <xdr:col>22</xdr:col>
      <xdr:colOff>695325</xdr:colOff>
      <xdr:row>59</xdr:row>
      <xdr:rowOff>276225</xdr:rowOff>
    </xdr:to>
    <xdr:sp macro="" textlink="">
      <xdr:nvSpPr>
        <xdr:cNvPr id="7235" name="Text Box 67"/>
        <xdr:cNvSpPr txBox="1">
          <a:spLocks noChangeArrowheads="1"/>
        </xdr:cNvSpPr>
      </xdr:nvSpPr>
      <xdr:spPr bwMode="auto">
        <a:xfrm>
          <a:off x="13963650" y="21507450"/>
          <a:ext cx="31432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1000" b="0" i="0" strike="noStrike">
              <a:solidFill>
                <a:srgbClr val="000000"/>
              </a:solidFill>
              <a:latin typeface="ＭＳ Ｐゴシック"/>
              <a:ea typeface="ＭＳ Ｐゴシック"/>
            </a:rPr>
            <a:t>(</a:t>
          </a:r>
          <a:r>
            <a:rPr lang="ja-JP" altLang="en-US" sz="1000" b="0" i="0" strike="noStrike">
              <a:solidFill>
                <a:srgbClr val="000000"/>
              </a:solidFill>
              <a:latin typeface="ＭＳ Ｐゴシック"/>
              <a:ea typeface="ＭＳ Ｐゴシック"/>
            </a:rPr>
            <a:t>回</a:t>
          </a:r>
          <a:r>
            <a:rPr lang="en-US" altLang="ja-JP" sz="1000" b="0" i="0" strike="noStrike">
              <a:solidFill>
                <a:srgbClr val="000000"/>
              </a:solidFill>
              <a:latin typeface="ＭＳ Ｐゴシック"/>
              <a:ea typeface="ＭＳ Ｐゴシック"/>
            </a:rPr>
            <a:t>)</a:t>
          </a:r>
        </a:p>
      </xdr:txBody>
    </xdr:sp>
    <xdr:clientData/>
  </xdr:twoCellAnchor>
  <xdr:twoCellAnchor>
    <xdr:from>
      <xdr:col>15</xdr:col>
      <xdr:colOff>590550</xdr:colOff>
      <xdr:row>57</xdr:row>
      <xdr:rowOff>28575</xdr:rowOff>
    </xdr:from>
    <xdr:to>
      <xdr:col>16</xdr:col>
      <xdr:colOff>123825</xdr:colOff>
      <xdr:row>57</xdr:row>
      <xdr:rowOff>238125</xdr:rowOff>
    </xdr:to>
    <xdr:sp macro="" textlink="">
      <xdr:nvSpPr>
        <xdr:cNvPr id="7238" name="Text Box 70"/>
        <xdr:cNvSpPr txBox="1">
          <a:spLocks noChangeArrowheads="1"/>
        </xdr:cNvSpPr>
      </xdr:nvSpPr>
      <xdr:spPr bwMode="auto">
        <a:xfrm>
          <a:off x="9344025" y="20640675"/>
          <a:ext cx="3429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17</xdr:col>
      <xdr:colOff>266700</xdr:colOff>
      <xdr:row>57</xdr:row>
      <xdr:rowOff>19050</xdr:rowOff>
    </xdr:from>
    <xdr:to>
      <xdr:col>18</xdr:col>
      <xdr:colOff>95250</xdr:colOff>
      <xdr:row>57</xdr:row>
      <xdr:rowOff>228600</xdr:rowOff>
    </xdr:to>
    <xdr:sp macro="" textlink="">
      <xdr:nvSpPr>
        <xdr:cNvPr id="7239" name="Text Box 71"/>
        <xdr:cNvSpPr txBox="1">
          <a:spLocks noChangeArrowheads="1"/>
        </xdr:cNvSpPr>
      </xdr:nvSpPr>
      <xdr:spPr bwMode="auto">
        <a:xfrm>
          <a:off x="10448925" y="20631150"/>
          <a:ext cx="4857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18</xdr:col>
      <xdr:colOff>266700</xdr:colOff>
      <xdr:row>57</xdr:row>
      <xdr:rowOff>19050</xdr:rowOff>
    </xdr:from>
    <xdr:to>
      <xdr:col>19</xdr:col>
      <xdr:colOff>57150</xdr:colOff>
      <xdr:row>57</xdr:row>
      <xdr:rowOff>228600</xdr:rowOff>
    </xdr:to>
    <xdr:sp macro="" textlink="">
      <xdr:nvSpPr>
        <xdr:cNvPr id="7240" name="Text Box 72"/>
        <xdr:cNvSpPr txBox="1">
          <a:spLocks noChangeArrowheads="1"/>
        </xdr:cNvSpPr>
      </xdr:nvSpPr>
      <xdr:spPr bwMode="auto">
        <a:xfrm>
          <a:off x="11106150" y="20631150"/>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19</xdr:col>
      <xdr:colOff>266700</xdr:colOff>
      <xdr:row>57</xdr:row>
      <xdr:rowOff>19050</xdr:rowOff>
    </xdr:from>
    <xdr:to>
      <xdr:col>20</xdr:col>
      <xdr:colOff>57150</xdr:colOff>
      <xdr:row>57</xdr:row>
      <xdr:rowOff>228600</xdr:rowOff>
    </xdr:to>
    <xdr:sp macro="" textlink="">
      <xdr:nvSpPr>
        <xdr:cNvPr id="7241" name="Text Box 73"/>
        <xdr:cNvSpPr txBox="1">
          <a:spLocks noChangeArrowheads="1"/>
        </xdr:cNvSpPr>
      </xdr:nvSpPr>
      <xdr:spPr bwMode="auto">
        <a:xfrm>
          <a:off x="11763375" y="20631150"/>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20</xdr:col>
      <xdr:colOff>323850</xdr:colOff>
      <xdr:row>57</xdr:row>
      <xdr:rowOff>19050</xdr:rowOff>
    </xdr:from>
    <xdr:to>
      <xdr:col>21</xdr:col>
      <xdr:colOff>66675</xdr:colOff>
      <xdr:row>57</xdr:row>
      <xdr:rowOff>228600</xdr:rowOff>
    </xdr:to>
    <xdr:sp macro="" textlink="">
      <xdr:nvSpPr>
        <xdr:cNvPr id="7242" name="Text Box 74"/>
        <xdr:cNvSpPr txBox="1">
          <a:spLocks noChangeArrowheads="1"/>
        </xdr:cNvSpPr>
      </xdr:nvSpPr>
      <xdr:spPr bwMode="auto">
        <a:xfrm>
          <a:off x="12477750" y="20631150"/>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16</xdr:col>
      <xdr:colOff>266700</xdr:colOff>
      <xdr:row>57</xdr:row>
      <xdr:rowOff>19050</xdr:rowOff>
    </xdr:from>
    <xdr:to>
      <xdr:col>17</xdr:col>
      <xdr:colOff>95250</xdr:colOff>
      <xdr:row>57</xdr:row>
      <xdr:rowOff>228600</xdr:rowOff>
    </xdr:to>
    <xdr:sp macro="" textlink="">
      <xdr:nvSpPr>
        <xdr:cNvPr id="7243" name="Text Box 75"/>
        <xdr:cNvSpPr txBox="1">
          <a:spLocks noChangeArrowheads="1"/>
        </xdr:cNvSpPr>
      </xdr:nvSpPr>
      <xdr:spPr bwMode="auto">
        <a:xfrm>
          <a:off x="9829800" y="20631150"/>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22</xdr:col>
      <xdr:colOff>361950</xdr:colOff>
      <xdr:row>57</xdr:row>
      <xdr:rowOff>9525</xdr:rowOff>
    </xdr:from>
    <xdr:to>
      <xdr:col>24</xdr:col>
      <xdr:colOff>9525</xdr:colOff>
      <xdr:row>57</xdr:row>
      <xdr:rowOff>219075</xdr:rowOff>
    </xdr:to>
    <xdr:sp macro="" textlink="">
      <xdr:nvSpPr>
        <xdr:cNvPr id="7244" name="Text Box 76"/>
        <xdr:cNvSpPr txBox="1">
          <a:spLocks noChangeArrowheads="1"/>
        </xdr:cNvSpPr>
      </xdr:nvSpPr>
      <xdr:spPr bwMode="auto">
        <a:xfrm>
          <a:off x="13944600" y="20621625"/>
          <a:ext cx="5238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6</xdr:col>
      <xdr:colOff>0</xdr:colOff>
      <xdr:row>57</xdr:row>
      <xdr:rowOff>228600</xdr:rowOff>
    </xdr:from>
    <xdr:to>
      <xdr:col>7</xdr:col>
      <xdr:colOff>0</xdr:colOff>
      <xdr:row>58</xdr:row>
      <xdr:rowOff>0</xdr:rowOff>
    </xdr:to>
    <xdr:sp macro="" textlink="">
      <xdr:nvSpPr>
        <xdr:cNvPr id="7245" name="Text Box 77"/>
        <xdr:cNvSpPr txBox="1">
          <a:spLocks noChangeArrowheads="1"/>
        </xdr:cNvSpPr>
      </xdr:nvSpPr>
      <xdr:spPr bwMode="auto">
        <a:xfrm>
          <a:off x="3352800" y="20840700"/>
          <a:ext cx="571500" cy="200025"/>
        </a:xfrm>
        <a:prstGeom prst="rect">
          <a:avLst/>
        </a:prstGeom>
        <a:solidFill>
          <a:schemeClr val="bg1">
            <a:lumMod val="65000"/>
          </a:schemeClr>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900" b="0" i="0" strike="noStrike">
              <a:solidFill>
                <a:srgbClr val="000000"/>
              </a:solidFill>
              <a:latin typeface="ＭＳ 明朝"/>
              <a:ea typeface="ＭＳ 明朝"/>
            </a:rPr>
            <a:t>永年勤続</a:t>
          </a:r>
        </a:p>
      </xdr:txBody>
    </xdr:sp>
    <xdr:clientData/>
  </xdr:twoCellAnchor>
  <xdr:twoCellAnchor>
    <xdr:from>
      <xdr:col>4</xdr:col>
      <xdr:colOff>0</xdr:colOff>
      <xdr:row>57</xdr:row>
      <xdr:rowOff>9525</xdr:rowOff>
    </xdr:from>
    <xdr:to>
      <xdr:col>7</xdr:col>
      <xdr:colOff>0</xdr:colOff>
      <xdr:row>57</xdr:row>
      <xdr:rowOff>228600</xdr:rowOff>
    </xdr:to>
    <xdr:sp macro="" textlink="">
      <xdr:nvSpPr>
        <xdr:cNvPr id="7246" name="Text Box 78"/>
        <xdr:cNvSpPr txBox="1">
          <a:spLocks noChangeArrowheads="1"/>
        </xdr:cNvSpPr>
      </xdr:nvSpPr>
      <xdr:spPr bwMode="auto">
        <a:xfrm>
          <a:off x="2066925" y="20621625"/>
          <a:ext cx="1857375" cy="219075"/>
        </a:xfrm>
        <a:prstGeom prst="rect">
          <a:avLst/>
        </a:prstGeom>
        <a:solidFill>
          <a:schemeClr val="bg1">
            <a:lumMod val="65000"/>
          </a:schemeClr>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明朝"/>
              <a:ea typeface="ＭＳ 明朝"/>
            </a:rPr>
            <a:t>特休</a:t>
          </a:r>
        </a:p>
      </xdr:txBody>
    </xdr:sp>
    <xdr:clientData/>
  </xdr:twoCellAnchor>
  <xdr:twoCellAnchor>
    <xdr:from>
      <xdr:col>0</xdr:col>
      <xdr:colOff>276225</xdr:colOff>
      <xdr:row>55</xdr:row>
      <xdr:rowOff>0</xdr:rowOff>
    </xdr:from>
    <xdr:to>
      <xdr:col>24</xdr:col>
      <xdr:colOff>123825</xdr:colOff>
      <xdr:row>60</xdr:row>
      <xdr:rowOff>133350</xdr:rowOff>
    </xdr:to>
    <xdr:sp macro="" textlink="">
      <xdr:nvSpPr>
        <xdr:cNvPr id="7282" name="Rectangle 114"/>
        <xdr:cNvSpPr>
          <a:spLocks noChangeArrowheads="1"/>
        </xdr:cNvSpPr>
      </xdr:nvSpPr>
      <xdr:spPr bwMode="auto">
        <a:xfrm>
          <a:off x="276225" y="20247429"/>
          <a:ext cx="14339207" cy="1997528"/>
        </a:xfrm>
        <a:prstGeom prst="rect">
          <a:avLst/>
        </a:prstGeom>
        <a:noFill/>
        <a:ln w="9525">
          <a:solidFill>
            <a:srgbClr val="000000"/>
          </a:solidFill>
          <a:miter lim="800000"/>
          <a:headEnd/>
          <a:tailEnd/>
        </a:ln>
        <a:effectLst>
          <a:outerShdw dist="107763" dir="2700000" algn="ctr" rotWithShape="0">
            <a:srgbClr val="808080">
              <a:alpha val="50000"/>
            </a:srgbClr>
          </a:outerShdw>
        </a:effectLst>
      </xdr:spPr>
    </xdr:sp>
    <xdr:clientData/>
  </xdr:twoCellAnchor>
  <xdr:twoCellAnchor>
    <xdr:from>
      <xdr:col>28</xdr:col>
      <xdr:colOff>571500</xdr:colOff>
      <xdr:row>4</xdr:row>
      <xdr:rowOff>95250</xdr:rowOff>
    </xdr:from>
    <xdr:to>
      <xdr:col>40</xdr:col>
      <xdr:colOff>542925</xdr:colOff>
      <xdr:row>6</xdr:row>
      <xdr:rowOff>123825</xdr:rowOff>
    </xdr:to>
    <xdr:sp macro="" textlink="">
      <xdr:nvSpPr>
        <xdr:cNvPr id="7483" name="Text Box 315"/>
        <xdr:cNvSpPr txBox="1">
          <a:spLocks noChangeArrowheads="1"/>
        </xdr:cNvSpPr>
      </xdr:nvSpPr>
      <xdr:spPr bwMode="auto">
        <a:xfrm>
          <a:off x="16897350" y="1066800"/>
          <a:ext cx="2638425" cy="6286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1">
            <a:defRPr sz="1000"/>
          </a:pPr>
          <a:r>
            <a:rPr lang="en-US" altLang="ja-JP" sz="1100" b="0" i="0" strike="noStrike">
              <a:solidFill>
                <a:srgbClr val="000000"/>
              </a:solidFill>
              <a:latin typeface="ＭＳ Ｐゴシック"/>
              <a:ea typeface="ＭＳ Ｐゴシック"/>
            </a:rPr>
            <a:t>4</a:t>
          </a:r>
          <a:r>
            <a:rPr lang="ja-JP" altLang="en-US" sz="1100" b="0" i="0" strike="noStrike">
              <a:solidFill>
                <a:srgbClr val="000000"/>
              </a:solidFill>
              <a:latin typeface="ＭＳ Ｐゴシック"/>
              <a:ea typeface="ＭＳ Ｐゴシック"/>
            </a:rPr>
            <a:t>月実績から前月実績までの累計を自動入力し、シートの内容を削除します。</a:t>
          </a:r>
        </a:p>
      </xdr:txBody>
    </xdr:sp>
    <xdr:clientData/>
  </xdr:twoCellAnchor>
  <xdr:twoCellAnchor>
    <xdr:from>
      <xdr:col>7</xdr:col>
      <xdr:colOff>356576</xdr:colOff>
      <xdr:row>7</xdr:row>
      <xdr:rowOff>95250</xdr:rowOff>
    </xdr:from>
    <xdr:to>
      <xdr:col>8</xdr:col>
      <xdr:colOff>34436</xdr:colOff>
      <xdr:row>7</xdr:row>
      <xdr:rowOff>295275</xdr:rowOff>
    </xdr:to>
    <xdr:sp macro="" textlink="">
      <xdr:nvSpPr>
        <xdr:cNvPr id="7612" name="Text Box 444"/>
        <xdr:cNvSpPr txBox="1">
          <a:spLocks noChangeArrowheads="1"/>
        </xdr:cNvSpPr>
      </xdr:nvSpPr>
      <xdr:spPr bwMode="auto">
        <a:xfrm>
          <a:off x="4300903" y="2036885"/>
          <a:ext cx="276225" cy="200025"/>
        </a:xfrm>
        <a:prstGeom prst="rect">
          <a:avLst/>
        </a:prstGeom>
        <a:noFill/>
        <a:ln w="9525">
          <a:noFill/>
          <a:miter lim="800000"/>
          <a:headEnd/>
          <a:tailEnd/>
        </a:ln>
      </xdr:spPr>
      <xdr:txBody>
        <a:bodyPr vertOverflow="clip" wrap="square" lIns="27432" tIns="18288" rIns="0" bIns="0" anchor="t" upright="1"/>
        <a:lstStyle/>
        <a:p>
          <a:pPr algn="l" rtl="1">
            <a:defRPr sz="1000"/>
          </a:pPr>
          <a:r>
            <a:rPr lang="ja-JP" altLang="en-US" sz="1200" b="0" i="0" strike="noStrike">
              <a:solidFill>
                <a:schemeClr val="bg1">
                  <a:lumMod val="50000"/>
                </a:schemeClr>
              </a:solidFill>
              <a:latin typeface="ＭＳ Ｐゴシック"/>
              <a:ea typeface="ＭＳ Ｐゴシック"/>
            </a:rPr>
            <a:t>印</a:t>
          </a:r>
        </a:p>
      </xdr:txBody>
    </xdr:sp>
    <xdr:clientData/>
  </xdr:twoCellAnchor>
  <xdr:twoCellAnchor>
    <xdr:from>
      <xdr:col>17</xdr:col>
      <xdr:colOff>0</xdr:colOff>
      <xdr:row>58</xdr:row>
      <xdr:rowOff>0</xdr:rowOff>
    </xdr:from>
    <xdr:to>
      <xdr:col>17</xdr:col>
      <xdr:colOff>457200</xdr:colOff>
      <xdr:row>60</xdr:row>
      <xdr:rowOff>0</xdr:rowOff>
    </xdr:to>
    <xdr:sp macro="" textlink="">
      <xdr:nvSpPr>
        <xdr:cNvPr id="7638" name="Text Box 470"/>
        <xdr:cNvSpPr txBox="1">
          <a:spLocks noChangeArrowheads="1"/>
        </xdr:cNvSpPr>
      </xdr:nvSpPr>
      <xdr:spPr bwMode="auto">
        <a:xfrm>
          <a:off x="10182225" y="21040725"/>
          <a:ext cx="457200" cy="838200"/>
        </a:xfrm>
        <a:prstGeom prst="rect">
          <a:avLst/>
        </a:prstGeom>
        <a:solidFill>
          <a:schemeClr val="bg1">
            <a:lumMod val="65000"/>
          </a:schemeClr>
        </a:solidFill>
        <a:ln w="63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Ｐゴシック"/>
              <a:ea typeface="ＭＳ Ｐゴシック"/>
            </a:rPr>
            <a:t>振休</a:t>
          </a:r>
        </a:p>
        <a:p>
          <a:pPr algn="ctr" rtl="0">
            <a:defRPr sz="1000"/>
          </a:pPr>
          <a:r>
            <a:rPr lang="ja-JP" altLang="en-US" sz="1100" b="0" i="0" strike="noStrike">
              <a:solidFill>
                <a:srgbClr val="000000"/>
              </a:solidFill>
              <a:latin typeface="ＭＳ Ｐゴシック"/>
              <a:ea typeface="ＭＳ Ｐゴシック"/>
            </a:rPr>
            <a:t>控除</a:t>
          </a:r>
        </a:p>
      </xdr:txBody>
    </xdr:sp>
    <xdr:clientData/>
  </xdr:twoCellAnchor>
  <mc:AlternateContent xmlns:mc="http://schemas.openxmlformats.org/markup-compatibility/2006">
    <mc:Choice xmlns:a14="http://schemas.microsoft.com/office/drawing/2010/main" Requires="a14">
      <xdr:twoCellAnchor editAs="oneCell">
        <xdr:from>
          <xdr:col>26</xdr:col>
          <xdr:colOff>104775</xdr:colOff>
          <xdr:row>8</xdr:row>
          <xdr:rowOff>19050</xdr:rowOff>
        </xdr:from>
        <xdr:to>
          <xdr:col>28</xdr:col>
          <xdr:colOff>209550</xdr:colOff>
          <xdr:row>9</xdr:row>
          <xdr:rowOff>209550</xdr:rowOff>
        </xdr:to>
        <xdr:sp macro="" textlink="">
          <xdr:nvSpPr>
            <xdr:cNvPr id="7247" name="CommandButton1" hidden="1">
              <a:extLst>
                <a:ext uri="{63B3BB69-23CF-44E3-9099-C40C66FF867C}">
                  <a14:compatExt spid="_x0000_s7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12</xdr:row>
          <xdr:rowOff>171450</xdr:rowOff>
        </xdr:from>
        <xdr:to>
          <xdr:col>28</xdr:col>
          <xdr:colOff>9525</xdr:colOff>
          <xdr:row>13</xdr:row>
          <xdr:rowOff>28575</xdr:rowOff>
        </xdr:to>
        <xdr:sp macro="" textlink="">
          <xdr:nvSpPr>
            <xdr:cNvPr id="7287" name="CheckBox1" hidden="1">
              <a:extLst>
                <a:ext uri="{63B3BB69-23CF-44E3-9099-C40C66FF867C}">
                  <a14:compatExt spid="_x0000_s7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10</xdr:row>
          <xdr:rowOff>247650</xdr:rowOff>
        </xdr:from>
        <xdr:to>
          <xdr:col>28</xdr:col>
          <xdr:colOff>209550</xdr:colOff>
          <xdr:row>11</xdr:row>
          <xdr:rowOff>200025</xdr:rowOff>
        </xdr:to>
        <xdr:sp macro="" textlink="">
          <xdr:nvSpPr>
            <xdr:cNvPr id="7318" name="CommandButton2" hidden="1">
              <a:extLst>
                <a:ext uri="{63B3BB69-23CF-44E3-9099-C40C66FF867C}">
                  <a14:compatExt spid="_x0000_s73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6</xdr:row>
          <xdr:rowOff>133350</xdr:rowOff>
        </xdr:from>
        <xdr:to>
          <xdr:col>28</xdr:col>
          <xdr:colOff>209550</xdr:colOff>
          <xdr:row>7</xdr:row>
          <xdr:rowOff>219075</xdr:rowOff>
        </xdr:to>
        <xdr:sp macro="" textlink="">
          <xdr:nvSpPr>
            <xdr:cNvPr id="7383" name="CommandButton3" hidden="1">
              <a:extLst>
                <a:ext uri="{63B3BB69-23CF-44E3-9099-C40C66FF867C}">
                  <a14:compatExt spid="_x0000_s7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104775</xdr:colOff>
          <xdr:row>4</xdr:row>
          <xdr:rowOff>95250</xdr:rowOff>
        </xdr:from>
        <xdr:to>
          <xdr:col>27</xdr:col>
          <xdr:colOff>257175</xdr:colOff>
          <xdr:row>5</xdr:row>
          <xdr:rowOff>104775</xdr:rowOff>
        </xdr:to>
        <xdr:sp macro="" textlink="">
          <xdr:nvSpPr>
            <xdr:cNvPr id="7412" name="CommandButton4" hidden="1">
              <a:extLst>
                <a:ext uri="{63B3BB69-23CF-44E3-9099-C40C66FF867C}">
                  <a14:compatExt spid="_x0000_s7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13</xdr:row>
          <xdr:rowOff>76200</xdr:rowOff>
        </xdr:from>
        <xdr:to>
          <xdr:col>40</xdr:col>
          <xdr:colOff>304800</xdr:colOff>
          <xdr:row>13</xdr:row>
          <xdr:rowOff>361950</xdr:rowOff>
        </xdr:to>
        <xdr:sp macro="" textlink="">
          <xdr:nvSpPr>
            <xdr:cNvPr id="7578" name="CheckBox2" hidden="1">
              <a:extLst>
                <a:ext uri="{63B3BB69-23CF-44E3-9099-C40C66FF867C}">
                  <a14:compatExt spid="_x0000_s7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13</xdr:row>
          <xdr:rowOff>400050</xdr:rowOff>
        </xdr:from>
        <xdr:to>
          <xdr:col>40</xdr:col>
          <xdr:colOff>304800</xdr:colOff>
          <xdr:row>14</xdr:row>
          <xdr:rowOff>266700</xdr:rowOff>
        </xdr:to>
        <xdr:sp macro="" textlink="">
          <xdr:nvSpPr>
            <xdr:cNvPr id="7579" name="CheckBox3" hidden="1">
              <a:extLst>
                <a:ext uri="{63B3BB69-23CF-44E3-9099-C40C66FF867C}">
                  <a14:compatExt spid="_x0000_s7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21</xdr:col>
      <xdr:colOff>0</xdr:colOff>
      <xdr:row>39</xdr:row>
      <xdr:rowOff>247650</xdr:rowOff>
    </xdr:from>
    <xdr:to>
      <xdr:col>21</xdr:col>
      <xdr:colOff>123825</xdr:colOff>
      <xdr:row>40</xdr:row>
      <xdr:rowOff>142875</xdr:rowOff>
    </xdr:to>
    <xdr:sp macro="" textlink="">
      <xdr:nvSpPr>
        <xdr:cNvPr id="79" name="Text Box 12"/>
        <xdr:cNvSpPr txBox="1">
          <a:spLocks noChangeArrowheads="1"/>
        </xdr:cNvSpPr>
      </xdr:nvSpPr>
      <xdr:spPr bwMode="auto">
        <a:xfrm>
          <a:off x="12858750" y="15449550"/>
          <a:ext cx="123825" cy="323850"/>
        </a:xfrm>
        <a:prstGeom prst="rect">
          <a:avLst/>
        </a:prstGeom>
        <a:noFill/>
        <a:ln w="9525">
          <a:noFill/>
          <a:miter lim="800000"/>
          <a:headEnd/>
          <a:tailEnd/>
        </a:ln>
      </xdr:spPr>
    </xdr:sp>
    <xdr:clientData/>
  </xdr:twoCellAnchor>
  <xdr:twoCellAnchor editAs="oneCell">
    <xdr:from>
      <xdr:col>21</xdr:col>
      <xdr:colOff>0</xdr:colOff>
      <xdr:row>39</xdr:row>
      <xdr:rowOff>247650</xdr:rowOff>
    </xdr:from>
    <xdr:to>
      <xdr:col>21</xdr:col>
      <xdr:colOff>123825</xdr:colOff>
      <xdr:row>40</xdr:row>
      <xdr:rowOff>142875</xdr:rowOff>
    </xdr:to>
    <xdr:sp macro="" textlink="">
      <xdr:nvSpPr>
        <xdr:cNvPr id="80" name="Text Box 12"/>
        <xdr:cNvSpPr txBox="1">
          <a:spLocks noChangeArrowheads="1"/>
        </xdr:cNvSpPr>
      </xdr:nvSpPr>
      <xdr:spPr bwMode="auto">
        <a:xfrm>
          <a:off x="12858750" y="15449550"/>
          <a:ext cx="123825" cy="323850"/>
        </a:xfrm>
        <a:prstGeom prst="rect">
          <a:avLst/>
        </a:prstGeom>
        <a:noFill/>
        <a:ln w="9525">
          <a:no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xdr:colOff>
      <xdr:row>48</xdr:row>
      <xdr:rowOff>0</xdr:rowOff>
    </xdr:from>
    <xdr:to>
      <xdr:col>8</xdr:col>
      <xdr:colOff>247650</xdr:colOff>
      <xdr:row>50</xdr:row>
      <xdr:rowOff>0</xdr:rowOff>
    </xdr:to>
    <xdr:sp macro="" textlink="">
      <xdr:nvSpPr>
        <xdr:cNvPr id="1097" name="Rectangle 73"/>
        <xdr:cNvSpPr>
          <a:spLocks noChangeArrowheads="1"/>
        </xdr:cNvSpPr>
      </xdr:nvSpPr>
      <xdr:spPr bwMode="auto">
        <a:xfrm>
          <a:off x="2809875" y="9572625"/>
          <a:ext cx="561975" cy="342900"/>
        </a:xfrm>
        <a:prstGeom prst="rect">
          <a:avLst/>
        </a:prstGeom>
        <a:noFill/>
        <a:ln w="9525">
          <a:solidFill>
            <a:srgbClr val="000000"/>
          </a:solidFill>
          <a:miter lim="800000"/>
          <a:headEnd/>
          <a:tailEnd/>
        </a:ln>
      </xdr:spPr>
      <xdr:txBody>
        <a:bodyPr vertOverflow="clip" wrap="square" lIns="27432" tIns="18288" rIns="0" bIns="0" anchor="t" upright="1"/>
        <a:lstStyle/>
        <a:p>
          <a:pPr algn="l" rtl="0">
            <a:defRPr sz="1000"/>
          </a:pPr>
          <a:r>
            <a:rPr lang="ja-JP" altLang="en-US" sz="900" b="0" i="0" strike="noStrike">
              <a:solidFill>
                <a:srgbClr val="000000"/>
              </a:solidFill>
              <a:latin typeface="ＭＳ Ｐゴシック"/>
              <a:ea typeface="ＭＳ Ｐゴシック"/>
            </a:rPr>
            <a:t> 夜   勤</a:t>
          </a:r>
        </a:p>
      </xdr:txBody>
    </xdr:sp>
    <xdr:clientData/>
  </xdr:twoCellAnchor>
  <xdr:twoCellAnchor>
    <xdr:from>
      <xdr:col>7</xdr:col>
      <xdr:colOff>38100</xdr:colOff>
      <xdr:row>46</xdr:row>
      <xdr:rowOff>0</xdr:rowOff>
    </xdr:from>
    <xdr:to>
      <xdr:col>8</xdr:col>
      <xdr:colOff>247650</xdr:colOff>
      <xdr:row>48</xdr:row>
      <xdr:rowOff>0</xdr:rowOff>
    </xdr:to>
    <xdr:sp macro="" textlink="">
      <xdr:nvSpPr>
        <xdr:cNvPr id="1090" name="Text Box 66"/>
        <xdr:cNvSpPr txBox="1">
          <a:spLocks noChangeArrowheads="1"/>
        </xdr:cNvSpPr>
      </xdr:nvSpPr>
      <xdr:spPr bwMode="auto">
        <a:xfrm>
          <a:off x="2809875" y="9210675"/>
          <a:ext cx="561975" cy="361950"/>
        </a:xfrm>
        <a:prstGeom prst="rect">
          <a:avLst/>
        </a:prstGeom>
        <a:no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900" b="0" i="0" strike="noStrike">
              <a:solidFill>
                <a:srgbClr val="000000"/>
              </a:solidFill>
              <a:latin typeface="ＭＳ Ｐゴシック"/>
              <a:ea typeface="ＭＳ Ｐゴシック"/>
            </a:rPr>
            <a:t>遅・早・欠</a:t>
          </a:r>
        </a:p>
      </xdr:txBody>
    </xdr:sp>
    <xdr:clientData/>
  </xdr:twoCellAnchor>
  <xdr:twoCellAnchor>
    <xdr:from>
      <xdr:col>16</xdr:col>
      <xdr:colOff>0</xdr:colOff>
      <xdr:row>46</xdr:row>
      <xdr:rowOff>0</xdr:rowOff>
    </xdr:from>
    <xdr:to>
      <xdr:col>16</xdr:col>
      <xdr:colOff>209550</xdr:colOff>
      <xdr:row>47</xdr:row>
      <xdr:rowOff>0</xdr:rowOff>
    </xdr:to>
    <xdr:sp macro="" textlink="">
      <xdr:nvSpPr>
        <xdr:cNvPr id="1524" name="Rectangle 111"/>
        <xdr:cNvSpPr>
          <a:spLocks noChangeArrowheads="1"/>
        </xdr:cNvSpPr>
      </xdr:nvSpPr>
      <xdr:spPr bwMode="auto">
        <a:xfrm>
          <a:off x="6991350" y="9210675"/>
          <a:ext cx="209550" cy="180975"/>
        </a:xfrm>
        <a:prstGeom prst="rect">
          <a:avLst/>
        </a:prstGeom>
        <a:noFill/>
        <a:ln w="9525">
          <a:solidFill>
            <a:srgbClr val="000000"/>
          </a:solidFill>
          <a:miter lim="800000"/>
          <a:headEnd/>
          <a:tailEnd/>
        </a:ln>
      </xdr:spPr>
    </xdr:sp>
    <xdr:clientData/>
  </xdr:twoCellAnchor>
  <xdr:twoCellAnchor>
    <xdr:from>
      <xdr:col>12</xdr:col>
      <xdr:colOff>0</xdr:colOff>
      <xdr:row>47</xdr:row>
      <xdr:rowOff>38100</xdr:rowOff>
    </xdr:from>
    <xdr:to>
      <xdr:col>13</xdr:col>
      <xdr:colOff>0</xdr:colOff>
      <xdr:row>50</xdr:row>
      <xdr:rowOff>0</xdr:rowOff>
    </xdr:to>
    <xdr:sp macro="" textlink="">
      <xdr:nvSpPr>
        <xdr:cNvPr id="1525" name="Rectangle 105"/>
        <xdr:cNvSpPr>
          <a:spLocks noChangeArrowheads="1"/>
        </xdr:cNvSpPr>
      </xdr:nvSpPr>
      <xdr:spPr bwMode="auto">
        <a:xfrm>
          <a:off x="4819650" y="9429750"/>
          <a:ext cx="542925" cy="485775"/>
        </a:xfrm>
        <a:prstGeom prst="rect">
          <a:avLst/>
        </a:prstGeom>
        <a:noFill/>
        <a:ln w="9525">
          <a:solidFill>
            <a:srgbClr val="000000"/>
          </a:solidFill>
          <a:miter lim="800000"/>
          <a:headEnd/>
          <a:tailEnd/>
        </a:ln>
      </xdr:spPr>
    </xdr:sp>
    <xdr:clientData/>
  </xdr:twoCellAnchor>
  <xdr:twoCellAnchor>
    <xdr:from>
      <xdr:col>13</xdr:col>
      <xdr:colOff>219075</xdr:colOff>
      <xdr:row>1</xdr:row>
      <xdr:rowOff>361950</xdr:rowOff>
    </xdr:from>
    <xdr:to>
      <xdr:col>18</xdr:col>
      <xdr:colOff>9525</xdr:colOff>
      <xdr:row>2</xdr:row>
      <xdr:rowOff>152400</xdr:rowOff>
    </xdr:to>
    <xdr:sp macro="" textlink="">
      <xdr:nvSpPr>
        <xdr:cNvPr id="1069" name="Text Box 45"/>
        <xdr:cNvSpPr txBox="1">
          <a:spLocks noChangeArrowheads="1"/>
        </xdr:cNvSpPr>
      </xdr:nvSpPr>
      <xdr:spPr bwMode="auto">
        <a:xfrm>
          <a:off x="5581650" y="561975"/>
          <a:ext cx="2200275" cy="190500"/>
        </a:xfrm>
        <a:prstGeom prst="rect">
          <a:avLst/>
        </a:prstGeom>
        <a:no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strike="noStrike">
              <a:solidFill>
                <a:srgbClr val="000000"/>
              </a:solidFill>
              <a:latin typeface="ＭＳ Ｐゴシック"/>
              <a:ea typeface="ＭＳ Ｐゴシック"/>
            </a:rPr>
            <a:t>前月迄の期中累計</a:t>
          </a:r>
        </a:p>
      </xdr:txBody>
    </xdr:sp>
    <xdr:clientData/>
  </xdr:twoCellAnchor>
  <xdr:twoCellAnchor>
    <xdr:from>
      <xdr:col>1</xdr:col>
      <xdr:colOff>85725</xdr:colOff>
      <xdr:row>12</xdr:row>
      <xdr:rowOff>47625</xdr:rowOff>
    </xdr:from>
    <xdr:to>
      <xdr:col>1</xdr:col>
      <xdr:colOff>266700</xdr:colOff>
      <xdr:row>12</xdr:row>
      <xdr:rowOff>209550</xdr:rowOff>
    </xdr:to>
    <xdr:sp macro="" textlink="">
      <xdr:nvSpPr>
        <xdr:cNvPr id="1527" name="Oval 1"/>
        <xdr:cNvSpPr>
          <a:spLocks noChangeArrowheads="1"/>
        </xdr:cNvSpPr>
      </xdr:nvSpPr>
      <xdr:spPr bwMode="auto">
        <a:xfrm>
          <a:off x="666750" y="1781175"/>
          <a:ext cx="180975" cy="161925"/>
        </a:xfrm>
        <a:prstGeom prst="ellipse">
          <a:avLst/>
        </a:prstGeom>
        <a:noFill/>
        <a:ln w="9525">
          <a:noFill/>
          <a:round/>
          <a:headEnd/>
          <a:tailEnd/>
        </a:ln>
      </xdr:spPr>
    </xdr:sp>
    <xdr:clientData/>
  </xdr:twoCellAnchor>
  <xdr:twoCellAnchor>
    <xdr:from>
      <xdr:col>1</xdr:col>
      <xdr:colOff>85725</xdr:colOff>
      <xdr:row>13</xdr:row>
      <xdr:rowOff>47625</xdr:rowOff>
    </xdr:from>
    <xdr:to>
      <xdr:col>1</xdr:col>
      <xdr:colOff>266700</xdr:colOff>
      <xdr:row>13</xdr:row>
      <xdr:rowOff>209550</xdr:rowOff>
    </xdr:to>
    <xdr:sp macro="" textlink="">
      <xdr:nvSpPr>
        <xdr:cNvPr id="1528" name="Oval 2"/>
        <xdr:cNvSpPr>
          <a:spLocks noChangeArrowheads="1"/>
        </xdr:cNvSpPr>
      </xdr:nvSpPr>
      <xdr:spPr bwMode="auto">
        <a:xfrm>
          <a:off x="666750" y="2019300"/>
          <a:ext cx="180975" cy="161925"/>
        </a:xfrm>
        <a:prstGeom prst="ellipse">
          <a:avLst/>
        </a:prstGeom>
        <a:noFill/>
        <a:ln w="9525">
          <a:noFill/>
          <a:round/>
          <a:headEnd/>
          <a:tailEnd/>
        </a:ln>
      </xdr:spPr>
    </xdr:sp>
    <xdr:clientData/>
  </xdr:twoCellAnchor>
  <xdr:twoCellAnchor>
    <xdr:from>
      <xdr:col>1</xdr:col>
      <xdr:colOff>85725</xdr:colOff>
      <xdr:row>14</xdr:row>
      <xdr:rowOff>57150</xdr:rowOff>
    </xdr:from>
    <xdr:to>
      <xdr:col>1</xdr:col>
      <xdr:colOff>266700</xdr:colOff>
      <xdr:row>14</xdr:row>
      <xdr:rowOff>219075</xdr:rowOff>
    </xdr:to>
    <xdr:sp macro="" textlink="">
      <xdr:nvSpPr>
        <xdr:cNvPr id="1529" name="Oval 3"/>
        <xdr:cNvSpPr>
          <a:spLocks noChangeArrowheads="1"/>
        </xdr:cNvSpPr>
      </xdr:nvSpPr>
      <xdr:spPr bwMode="auto">
        <a:xfrm>
          <a:off x="666750" y="2266950"/>
          <a:ext cx="180975" cy="161925"/>
        </a:xfrm>
        <a:prstGeom prst="ellipse">
          <a:avLst/>
        </a:prstGeom>
        <a:noFill/>
        <a:ln w="9525">
          <a:noFill/>
          <a:round/>
          <a:headEnd/>
          <a:tailEnd/>
        </a:ln>
      </xdr:spPr>
    </xdr:sp>
    <xdr:clientData/>
  </xdr:twoCellAnchor>
  <xdr:twoCellAnchor>
    <xdr:from>
      <xdr:col>1</xdr:col>
      <xdr:colOff>85725</xdr:colOff>
      <xdr:row>15</xdr:row>
      <xdr:rowOff>47625</xdr:rowOff>
    </xdr:from>
    <xdr:to>
      <xdr:col>1</xdr:col>
      <xdr:colOff>266700</xdr:colOff>
      <xdr:row>15</xdr:row>
      <xdr:rowOff>209550</xdr:rowOff>
    </xdr:to>
    <xdr:sp macro="" textlink="">
      <xdr:nvSpPr>
        <xdr:cNvPr id="1530" name="Oval 4"/>
        <xdr:cNvSpPr>
          <a:spLocks noChangeArrowheads="1"/>
        </xdr:cNvSpPr>
      </xdr:nvSpPr>
      <xdr:spPr bwMode="auto">
        <a:xfrm>
          <a:off x="666750" y="2495550"/>
          <a:ext cx="180975" cy="161925"/>
        </a:xfrm>
        <a:prstGeom prst="ellipse">
          <a:avLst/>
        </a:prstGeom>
        <a:noFill/>
        <a:ln w="9525">
          <a:noFill/>
          <a:round/>
          <a:headEnd/>
          <a:tailEnd/>
        </a:ln>
      </xdr:spPr>
    </xdr:sp>
    <xdr:clientData/>
  </xdr:twoCellAnchor>
  <xdr:twoCellAnchor>
    <xdr:from>
      <xdr:col>1</xdr:col>
      <xdr:colOff>85725</xdr:colOff>
      <xdr:row>16</xdr:row>
      <xdr:rowOff>38100</xdr:rowOff>
    </xdr:from>
    <xdr:to>
      <xdr:col>1</xdr:col>
      <xdr:colOff>266700</xdr:colOff>
      <xdr:row>16</xdr:row>
      <xdr:rowOff>200025</xdr:rowOff>
    </xdr:to>
    <xdr:sp macro="" textlink="">
      <xdr:nvSpPr>
        <xdr:cNvPr id="1531" name="Oval 5"/>
        <xdr:cNvSpPr>
          <a:spLocks noChangeArrowheads="1"/>
        </xdr:cNvSpPr>
      </xdr:nvSpPr>
      <xdr:spPr bwMode="auto">
        <a:xfrm>
          <a:off x="666750" y="2724150"/>
          <a:ext cx="180975" cy="161925"/>
        </a:xfrm>
        <a:prstGeom prst="ellipse">
          <a:avLst/>
        </a:prstGeom>
        <a:noFill/>
        <a:ln w="9525">
          <a:noFill/>
          <a:round/>
          <a:headEnd/>
          <a:tailEnd/>
        </a:ln>
      </xdr:spPr>
    </xdr:sp>
    <xdr:clientData/>
  </xdr:twoCellAnchor>
  <xdr:twoCellAnchor>
    <xdr:from>
      <xdr:col>1</xdr:col>
      <xdr:colOff>85725</xdr:colOff>
      <xdr:row>17</xdr:row>
      <xdr:rowOff>47625</xdr:rowOff>
    </xdr:from>
    <xdr:to>
      <xdr:col>1</xdr:col>
      <xdr:colOff>266700</xdr:colOff>
      <xdr:row>17</xdr:row>
      <xdr:rowOff>209550</xdr:rowOff>
    </xdr:to>
    <xdr:sp macro="" textlink="">
      <xdr:nvSpPr>
        <xdr:cNvPr id="1532" name="Oval 6"/>
        <xdr:cNvSpPr>
          <a:spLocks noChangeArrowheads="1"/>
        </xdr:cNvSpPr>
      </xdr:nvSpPr>
      <xdr:spPr bwMode="auto">
        <a:xfrm>
          <a:off x="666750" y="2971800"/>
          <a:ext cx="180975" cy="161925"/>
        </a:xfrm>
        <a:prstGeom prst="ellipse">
          <a:avLst/>
        </a:prstGeom>
        <a:noFill/>
        <a:ln w="9525">
          <a:solidFill>
            <a:srgbClr val="FF0000"/>
          </a:solidFill>
          <a:round/>
          <a:headEnd/>
          <a:tailEnd/>
        </a:ln>
      </xdr:spPr>
    </xdr:sp>
    <xdr:clientData/>
  </xdr:twoCellAnchor>
  <xdr:twoCellAnchor>
    <xdr:from>
      <xdr:col>1</xdr:col>
      <xdr:colOff>85725</xdr:colOff>
      <xdr:row>18</xdr:row>
      <xdr:rowOff>38100</xdr:rowOff>
    </xdr:from>
    <xdr:to>
      <xdr:col>1</xdr:col>
      <xdr:colOff>266700</xdr:colOff>
      <xdr:row>18</xdr:row>
      <xdr:rowOff>200025</xdr:rowOff>
    </xdr:to>
    <xdr:sp macro="" textlink="">
      <xdr:nvSpPr>
        <xdr:cNvPr id="1533" name="Oval 7"/>
        <xdr:cNvSpPr>
          <a:spLocks noChangeArrowheads="1"/>
        </xdr:cNvSpPr>
      </xdr:nvSpPr>
      <xdr:spPr bwMode="auto">
        <a:xfrm>
          <a:off x="666750" y="3200400"/>
          <a:ext cx="180975" cy="161925"/>
        </a:xfrm>
        <a:prstGeom prst="ellipse">
          <a:avLst/>
        </a:prstGeom>
        <a:noFill/>
        <a:ln w="9525">
          <a:solidFill>
            <a:srgbClr val="FF0000"/>
          </a:solidFill>
          <a:round/>
          <a:headEnd/>
          <a:tailEnd/>
        </a:ln>
      </xdr:spPr>
    </xdr:sp>
    <xdr:clientData/>
  </xdr:twoCellAnchor>
  <xdr:twoCellAnchor>
    <xdr:from>
      <xdr:col>1</xdr:col>
      <xdr:colOff>85725</xdr:colOff>
      <xdr:row>19</xdr:row>
      <xdr:rowOff>47625</xdr:rowOff>
    </xdr:from>
    <xdr:to>
      <xdr:col>1</xdr:col>
      <xdr:colOff>266700</xdr:colOff>
      <xdr:row>19</xdr:row>
      <xdr:rowOff>209550</xdr:rowOff>
    </xdr:to>
    <xdr:sp macro="" textlink="">
      <xdr:nvSpPr>
        <xdr:cNvPr id="1534" name="Oval 8"/>
        <xdr:cNvSpPr>
          <a:spLocks noChangeArrowheads="1"/>
        </xdr:cNvSpPr>
      </xdr:nvSpPr>
      <xdr:spPr bwMode="auto">
        <a:xfrm>
          <a:off x="666750" y="3448050"/>
          <a:ext cx="180975" cy="161925"/>
        </a:xfrm>
        <a:prstGeom prst="ellipse">
          <a:avLst/>
        </a:prstGeom>
        <a:noFill/>
        <a:ln w="9525">
          <a:noFill/>
          <a:round/>
          <a:headEnd/>
          <a:tailEnd/>
        </a:ln>
      </xdr:spPr>
    </xdr:sp>
    <xdr:clientData/>
  </xdr:twoCellAnchor>
  <xdr:twoCellAnchor>
    <xdr:from>
      <xdr:col>1</xdr:col>
      <xdr:colOff>85725</xdr:colOff>
      <xdr:row>20</xdr:row>
      <xdr:rowOff>38100</xdr:rowOff>
    </xdr:from>
    <xdr:to>
      <xdr:col>1</xdr:col>
      <xdr:colOff>266700</xdr:colOff>
      <xdr:row>20</xdr:row>
      <xdr:rowOff>200025</xdr:rowOff>
    </xdr:to>
    <xdr:sp macro="" textlink="">
      <xdr:nvSpPr>
        <xdr:cNvPr id="1535" name="Oval 9"/>
        <xdr:cNvSpPr>
          <a:spLocks noChangeArrowheads="1"/>
        </xdr:cNvSpPr>
      </xdr:nvSpPr>
      <xdr:spPr bwMode="auto">
        <a:xfrm>
          <a:off x="666750" y="3676650"/>
          <a:ext cx="180975" cy="161925"/>
        </a:xfrm>
        <a:prstGeom prst="ellipse">
          <a:avLst/>
        </a:prstGeom>
        <a:noFill/>
        <a:ln w="9525">
          <a:noFill/>
          <a:round/>
          <a:headEnd/>
          <a:tailEnd/>
        </a:ln>
      </xdr:spPr>
    </xdr:sp>
    <xdr:clientData/>
  </xdr:twoCellAnchor>
  <xdr:twoCellAnchor>
    <xdr:from>
      <xdr:col>1</xdr:col>
      <xdr:colOff>85725</xdr:colOff>
      <xdr:row>21</xdr:row>
      <xdr:rowOff>38100</xdr:rowOff>
    </xdr:from>
    <xdr:to>
      <xdr:col>1</xdr:col>
      <xdr:colOff>266700</xdr:colOff>
      <xdr:row>21</xdr:row>
      <xdr:rowOff>200025</xdr:rowOff>
    </xdr:to>
    <xdr:sp macro="" textlink="">
      <xdr:nvSpPr>
        <xdr:cNvPr id="1536" name="Oval 10"/>
        <xdr:cNvSpPr>
          <a:spLocks noChangeArrowheads="1"/>
        </xdr:cNvSpPr>
      </xdr:nvSpPr>
      <xdr:spPr bwMode="auto">
        <a:xfrm>
          <a:off x="666750" y="3914775"/>
          <a:ext cx="180975" cy="161925"/>
        </a:xfrm>
        <a:prstGeom prst="ellipse">
          <a:avLst/>
        </a:prstGeom>
        <a:noFill/>
        <a:ln w="9525">
          <a:noFill/>
          <a:round/>
          <a:headEnd/>
          <a:tailEnd/>
        </a:ln>
      </xdr:spPr>
    </xdr:sp>
    <xdr:clientData/>
  </xdr:twoCellAnchor>
  <xdr:twoCellAnchor>
    <xdr:from>
      <xdr:col>1</xdr:col>
      <xdr:colOff>85725</xdr:colOff>
      <xdr:row>22</xdr:row>
      <xdr:rowOff>47625</xdr:rowOff>
    </xdr:from>
    <xdr:to>
      <xdr:col>1</xdr:col>
      <xdr:colOff>266700</xdr:colOff>
      <xdr:row>22</xdr:row>
      <xdr:rowOff>209550</xdr:rowOff>
    </xdr:to>
    <xdr:sp macro="" textlink="">
      <xdr:nvSpPr>
        <xdr:cNvPr id="1537" name="Oval 11"/>
        <xdr:cNvSpPr>
          <a:spLocks noChangeArrowheads="1"/>
        </xdr:cNvSpPr>
      </xdr:nvSpPr>
      <xdr:spPr bwMode="auto">
        <a:xfrm>
          <a:off x="666750" y="4162425"/>
          <a:ext cx="180975" cy="161925"/>
        </a:xfrm>
        <a:prstGeom prst="ellipse">
          <a:avLst/>
        </a:prstGeom>
        <a:noFill/>
        <a:ln w="9525">
          <a:noFill/>
          <a:round/>
          <a:headEnd/>
          <a:tailEnd/>
        </a:ln>
      </xdr:spPr>
    </xdr:sp>
    <xdr:clientData/>
  </xdr:twoCellAnchor>
  <xdr:twoCellAnchor>
    <xdr:from>
      <xdr:col>1</xdr:col>
      <xdr:colOff>85725</xdr:colOff>
      <xdr:row>23</xdr:row>
      <xdr:rowOff>47625</xdr:rowOff>
    </xdr:from>
    <xdr:to>
      <xdr:col>1</xdr:col>
      <xdr:colOff>266700</xdr:colOff>
      <xdr:row>23</xdr:row>
      <xdr:rowOff>209550</xdr:rowOff>
    </xdr:to>
    <xdr:sp macro="" textlink="">
      <xdr:nvSpPr>
        <xdr:cNvPr id="1538" name="Oval 12"/>
        <xdr:cNvSpPr>
          <a:spLocks noChangeArrowheads="1"/>
        </xdr:cNvSpPr>
      </xdr:nvSpPr>
      <xdr:spPr bwMode="auto">
        <a:xfrm>
          <a:off x="666750" y="4400550"/>
          <a:ext cx="180975" cy="161925"/>
        </a:xfrm>
        <a:prstGeom prst="ellipse">
          <a:avLst/>
        </a:prstGeom>
        <a:noFill/>
        <a:ln w="9525">
          <a:noFill/>
          <a:round/>
          <a:headEnd/>
          <a:tailEnd/>
        </a:ln>
      </xdr:spPr>
    </xdr:sp>
    <xdr:clientData/>
  </xdr:twoCellAnchor>
  <xdr:twoCellAnchor>
    <xdr:from>
      <xdr:col>1</xdr:col>
      <xdr:colOff>85725</xdr:colOff>
      <xdr:row>24</xdr:row>
      <xdr:rowOff>47625</xdr:rowOff>
    </xdr:from>
    <xdr:to>
      <xdr:col>1</xdr:col>
      <xdr:colOff>266700</xdr:colOff>
      <xdr:row>24</xdr:row>
      <xdr:rowOff>209550</xdr:rowOff>
    </xdr:to>
    <xdr:sp macro="" textlink="">
      <xdr:nvSpPr>
        <xdr:cNvPr id="1539" name="Oval 13"/>
        <xdr:cNvSpPr>
          <a:spLocks noChangeArrowheads="1"/>
        </xdr:cNvSpPr>
      </xdr:nvSpPr>
      <xdr:spPr bwMode="auto">
        <a:xfrm>
          <a:off x="666750" y="4638675"/>
          <a:ext cx="180975" cy="161925"/>
        </a:xfrm>
        <a:prstGeom prst="ellipse">
          <a:avLst/>
        </a:prstGeom>
        <a:noFill/>
        <a:ln w="9525">
          <a:solidFill>
            <a:srgbClr val="FF0000"/>
          </a:solidFill>
          <a:round/>
          <a:headEnd/>
          <a:tailEnd/>
        </a:ln>
      </xdr:spPr>
    </xdr:sp>
    <xdr:clientData/>
  </xdr:twoCellAnchor>
  <xdr:twoCellAnchor>
    <xdr:from>
      <xdr:col>1</xdr:col>
      <xdr:colOff>85725</xdr:colOff>
      <xdr:row>25</xdr:row>
      <xdr:rowOff>47625</xdr:rowOff>
    </xdr:from>
    <xdr:to>
      <xdr:col>1</xdr:col>
      <xdr:colOff>266700</xdr:colOff>
      <xdr:row>25</xdr:row>
      <xdr:rowOff>209550</xdr:rowOff>
    </xdr:to>
    <xdr:sp macro="" textlink="">
      <xdr:nvSpPr>
        <xdr:cNvPr id="1540" name="Oval 14"/>
        <xdr:cNvSpPr>
          <a:spLocks noChangeArrowheads="1"/>
        </xdr:cNvSpPr>
      </xdr:nvSpPr>
      <xdr:spPr bwMode="auto">
        <a:xfrm>
          <a:off x="666750" y="4876800"/>
          <a:ext cx="180975" cy="161925"/>
        </a:xfrm>
        <a:prstGeom prst="ellipse">
          <a:avLst/>
        </a:prstGeom>
        <a:noFill/>
        <a:ln w="9525">
          <a:solidFill>
            <a:srgbClr val="FF0000"/>
          </a:solidFill>
          <a:round/>
          <a:headEnd/>
          <a:tailEnd/>
        </a:ln>
      </xdr:spPr>
    </xdr:sp>
    <xdr:clientData/>
  </xdr:twoCellAnchor>
  <xdr:twoCellAnchor>
    <xdr:from>
      <xdr:col>1</xdr:col>
      <xdr:colOff>85725</xdr:colOff>
      <xdr:row>26</xdr:row>
      <xdr:rowOff>38100</xdr:rowOff>
    </xdr:from>
    <xdr:to>
      <xdr:col>1</xdr:col>
      <xdr:colOff>266700</xdr:colOff>
      <xdr:row>26</xdr:row>
      <xdr:rowOff>200025</xdr:rowOff>
    </xdr:to>
    <xdr:sp macro="" textlink="">
      <xdr:nvSpPr>
        <xdr:cNvPr id="1541" name="Oval 15"/>
        <xdr:cNvSpPr>
          <a:spLocks noChangeArrowheads="1"/>
        </xdr:cNvSpPr>
      </xdr:nvSpPr>
      <xdr:spPr bwMode="auto">
        <a:xfrm>
          <a:off x="666750" y="5105400"/>
          <a:ext cx="180975" cy="161925"/>
        </a:xfrm>
        <a:prstGeom prst="ellipse">
          <a:avLst/>
        </a:prstGeom>
        <a:noFill/>
        <a:ln w="9525">
          <a:noFill/>
          <a:round/>
          <a:headEnd/>
          <a:tailEnd/>
        </a:ln>
      </xdr:spPr>
    </xdr:sp>
    <xdr:clientData/>
  </xdr:twoCellAnchor>
  <xdr:twoCellAnchor>
    <xdr:from>
      <xdr:col>1</xdr:col>
      <xdr:colOff>85725</xdr:colOff>
      <xdr:row>27</xdr:row>
      <xdr:rowOff>47625</xdr:rowOff>
    </xdr:from>
    <xdr:to>
      <xdr:col>1</xdr:col>
      <xdr:colOff>266700</xdr:colOff>
      <xdr:row>27</xdr:row>
      <xdr:rowOff>209550</xdr:rowOff>
    </xdr:to>
    <xdr:sp macro="" textlink="">
      <xdr:nvSpPr>
        <xdr:cNvPr id="1542" name="Oval 16"/>
        <xdr:cNvSpPr>
          <a:spLocks noChangeArrowheads="1"/>
        </xdr:cNvSpPr>
      </xdr:nvSpPr>
      <xdr:spPr bwMode="auto">
        <a:xfrm>
          <a:off x="666750" y="5353050"/>
          <a:ext cx="180975" cy="161925"/>
        </a:xfrm>
        <a:prstGeom prst="ellipse">
          <a:avLst/>
        </a:prstGeom>
        <a:noFill/>
        <a:ln w="9525">
          <a:noFill/>
          <a:round/>
          <a:headEnd/>
          <a:tailEnd/>
        </a:ln>
      </xdr:spPr>
    </xdr:sp>
    <xdr:clientData/>
  </xdr:twoCellAnchor>
  <xdr:twoCellAnchor>
    <xdr:from>
      <xdr:col>1</xdr:col>
      <xdr:colOff>85725</xdr:colOff>
      <xdr:row>28</xdr:row>
      <xdr:rowOff>47625</xdr:rowOff>
    </xdr:from>
    <xdr:to>
      <xdr:col>1</xdr:col>
      <xdr:colOff>266700</xdr:colOff>
      <xdr:row>28</xdr:row>
      <xdr:rowOff>219075</xdr:rowOff>
    </xdr:to>
    <xdr:sp macro="" textlink="">
      <xdr:nvSpPr>
        <xdr:cNvPr id="1543" name="Oval 17"/>
        <xdr:cNvSpPr>
          <a:spLocks noChangeArrowheads="1"/>
        </xdr:cNvSpPr>
      </xdr:nvSpPr>
      <xdr:spPr bwMode="auto">
        <a:xfrm>
          <a:off x="666750" y="5591175"/>
          <a:ext cx="180975" cy="171450"/>
        </a:xfrm>
        <a:prstGeom prst="ellipse">
          <a:avLst/>
        </a:prstGeom>
        <a:noFill/>
        <a:ln w="9525">
          <a:noFill/>
          <a:round/>
          <a:headEnd/>
          <a:tailEnd/>
        </a:ln>
      </xdr:spPr>
    </xdr:sp>
    <xdr:clientData/>
  </xdr:twoCellAnchor>
  <xdr:twoCellAnchor>
    <xdr:from>
      <xdr:col>1</xdr:col>
      <xdr:colOff>85725</xdr:colOff>
      <xdr:row>29</xdr:row>
      <xdr:rowOff>47625</xdr:rowOff>
    </xdr:from>
    <xdr:to>
      <xdr:col>1</xdr:col>
      <xdr:colOff>266700</xdr:colOff>
      <xdr:row>29</xdr:row>
      <xdr:rowOff>209550</xdr:rowOff>
    </xdr:to>
    <xdr:sp macro="" textlink="">
      <xdr:nvSpPr>
        <xdr:cNvPr id="1544" name="Oval 18"/>
        <xdr:cNvSpPr>
          <a:spLocks noChangeArrowheads="1"/>
        </xdr:cNvSpPr>
      </xdr:nvSpPr>
      <xdr:spPr bwMode="auto">
        <a:xfrm>
          <a:off x="666750" y="5829300"/>
          <a:ext cx="180975" cy="161925"/>
        </a:xfrm>
        <a:prstGeom prst="ellipse">
          <a:avLst/>
        </a:prstGeom>
        <a:noFill/>
        <a:ln w="9525">
          <a:noFill/>
          <a:round/>
          <a:headEnd/>
          <a:tailEnd/>
        </a:ln>
      </xdr:spPr>
    </xdr:sp>
    <xdr:clientData/>
  </xdr:twoCellAnchor>
  <xdr:twoCellAnchor>
    <xdr:from>
      <xdr:col>1</xdr:col>
      <xdr:colOff>85725</xdr:colOff>
      <xdr:row>30</xdr:row>
      <xdr:rowOff>47625</xdr:rowOff>
    </xdr:from>
    <xdr:to>
      <xdr:col>1</xdr:col>
      <xdr:colOff>266700</xdr:colOff>
      <xdr:row>30</xdr:row>
      <xdr:rowOff>209550</xdr:rowOff>
    </xdr:to>
    <xdr:sp macro="" textlink="">
      <xdr:nvSpPr>
        <xdr:cNvPr id="1545" name="Oval 19"/>
        <xdr:cNvSpPr>
          <a:spLocks noChangeArrowheads="1"/>
        </xdr:cNvSpPr>
      </xdr:nvSpPr>
      <xdr:spPr bwMode="auto">
        <a:xfrm>
          <a:off x="666750" y="6067425"/>
          <a:ext cx="180975" cy="161925"/>
        </a:xfrm>
        <a:prstGeom prst="ellipse">
          <a:avLst/>
        </a:prstGeom>
        <a:noFill/>
        <a:ln w="9525">
          <a:noFill/>
          <a:round/>
          <a:headEnd/>
          <a:tailEnd/>
        </a:ln>
      </xdr:spPr>
    </xdr:sp>
    <xdr:clientData/>
  </xdr:twoCellAnchor>
  <xdr:twoCellAnchor>
    <xdr:from>
      <xdr:col>1</xdr:col>
      <xdr:colOff>85725</xdr:colOff>
      <xdr:row>31</xdr:row>
      <xdr:rowOff>47625</xdr:rowOff>
    </xdr:from>
    <xdr:to>
      <xdr:col>1</xdr:col>
      <xdr:colOff>266700</xdr:colOff>
      <xdr:row>31</xdr:row>
      <xdr:rowOff>209550</xdr:rowOff>
    </xdr:to>
    <xdr:sp macro="" textlink="">
      <xdr:nvSpPr>
        <xdr:cNvPr id="1546" name="Oval 20"/>
        <xdr:cNvSpPr>
          <a:spLocks noChangeArrowheads="1"/>
        </xdr:cNvSpPr>
      </xdr:nvSpPr>
      <xdr:spPr bwMode="auto">
        <a:xfrm>
          <a:off x="666750" y="6305550"/>
          <a:ext cx="180975" cy="161925"/>
        </a:xfrm>
        <a:prstGeom prst="ellipse">
          <a:avLst/>
        </a:prstGeom>
        <a:noFill/>
        <a:ln w="9525">
          <a:solidFill>
            <a:srgbClr val="FF0000"/>
          </a:solidFill>
          <a:round/>
          <a:headEnd/>
          <a:tailEnd/>
        </a:ln>
      </xdr:spPr>
    </xdr:sp>
    <xdr:clientData/>
  </xdr:twoCellAnchor>
  <xdr:twoCellAnchor>
    <xdr:from>
      <xdr:col>1</xdr:col>
      <xdr:colOff>85725</xdr:colOff>
      <xdr:row>32</xdr:row>
      <xdr:rowOff>47625</xdr:rowOff>
    </xdr:from>
    <xdr:to>
      <xdr:col>1</xdr:col>
      <xdr:colOff>266700</xdr:colOff>
      <xdr:row>32</xdr:row>
      <xdr:rowOff>209550</xdr:rowOff>
    </xdr:to>
    <xdr:sp macro="" textlink="">
      <xdr:nvSpPr>
        <xdr:cNvPr id="1547" name="Oval 21"/>
        <xdr:cNvSpPr>
          <a:spLocks noChangeArrowheads="1"/>
        </xdr:cNvSpPr>
      </xdr:nvSpPr>
      <xdr:spPr bwMode="auto">
        <a:xfrm>
          <a:off x="666750" y="6543675"/>
          <a:ext cx="180975" cy="161925"/>
        </a:xfrm>
        <a:prstGeom prst="ellipse">
          <a:avLst/>
        </a:prstGeom>
        <a:noFill/>
        <a:ln w="9525">
          <a:solidFill>
            <a:srgbClr val="FF0000"/>
          </a:solidFill>
          <a:round/>
          <a:headEnd/>
          <a:tailEnd/>
        </a:ln>
      </xdr:spPr>
    </xdr:sp>
    <xdr:clientData/>
  </xdr:twoCellAnchor>
  <xdr:twoCellAnchor>
    <xdr:from>
      <xdr:col>1</xdr:col>
      <xdr:colOff>85725</xdr:colOff>
      <xdr:row>33</xdr:row>
      <xdr:rowOff>47625</xdr:rowOff>
    </xdr:from>
    <xdr:to>
      <xdr:col>1</xdr:col>
      <xdr:colOff>266700</xdr:colOff>
      <xdr:row>33</xdr:row>
      <xdr:rowOff>209550</xdr:rowOff>
    </xdr:to>
    <xdr:sp macro="" textlink="">
      <xdr:nvSpPr>
        <xdr:cNvPr id="1548" name="Oval 22"/>
        <xdr:cNvSpPr>
          <a:spLocks noChangeArrowheads="1"/>
        </xdr:cNvSpPr>
      </xdr:nvSpPr>
      <xdr:spPr bwMode="auto">
        <a:xfrm>
          <a:off x="666750" y="6781800"/>
          <a:ext cx="180975" cy="161925"/>
        </a:xfrm>
        <a:prstGeom prst="ellipse">
          <a:avLst/>
        </a:prstGeom>
        <a:noFill/>
        <a:ln w="9525">
          <a:solidFill>
            <a:srgbClr val="FF0000"/>
          </a:solidFill>
          <a:round/>
          <a:headEnd/>
          <a:tailEnd/>
        </a:ln>
      </xdr:spPr>
    </xdr:sp>
    <xdr:clientData/>
  </xdr:twoCellAnchor>
  <xdr:twoCellAnchor>
    <xdr:from>
      <xdr:col>1</xdr:col>
      <xdr:colOff>85725</xdr:colOff>
      <xdr:row>34</xdr:row>
      <xdr:rowOff>47625</xdr:rowOff>
    </xdr:from>
    <xdr:to>
      <xdr:col>1</xdr:col>
      <xdr:colOff>266700</xdr:colOff>
      <xdr:row>34</xdr:row>
      <xdr:rowOff>209550</xdr:rowOff>
    </xdr:to>
    <xdr:sp macro="" textlink="">
      <xdr:nvSpPr>
        <xdr:cNvPr id="1549" name="Oval 23"/>
        <xdr:cNvSpPr>
          <a:spLocks noChangeArrowheads="1"/>
        </xdr:cNvSpPr>
      </xdr:nvSpPr>
      <xdr:spPr bwMode="auto">
        <a:xfrm>
          <a:off x="666750" y="7019925"/>
          <a:ext cx="180975" cy="161925"/>
        </a:xfrm>
        <a:prstGeom prst="ellipse">
          <a:avLst/>
        </a:prstGeom>
        <a:noFill/>
        <a:ln w="9525">
          <a:noFill/>
          <a:round/>
          <a:headEnd/>
          <a:tailEnd/>
        </a:ln>
      </xdr:spPr>
    </xdr:sp>
    <xdr:clientData/>
  </xdr:twoCellAnchor>
  <xdr:twoCellAnchor>
    <xdr:from>
      <xdr:col>1</xdr:col>
      <xdr:colOff>85725</xdr:colOff>
      <xdr:row>35</xdr:row>
      <xdr:rowOff>47625</xdr:rowOff>
    </xdr:from>
    <xdr:to>
      <xdr:col>1</xdr:col>
      <xdr:colOff>266700</xdr:colOff>
      <xdr:row>35</xdr:row>
      <xdr:rowOff>209550</xdr:rowOff>
    </xdr:to>
    <xdr:sp macro="" textlink="">
      <xdr:nvSpPr>
        <xdr:cNvPr id="1550" name="Oval 24"/>
        <xdr:cNvSpPr>
          <a:spLocks noChangeArrowheads="1"/>
        </xdr:cNvSpPr>
      </xdr:nvSpPr>
      <xdr:spPr bwMode="auto">
        <a:xfrm>
          <a:off x="666750" y="7258050"/>
          <a:ext cx="180975" cy="161925"/>
        </a:xfrm>
        <a:prstGeom prst="ellipse">
          <a:avLst/>
        </a:prstGeom>
        <a:noFill/>
        <a:ln w="9525">
          <a:noFill/>
          <a:round/>
          <a:headEnd/>
          <a:tailEnd/>
        </a:ln>
      </xdr:spPr>
    </xdr:sp>
    <xdr:clientData/>
  </xdr:twoCellAnchor>
  <xdr:twoCellAnchor>
    <xdr:from>
      <xdr:col>1</xdr:col>
      <xdr:colOff>85725</xdr:colOff>
      <xdr:row>36</xdr:row>
      <xdr:rowOff>47625</xdr:rowOff>
    </xdr:from>
    <xdr:to>
      <xdr:col>1</xdr:col>
      <xdr:colOff>266700</xdr:colOff>
      <xdr:row>36</xdr:row>
      <xdr:rowOff>209550</xdr:rowOff>
    </xdr:to>
    <xdr:sp macro="" textlink="">
      <xdr:nvSpPr>
        <xdr:cNvPr id="1551" name="Oval 25"/>
        <xdr:cNvSpPr>
          <a:spLocks noChangeArrowheads="1"/>
        </xdr:cNvSpPr>
      </xdr:nvSpPr>
      <xdr:spPr bwMode="auto">
        <a:xfrm>
          <a:off x="666750" y="7496175"/>
          <a:ext cx="180975" cy="161925"/>
        </a:xfrm>
        <a:prstGeom prst="ellipse">
          <a:avLst/>
        </a:prstGeom>
        <a:noFill/>
        <a:ln w="9525">
          <a:noFill/>
          <a:round/>
          <a:headEnd/>
          <a:tailEnd/>
        </a:ln>
      </xdr:spPr>
    </xdr:sp>
    <xdr:clientData/>
  </xdr:twoCellAnchor>
  <xdr:twoCellAnchor>
    <xdr:from>
      <xdr:col>1</xdr:col>
      <xdr:colOff>85725</xdr:colOff>
      <xdr:row>37</xdr:row>
      <xdr:rowOff>47625</xdr:rowOff>
    </xdr:from>
    <xdr:to>
      <xdr:col>1</xdr:col>
      <xdr:colOff>266700</xdr:colOff>
      <xdr:row>37</xdr:row>
      <xdr:rowOff>209550</xdr:rowOff>
    </xdr:to>
    <xdr:sp macro="" textlink="">
      <xdr:nvSpPr>
        <xdr:cNvPr id="1552" name="Oval 26"/>
        <xdr:cNvSpPr>
          <a:spLocks noChangeArrowheads="1"/>
        </xdr:cNvSpPr>
      </xdr:nvSpPr>
      <xdr:spPr bwMode="auto">
        <a:xfrm>
          <a:off x="666750" y="7734300"/>
          <a:ext cx="180975" cy="161925"/>
        </a:xfrm>
        <a:prstGeom prst="ellipse">
          <a:avLst/>
        </a:prstGeom>
        <a:noFill/>
        <a:ln w="9525">
          <a:noFill/>
          <a:round/>
          <a:headEnd/>
          <a:tailEnd/>
        </a:ln>
      </xdr:spPr>
    </xdr:sp>
    <xdr:clientData/>
  </xdr:twoCellAnchor>
  <xdr:twoCellAnchor>
    <xdr:from>
      <xdr:col>1</xdr:col>
      <xdr:colOff>85725</xdr:colOff>
      <xdr:row>38</xdr:row>
      <xdr:rowOff>47625</xdr:rowOff>
    </xdr:from>
    <xdr:to>
      <xdr:col>1</xdr:col>
      <xdr:colOff>266700</xdr:colOff>
      <xdr:row>38</xdr:row>
      <xdr:rowOff>209550</xdr:rowOff>
    </xdr:to>
    <xdr:sp macro="" textlink="">
      <xdr:nvSpPr>
        <xdr:cNvPr id="1553" name="Oval 27"/>
        <xdr:cNvSpPr>
          <a:spLocks noChangeArrowheads="1"/>
        </xdr:cNvSpPr>
      </xdr:nvSpPr>
      <xdr:spPr bwMode="auto">
        <a:xfrm>
          <a:off x="666750" y="7972425"/>
          <a:ext cx="180975" cy="161925"/>
        </a:xfrm>
        <a:prstGeom prst="ellipse">
          <a:avLst/>
        </a:prstGeom>
        <a:noFill/>
        <a:ln w="9525">
          <a:solidFill>
            <a:srgbClr val="FF0000"/>
          </a:solidFill>
          <a:round/>
          <a:headEnd/>
          <a:tailEnd/>
        </a:ln>
      </xdr:spPr>
    </xdr:sp>
    <xdr:clientData/>
  </xdr:twoCellAnchor>
  <xdr:twoCellAnchor>
    <xdr:from>
      <xdr:col>1</xdr:col>
      <xdr:colOff>85725</xdr:colOff>
      <xdr:row>39</xdr:row>
      <xdr:rowOff>57150</xdr:rowOff>
    </xdr:from>
    <xdr:to>
      <xdr:col>1</xdr:col>
      <xdr:colOff>266700</xdr:colOff>
      <xdr:row>39</xdr:row>
      <xdr:rowOff>219075</xdr:rowOff>
    </xdr:to>
    <xdr:sp macro="" textlink="">
      <xdr:nvSpPr>
        <xdr:cNvPr id="1554" name="Oval 28"/>
        <xdr:cNvSpPr>
          <a:spLocks noChangeArrowheads="1"/>
        </xdr:cNvSpPr>
      </xdr:nvSpPr>
      <xdr:spPr bwMode="auto">
        <a:xfrm>
          <a:off x="666750" y="8220075"/>
          <a:ext cx="180975" cy="161925"/>
        </a:xfrm>
        <a:prstGeom prst="ellipse">
          <a:avLst/>
        </a:prstGeom>
        <a:noFill/>
        <a:ln w="9525">
          <a:solidFill>
            <a:srgbClr val="FF0000"/>
          </a:solidFill>
          <a:round/>
          <a:headEnd/>
          <a:tailEnd/>
        </a:ln>
      </xdr:spPr>
    </xdr:sp>
    <xdr:clientData/>
  </xdr:twoCellAnchor>
  <xdr:twoCellAnchor>
    <xdr:from>
      <xdr:col>1</xdr:col>
      <xdr:colOff>85725</xdr:colOff>
      <xdr:row>40</xdr:row>
      <xdr:rowOff>47625</xdr:rowOff>
    </xdr:from>
    <xdr:to>
      <xdr:col>1</xdr:col>
      <xdr:colOff>266700</xdr:colOff>
      <xdr:row>40</xdr:row>
      <xdr:rowOff>209550</xdr:rowOff>
    </xdr:to>
    <xdr:sp macro="" textlink="">
      <xdr:nvSpPr>
        <xdr:cNvPr id="1555" name="Oval 29"/>
        <xdr:cNvSpPr>
          <a:spLocks noChangeArrowheads="1"/>
        </xdr:cNvSpPr>
      </xdr:nvSpPr>
      <xdr:spPr bwMode="auto">
        <a:xfrm>
          <a:off x="666750" y="8448675"/>
          <a:ext cx="180975" cy="161925"/>
        </a:xfrm>
        <a:prstGeom prst="ellipse">
          <a:avLst/>
        </a:prstGeom>
        <a:noFill/>
        <a:ln w="9525">
          <a:noFill/>
          <a:round/>
          <a:headEnd/>
          <a:tailEnd/>
        </a:ln>
      </xdr:spPr>
    </xdr:sp>
    <xdr:clientData/>
  </xdr:twoCellAnchor>
  <xdr:twoCellAnchor>
    <xdr:from>
      <xdr:col>1</xdr:col>
      <xdr:colOff>85725</xdr:colOff>
      <xdr:row>41</xdr:row>
      <xdr:rowOff>38100</xdr:rowOff>
    </xdr:from>
    <xdr:to>
      <xdr:col>1</xdr:col>
      <xdr:colOff>266700</xdr:colOff>
      <xdr:row>41</xdr:row>
      <xdr:rowOff>200025</xdr:rowOff>
    </xdr:to>
    <xdr:sp macro="" textlink="">
      <xdr:nvSpPr>
        <xdr:cNvPr id="1556" name="Oval 30"/>
        <xdr:cNvSpPr>
          <a:spLocks noChangeArrowheads="1"/>
        </xdr:cNvSpPr>
      </xdr:nvSpPr>
      <xdr:spPr bwMode="auto">
        <a:xfrm>
          <a:off x="666750" y="8677275"/>
          <a:ext cx="180975" cy="161925"/>
        </a:xfrm>
        <a:prstGeom prst="ellipse">
          <a:avLst/>
        </a:prstGeom>
        <a:noFill/>
        <a:ln w="9525">
          <a:noFill/>
          <a:round/>
          <a:headEnd/>
          <a:tailEnd/>
        </a:ln>
      </xdr:spPr>
    </xdr:sp>
    <xdr:clientData/>
  </xdr:twoCellAnchor>
  <xdr:twoCellAnchor>
    <xdr:from>
      <xdr:col>1</xdr:col>
      <xdr:colOff>85725</xdr:colOff>
      <xdr:row>42</xdr:row>
      <xdr:rowOff>47625</xdr:rowOff>
    </xdr:from>
    <xdr:to>
      <xdr:col>1</xdr:col>
      <xdr:colOff>266700</xdr:colOff>
      <xdr:row>42</xdr:row>
      <xdr:rowOff>209550</xdr:rowOff>
    </xdr:to>
    <xdr:sp macro="" textlink="">
      <xdr:nvSpPr>
        <xdr:cNvPr id="1557" name="Oval 31"/>
        <xdr:cNvSpPr>
          <a:spLocks noChangeArrowheads="1"/>
        </xdr:cNvSpPr>
      </xdr:nvSpPr>
      <xdr:spPr bwMode="auto">
        <a:xfrm>
          <a:off x="666750" y="8924925"/>
          <a:ext cx="180975" cy="161925"/>
        </a:xfrm>
        <a:prstGeom prst="ellipse">
          <a:avLst/>
        </a:prstGeom>
        <a:noFill/>
        <a:ln w="9525">
          <a:noFill/>
          <a:round/>
          <a:headEnd/>
          <a:tailEnd/>
        </a:ln>
      </xdr:spPr>
    </xdr:sp>
    <xdr:clientData/>
  </xdr:twoCellAnchor>
  <xdr:twoCellAnchor>
    <xdr:from>
      <xdr:col>5</xdr:col>
      <xdr:colOff>285750</xdr:colOff>
      <xdr:row>0</xdr:row>
      <xdr:rowOff>180975</xdr:rowOff>
    </xdr:from>
    <xdr:to>
      <xdr:col>13</xdr:col>
      <xdr:colOff>419100</xdr:colOff>
      <xdr:row>2</xdr:row>
      <xdr:rowOff>9525</xdr:rowOff>
    </xdr:to>
    <xdr:sp macro="" textlink="">
      <xdr:nvSpPr>
        <xdr:cNvPr id="1057" name="Text Box 33"/>
        <xdr:cNvSpPr txBox="1">
          <a:spLocks noChangeArrowheads="1"/>
        </xdr:cNvSpPr>
      </xdr:nvSpPr>
      <xdr:spPr bwMode="auto">
        <a:xfrm>
          <a:off x="2352675" y="180975"/>
          <a:ext cx="3429000" cy="428625"/>
        </a:xfrm>
        <a:prstGeom prst="rect">
          <a:avLst/>
        </a:prstGeom>
        <a:noFill/>
        <a:ln w="9525">
          <a:noFill/>
          <a:miter lim="800000"/>
          <a:headEnd/>
          <a:tailEnd/>
        </a:ln>
      </xdr:spPr>
      <xdr:txBody>
        <a:bodyPr vertOverflow="clip" wrap="square" lIns="45720" tIns="32004" rIns="0" bIns="0" anchor="t" upright="1"/>
        <a:lstStyle/>
        <a:p>
          <a:pPr algn="l" rtl="0">
            <a:defRPr sz="1000"/>
          </a:pPr>
          <a:r>
            <a:rPr lang="ja-JP" altLang="en-US" sz="2400" b="0" i="0" strike="noStrike">
              <a:solidFill>
                <a:srgbClr val="000000"/>
              </a:solidFill>
              <a:latin typeface="ＭＳ Ｐゴシック"/>
              <a:ea typeface="ＭＳ Ｐゴシック"/>
            </a:rPr>
            <a:t>勤    務    報    告    書</a:t>
          </a:r>
        </a:p>
      </xdr:txBody>
    </xdr:sp>
    <xdr:clientData/>
  </xdr:twoCellAnchor>
  <xdr:twoCellAnchor>
    <xdr:from>
      <xdr:col>7</xdr:col>
      <xdr:colOff>295275</xdr:colOff>
      <xdr:row>2</xdr:row>
      <xdr:rowOff>19050</xdr:rowOff>
    </xdr:from>
    <xdr:to>
      <xdr:col>12</xdr:col>
      <xdr:colOff>371475</xdr:colOff>
      <xdr:row>3</xdr:row>
      <xdr:rowOff>104775</xdr:rowOff>
    </xdr:to>
    <xdr:sp macro="" textlink="">
      <xdr:nvSpPr>
        <xdr:cNvPr id="1058" name="Text Box 34"/>
        <xdr:cNvSpPr txBox="1">
          <a:spLocks noChangeArrowheads="1"/>
        </xdr:cNvSpPr>
      </xdr:nvSpPr>
      <xdr:spPr bwMode="auto">
        <a:xfrm>
          <a:off x="3067050" y="619125"/>
          <a:ext cx="2124075" cy="2667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800" b="0" i="0" strike="noStrike">
              <a:solidFill>
                <a:srgbClr val="000000"/>
              </a:solidFill>
              <a:latin typeface="ＭＳ Ｐゴシック"/>
              <a:ea typeface="ＭＳ Ｐゴシック"/>
            </a:rPr>
            <a:t>（兼   作   業   表）</a:t>
          </a:r>
        </a:p>
      </xdr:txBody>
    </xdr:sp>
    <xdr:clientData/>
  </xdr:twoCellAnchor>
  <xdr:twoCellAnchor>
    <xdr:from>
      <xdr:col>13</xdr:col>
      <xdr:colOff>219075</xdr:colOff>
      <xdr:row>3</xdr:row>
      <xdr:rowOff>152400</xdr:rowOff>
    </xdr:from>
    <xdr:to>
      <xdr:col>14</xdr:col>
      <xdr:colOff>409575</xdr:colOff>
      <xdr:row>5</xdr:row>
      <xdr:rowOff>0</xdr:rowOff>
    </xdr:to>
    <xdr:sp macro="" textlink="">
      <xdr:nvSpPr>
        <xdr:cNvPr id="1560" name="Text Box 35"/>
        <xdr:cNvSpPr txBox="1">
          <a:spLocks noChangeArrowheads="1"/>
        </xdr:cNvSpPr>
      </xdr:nvSpPr>
      <xdr:spPr bwMode="auto">
        <a:xfrm>
          <a:off x="5581650" y="933450"/>
          <a:ext cx="733425" cy="276225"/>
        </a:xfrm>
        <a:prstGeom prst="rect">
          <a:avLst/>
        </a:prstGeom>
        <a:noFill/>
        <a:ln w="9525">
          <a:solidFill>
            <a:srgbClr val="000000"/>
          </a:solidFill>
          <a:miter lim="800000"/>
          <a:headEnd/>
          <a:tailEnd/>
        </a:ln>
      </xdr:spPr>
    </xdr:sp>
    <xdr:clientData/>
  </xdr:twoCellAnchor>
  <xdr:twoCellAnchor>
    <xdr:from>
      <xdr:col>14</xdr:col>
      <xdr:colOff>409575</xdr:colOff>
      <xdr:row>3</xdr:row>
      <xdr:rowOff>152400</xdr:rowOff>
    </xdr:from>
    <xdr:to>
      <xdr:col>16</xdr:col>
      <xdr:colOff>57150</xdr:colOff>
      <xdr:row>5</xdr:row>
      <xdr:rowOff>0</xdr:rowOff>
    </xdr:to>
    <xdr:sp macro="" textlink="">
      <xdr:nvSpPr>
        <xdr:cNvPr id="1561" name="Text Box 40"/>
        <xdr:cNvSpPr txBox="1">
          <a:spLocks noChangeArrowheads="1"/>
        </xdr:cNvSpPr>
      </xdr:nvSpPr>
      <xdr:spPr bwMode="auto">
        <a:xfrm>
          <a:off x="6315075" y="933450"/>
          <a:ext cx="733425" cy="276225"/>
        </a:xfrm>
        <a:prstGeom prst="rect">
          <a:avLst/>
        </a:prstGeom>
        <a:noFill/>
        <a:ln w="9525">
          <a:solidFill>
            <a:srgbClr val="000000"/>
          </a:solidFill>
          <a:miter lim="800000"/>
          <a:headEnd/>
          <a:tailEnd/>
        </a:ln>
      </xdr:spPr>
    </xdr:sp>
    <xdr:clientData/>
  </xdr:twoCellAnchor>
  <xdr:twoCellAnchor>
    <xdr:from>
      <xdr:col>13</xdr:col>
      <xdr:colOff>219075</xdr:colOff>
      <xdr:row>2</xdr:row>
      <xdr:rowOff>152400</xdr:rowOff>
    </xdr:from>
    <xdr:to>
      <xdr:col>14</xdr:col>
      <xdr:colOff>409575</xdr:colOff>
      <xdr:row>3</xdr:row>
      <xdr:rowOff>152400</xdr:rowOff>
    </xdr:to>
    <xdr:sp macro="" textlink="">
      <xdr:nvSpPr>
        <xdr:cNvPr id="1066" name="Text Box 42"/>
        <xdr:cNvSpPr txBox="1">
          <a:spLocks noChangeArrowheads="1"/>
        </xdr:cNvSpPr>
      </xdr:nvSpPr>
      <xdr:spPr bwMode="auto">
        <a:xfrm>
          <a:off x="5581650" y="752475"/>
          <a:ext cx="733425" cy="180975"/>
        </a:xfrm>
        <a:prstGeom prst="rect">
          <a:avLst/>
        </a:prstGeom>
        <a:no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strike="noStrike">
              <a:solidFill>
                <a:srgbClr val="000000"/>
              </a:solidFill>
              <a:latin typeface="ＭＳ Ｐゴシック"/>
              <a:ea typeface="ＭＳ Ｐゴシック"/>
            </a:rPr>
            <a:t>時間外</a:t>
          </a:r>
        </a:p>
      </xdr:txBody>
    </xdr:sp>
    <xdr:clientData/>
  </xdr:twoCellAnchor>
  <xdr:twoCellAnchor>
    <xdr:from>
      <xdr:col>14</xdr:col>
      <xdr:colOff>409575</xdr:colOff>
      <xdr:row>2</xdr:row>
      <xdr:rowOff>152400</xdr:rowOff>
    </xdr:from>
    <xdr:to>
      <xdr:col>16</xdr:col>
      <xdr:colOff>57150</xdr:colOff>
      <xdr:row>3</xdr:row>
      <xdr:rowOff>152400</xdr:rowOff>
    </xdr:to>
    <xdr:sp macro="" textlink="">
      <xdr:nvSpPr>
        <xdr:cNvPr id="1067" name="Text Box 43"/>
        <xdr:cNvSpPr txBox="1">
          <a:spLocks noChangeArrowheads="1"/>
        </xdr:cNvSpPr>
      </xdr:nvSpPr>
      <xdr:spPr bwMode="auto">
        <a:xfrm>
          <a:off x="6315075" y="752475"/>
          <a:ext cx="733425" cy="180975"/>
        </a:xfrm>
        <a:prstGeom prst="rect">
          <a:avLst/>
        </a:prstGeom>
        <a:no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strike="noStrike">
              <a:solidFill>
                <a:srgbClr val="000000"/>
              </a:solidFill>
              <a:latin typeface="ＭＳ Ｐゴシック"/>
              <a:ea typeface="ＭＳ Ｐゴシック"/>
            </a:rPr>
            <a:t>休暇</a:t>
          </a:r>
        </a:p>
      </xdr:txBody>
    </xdr:sp>
    <xdr:clientData/>
  </xdr:twoCellAnchor>
  <xdr:twoCellAnchor>
    <xdr:from>
      <xdr:col>16</xdr:col>
      <xdr:colOff>38100</xdr:colOff>
      <xdr:row>2</xdr:row>
      <xdr:rowOff>161925</xdr:rowOff>
    </xdr:from>
    <xdr:to>
      <xdr:col>17</xdr:col>
      <xdr:colOff>381000</xdr:colOff>
      <xdr:row>4</xdr:row>
      <xdr:rowOff>9525</xdr:rowOff>
    </xdr:to>
    <xdr:sp macro="" textlink="">
      <xdr:nvSpPr>
        <xdr:cNvPr id="1068" name="Text Box 44"/>
        <xdr:cNvSpPr txBox="1">
          <a:spLocks noChangeArrowheads="1"/>
        </xdr:cNvSpPr>
      </xdr:nvSpPr>
      <xdr:spPr bwMode="auto">
        <a:xfrm>
          <a:off x="7029450" y="762000"/>
          <a:ext cx="733425" cy="190500"/>
        </a:xfrm>
        <a:prstGeom prst="rect">
          <a:avLst/>
        </a:prstGeom>
        <a:noFill/>
        <a:ln w="9525">
          <a:noFill/>
          <a:miter lim="800000"/>
          <a:headEnd/>
          <a:tailEnd/>
        </a:ln>
      </xdr:spPr>
      <xdr:txBody>
        <a:bodyPr vertOverflow="clip" wrap="square" lIns="27432" tIns="18288" rIns="27432" bIns="0" anchor="t" upright="1"/>
        <a:lstStyle/>
        <a:p>
          <a:pPr algn="ctr" rtl="0">
            <a:defRPr sz="1000"/>
          </a:pPr>
          <a:r>
            <a:rPr lang="ja-JP" altLang="en-US" sz="1100" b="0" i="0" strike="noStrike">
              <a:solidFill>
                <a:srgbClr val="000000"/>
              </a:solidFill>
              <a:latin typeface="ＭＳ Ｐゴシック"/>
              <a:ea typeface="ＭＳ Ｐゴシック"/>
            </a:rPr>
            <a:t>遅・早・欠</a:t>
          </a:r>
        </a:p>
      </xdr:txBody>
    </xdr:sp>
    <xdr:clientData/>
  </xdr:twoCellAnchor>
  <xdr:twoCellAnchor>
    <xdr:from>
      <xdr:col>16</xdr:col>
      <xdr:colOff>57150</xdr:colOff>
      <xdr:row>3</xdr:row>
      <xdr:rowOff>152400</xdr:rowOff>
    </xdr:from>
    <xdr:to>
      <xdr:col>18</xdr:col>
      <xdr:colOff>9525</xdr:colOff>
      <xdr:row>5</xdr:row>
      <xdr:rowOff>0</xdr:rowOff>
    </xdr:to>
    <xdr:sp macro="" textlink="">
      <xdr:nvSpPr>
        <xdr:cNvPr id="1565" name="Text Box 41"/>
        <xdr:cNvSpPr txBox="1">
          <a:spLocks noChangeArrowheads="1"/>
        </xdr:cNvSpPr>
      </xdr:nvSpPr>
      <xdr:spPr bwMode="auto">
        <a:xfrm>
          <a:off x="7048500" y="933450"/>
          <a:ext cx="733425" cy="276225"/>
        </a:xfrm>
        <a:prstGeom prst="rect">
          <a:avLst/>
        </a:prstGeom>
        <a:noFill/>
        <a:ln w="9525">
          <a:solidFill>
            <a:srgbClr val="000000"/>
          </a:solidFill>
          <a:miter lim="800000"/>
          <a:headEnd/>
          <a:tailEnd/>
        </a:ln>
      </xdr:spPr>
    </xdr:sp>
    <xdr:clientData/>
  </xdr:twoCellAnchor>
  <xdr:twoCellAnchor>
    <xdr:from>
      <xdr:col>11</xdr:col>
      <xdr:colOff>276225</xdr:colOff>
      <xdr:row>47</xdr:row>
      <xdr:rowOff>152400</xdr:rowOff>
    </xdr:from>
    <xdr:to>
      <xdr:col>12</xdr:col>
      <xdr:colOff>0</xdr:colOff>
      <xdr:row>48</xdr:row>
      <xdr:rowOff>114300</xdr:rowOff>
    </xdr:to>
    <xdr:sp macro="" textlink="">
      <xdr:nvSpPr>
        <xdr:cNvPr id="1107" name="Text Box 83"/>
        <xdr:cNvSpPr txBox="1">
          <a:spLocks noChangeArrowheads="1"/>
        </xdr:cNvSpPr>
      </xdr:nvSpPr>
      <xdr:spPr bwMode="auto">
        <a:xfrm>
          <a:off x="4591050" y="9544050"/>
          <a:ext cx="228600" cy="142875"/>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a:t>
          </a:r>
          <a:r>
            <a:rPr lang="ja-JP" altLang="en-US" sz="800" b="0" i="0" strike="noStrike">
              <a:solidFill>
                <a:srgbClr val="000000"/>
              </a:solidFill>
              <a:latin typeface="ＭＳ Ｐゴシック"/>
              <a:ea typeface="ＭＳ Ｐゴシック"/>
            </a:rPr>
            <a:t>Ｈ）</a:t>
          </a:r>
        </a:p>
      </xdr:txBody>
    </xdr:sp>
    <xdr:clientData/>
  </xdr:twoCellAnchor>
  <xdr:twoCellAnchor>
    <xdr:from>
      <xdr:col>11</xdr:col>
      <xdr:colOff>257175</xdr:colOff>
      <xdr:row>45</xdr:row>
      <xdr:rowOff>152400</xdr:rowOff>
    </xdr:from>
    <xdr:to>
      <xdr:col>12</xdr:col>
      <xdr:colOff>0</xdr:colOff>
      <xdr:row>46</xdr:row>
      <xdr:rowOff>114300</xdr:rowOff>
    </xdr:to>
    <xdr:sp macro="" textlink="">
      <xdr:nvSpPr>
        <xdr:cNvPr id="1108" name="Text Box 84"/>
        <xdr:cNvSpPr txBox="1">
          <a:spLocks noChangeArrowheads="1"/>
        </xdr:cNvSpPr>
      </xdr:nvSpPr>
      <xdr:spPr bwMode="auto">
        <a:xfrm>
          <a:off x="4572000" y="9210675"/>
          <a:ext cx="247650"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a:t>
          </a:r>
          <a:r>
            <a:rPr lang="ja-JP" altLang="en-US" sz="800" b="0" i="0" strike="noStrike">
              <a:solidFill>
                <a:srgbClr val="000000"/>
              </a:solidFill>
              <a:latin typeface="ＭＳ Ｐゴシック"/>
              <a:ea typeface="ＭＳ Ｐゴシック"/>
            </a:rPr>
            <a:t>Ｍ）</a:t>
          </a:r>
        </a:p>
      </xdr:txBody>
    </xdr:sp>
    <xdr:clientData/>
  </xdr:twoCellAnchor>
  <xdr:twoCellAnchor>
    <xdr:from>
      <xdr:col>1</xdr:col>
      <xdr:colOff>0</xdr:colOff>
      <xdr:row>46</xdr:row>
      <xdr:rowOff>0</xdr:rowOff>
    </xdr:from>
    <xdr:to>
      <xdr:col>2</xdr:col>
      <xdr:colOff>371475</xdr:colOff>
      <xdr:row>50</xdr:row>
      <xdr:rowOff>0</xdr:rowOff>
    </xdr:to>
    <xdr:sp macro="" textlink="">
      <xdr:nvSpPr>
        <xdr:cNvPr id="1109" name="Text Box 85"/>
        <xdr:cNvSpPr txBox="1">
          <a:spLocks noChangeArrowheads="1"/>
        </xdr:cNvSpPr>
      </xdr:nvSpPr>
      <xdr:spPr bwMode="auto">
        <a:xfrm>
          <a:off x="581025" y="9210675"/>
          <a:ext cx="647700" cy="704850"/>
        </a:xfrm>
        <a:prstGeom prst="rect">
          <a:avLst/>
        </a:prstGeom>
        <a:no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strike="noStrike">
              <a:solidFill>
                <a:srgbClr val="000000"/>
              </a:solidFill>
              <a:latin typeface="ＭＳ Ｐゴシック"/>
              <a:ea typeface="ＭＳ Ｐゴシック"/>
            </a:rPr>
            <a:t>管 理 印</a:t>
          </a:r>
        </a:p>
      </xdr:txBody>
    </xdr:sp>
    <xdr:clientData/>
  </xdr:twoCellAnchor>
  <xdr:twoCellAnchor>
    <xdr:from>
      <xdr:col>1</xdr:col>
      <xdr:colOff>0</xdr:colOff>
      <xdr:row>47</xdr:row>
      <xdr:rowOff>0</xdr:rowOff>
    </xdr:from>
    <xdr:to>
      <xdr:col>2</xdr:col>
      <xdr:colOff>361950</xdr:colOff>
      <xdr:row>47</xdr:row>
      <xdr:rowOff>0</xdr:rowOff>
    </xdr:to>
    <xdr:sp macro="" textlink="">
      <xdr:nvSpPr>
        <xdr:cNvPr id="1569" name="Line 86"/>
        <xdr:cNvSpPr>
          <a:spLocks noChangeShapeType="1"/>
        </xdr:cNvSpPr>
      </xdr:nvSpPr>
      <xdr:spPr bwMode="auto">
        <a:xfrm flipH="1">
          <a:off x="581025" y="9391650"/>
          <a:ext cx="638175" cy="0"/>
        </a:xfrm>
        <a:prstGeom prst="line">
          <a:avLst/>
        </a:prstGeom>
        <a:noFill/>
        <a:ln w="9525">
          <a:solidFill>
            <a:srgbClr val="000000"/>
          </a:solidFill>
          <a:round/>
          <a:headEnd/>
          <a:tailEnd/>
        </a:ln>
      </xdr:spPr>
    </xdr:sp>
    <xdr:clientData/>
  </xdr:twoCellAnchor>
  <xdr:twoCellAnchor>
    <xdr:from>
      <xdr:col>2</xdr:col>
      <xdr:colOff>66675</xdr:colOff>
      <xdr:row>47</xdr:row>
      <xdr:rowOff>0</xdr:rowOff>
    </xdr:from>
    <xdr:to>
      <xdr:col>2</xdr:col>
      <xdr:colOff>66675</xdr:colOff>
      <xdr:row>49</xdr:row>
      <xdr:rowOff>161925</xdr:rowOff>
    </xdr:to>
    <xdr:sp macro="" textlink="">
      <xdr:nvSpPr>
        <xdr:cNvPr id="1570" name="Line 87"/>
        <xdr:cNvSpPr>
          <a:spLocks noChangeShapeType="1"/>
        </xdr:cNvSpPr>
      </xdr:nvSpPr>
      <xdr:spPr bwMode="auto">
        <a:xfrm>
          <a:off x="923925" y="9391650"/>
          <a:ext cx="0" cy="514350"/>
        </a:xfrm>
        <a:prstGeom prst="line">
          <a:avLst/>
        </a:prstGeom>
        <a:noFill/>
        <a:ln w="9525">
          <a:solidFill>
            <a:srgbClr val="000000"/>
          </a:solidFill>
          <a:round/>
          <a:headEnd/>
          <a:tailEnd/>
        </a:ln>
      </xdr:spPr>
    </xdr:sp>
    <xdr:clientData/>
  </xdr:twoCellAnchor>
  <xdr:twoCellAnchor>
    <xdr:from>
      <xdr:col>15</xdr:col>
      <xdr:colOff>514350</xdr:colOff>
      <xdr:row>43</xdr:row>
      <xdr:rowOff>85725</xdr:rowOff>
    </xdr:from>
    <xdr:to>
      <xdr:col>16</xdr:col>
      <xdr:colOff>238125</xdr:colOff>
      <xdr:row>46</xdr:row>
      <xdr:rowOff>95250</xdr:rowOff>
    </xdr:to>
    <xdr:sp macro="" textlink="">
      <xdr:nvSpPr>
        <xdr:cNvPr id="1125" name="Text Box 101"/>
        <xdr:cNvSpPr txBox="1">
          <a:spLocks noChangeArrowheads="1"/>
        </xdr:cNvSpPr>
      </xdr:nvSpPr>
      <xdr:spPr bwMode="auto">
        <a:xfrm>
          <a:off x="6962775" y="9201150"/>
          <a:ext cx="266700" cy="104775"/>
        </a:xfrm>
        <a:prstGeom prst="rect">
          <a:avLst/>
        </a:prstGeom>
        <a:noFill/>
        <a:ln w="9525">
          <a:noFill/>
          <a:miter lim="800000"/>
          <a:headEnd/>
          <a:tailEnd/>
        </a:ln>
      </xdr:spPr>
      <xdr:txBody>
        <a:bodyPr vertOverflow="clip" wrap="square" lIns="18288" tIns="18288" rIns="18288" bIns="0" anchor="t" upright="1"/>
        <a:lstStyle/>
        <a:p>
          <a:pPr algn="ctr" rtl="0">
            <a:defRPr sz="1000"/>
          </a:pPr>
          <a:r>
            <a:rPr lang="ja-JP" altLang="en-US" sz="600" b="0" i="0" strike="noStrike">
              <a:solidFill>
                <a:srgbClr val="000000"/>
              </a:solidFill>
              <a:latin typeface="ＭＳ Ｐゴシック"/>
              <a:ea typeface="ＭＳ Ｐゴシック"/>
            </a:rPr>
            <a:t>合計</a:t>
          </a:r>
        </a:p>
      </xdr:txBody>
    </xdr:sp>
    <xdr:clientData/>
  </xdr:twoCellAnchor>
  <xdr:twoCellAnchor>
    <xdr:from>
      <xdr:col>11</xdr:col>
      <xdr:colOff>495300</xdr:colOff>
      <xdr:row>47</xdr:row>
      <xdr:rowOff>19050</xdr:rowOff>
    </xdr:from>
    <xdr:to>
      <xdr:col>13</xdr:col>
      <xdr:colOff>66675</xdr:colOff>
      <xdr:row>48</xdr:row>
      <xdr:rowOff>0</xdr:rowOff>
    </xdr:to>
    <xdr:sp macro="" textlink="">
      <xdr:nvSpPr>
        <xdr:cNvPr id="1128" name="Text Box 104"/>
        <xdr:cNvSpPr txBox="1">
          <a:spLocks noChangeArrowheads="1"/>
        </xdr:cNvSpPr>
      </xdr:nvSpPr>
      <xdr:spPr bwMode="auto">
        <a:xfrm>
          <a:off x="4810125" y="9410700"/>
          <a:ext cx="619125" cy="1619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標準外時間</a:t>
          </a:r>
        </a:p>
      </xdr:txBody>
    </xdr:sp>
    <xdr:clientData/>
  </xdr:twoCellAnchor>
  <xdr:twoCellAnchor>
    <xdr:from>
      <xdr:col>13</xdr:col>
      <xdr:colOff>0</xdr:colOff>
      <xdr:row>47</xdr:row>
      <xdr:rowOff>38100</xdr:rowOff>
    </xdr:from>
    <xdr:to>
      <xdr:col>13</xdr:col>
      <xdr:colOff>200025</xdr:colOff>
      <xdr:row>50</xdr:row>
      <xdr:rowOff>0</xdr:rowOff>
    </xdr:to>
    <xdr:sp macro="" textlink="">
      <xdr:nvSpPr>
        <xdr:cNvPr id="1573" name="Rectangle 106"/>
        <xdr:cNvSpPr>
          <a:spLocks noChangeArrowheads="1"/>
        </xdr:cNvSpPr>
      </xdr:nvSpPr>
      <xdr:spPr bwMode="auto">
        <a:xfrm>
          <a:off x="5362575" y="9429750"/>
          <a:ext cx="200025" cy="485775"/>
        </a:xfrm>
        <a:prstGeom prst="rect">
          <a:avLst/>
        </a:prstGeom>
        <a:noFill/>
        <a:ln w="9525">
          <a:solidFill>
            <a:srgbClr val="000000"/>
          </a:solidFill>
          <a:miter lim="800000"/>
          <a:headEnd/>
          <a:tailEnd/>
        </a:ln>
      </xdr:spPr>
    </xdr:sp>
    <xdr:clientData/>
  </xdr:twoCellAnchor>
  <xdr:twoCellAnchor>
    <xdr:from>
      <xdr:col>13</xdr:col>
      <xdr:colOff>9525</xdr:colOff>
      <xdr:row>47</xdr:row>
      <xdr:rowOff>57150</xdr:rowOff>
    </xdr:from>
    <xdr:to>
      <xdr:col>13</xdr:col>
      <xdr:colOff>209550</xdr:colOff>
      <xdr:row>48</xdr:row>
      <xdr:rowOff>85725</xdr:rowOff>
    </xdr:to>
    <xdr:sp macro="" textlink="">
      <xdr:nvSpPr>
        <xdr:cNvPr id="1131" name="Text Box 107"/>
        <xdr:cNvSpPr txBox="1">
          <a:spLocks noChangeArrowheads="1"/>
        </xdr:cNvSpPr>
      </xdr:nvSpPr>
      <xdr:spPr bwMode="auto">
        <a:xfrm>
          <a:off x="5372100" y="9448800"/>
          <a:ext cx="20002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記</a:t>
          </a:r>
        </a:p>
      </xdr:txBody>
    </xdr:sp>
    <xdr:clientData/>
  </xdr:twoCellAnchor>
  <xdr:twoCellAnchor>
    <xdr:from>
      <xdr:col>13</xdr:col>
      <xdr:colOff>9525</xdr:colOff>
      <xdr:row>48</xdr:row>
      <xdr:rowOff>95250</xdr:rowOff>
    </xdr:from>
    <xdr:to>
      <xdr:col>13</xdr:col>
      <xdr:colOff>209550</xdr:colOff>
      <xdr:row>49</xdr:row>
      <xdr:rowOff>123825</xdr:rowOff>
    </xdr:to>
    <xdr:sp macro="" textlink="">
      <xdr:nvSpPr>
        <xdr:cNvPr id="1132" name="Text Box 108"/>
        <xdr:cNvSpPr txBox="1">
          <a:spLocks noChangeArrowheads="1"/>
        </xdr:cNvSpPr>
      </xdr:nvSpPr>
      <xdr:spPr bwMode="auto">
        <a:xfrm>
          <a:off x="5372100" y="9667875"/>
          <a:ext cx="200025" cy="2000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事</a:t>
          </a:r>
        </a:p>
      </xdr:txBody>
    </xdr:sp>
    <xdr:clientData/>
  </xdr:twoCellAnchor>
  <xdr:twoCellAnchor>
    <xdr:from>
      <xdr:col>13</xdr:col>
      <xdr:colOff>200025</xdr:colOff>
      <xdr:row>47</xdr:row>
      <xdr:rowOff>38100</xdr:rowOff>
    </xdr:from>
    <xdr:to>
      <xdr:col>18</xdr:col>
      <xdr:colOff>0</xdr:colOff>
      <xdr:row>50</xdr:row>
      <xdr:rowOff>0</xdr:rowOff>
    </xdr:to>
    <xdr:sp macro="" textlink="">
      <xdr:nvSpPr>
        <xdr:cNvPr id="1576" name="Rectangle 109"/>
        <xdr:cNvSpPr>
          <a:spLocks noChangeArrowheads="1"/>
        </xdr:cNvSpPr>
      </xdr:nvSpPr>
      <xdr:spPr bwMode="auto">
        <a:xfrm>
          <a:off x="5562600" y="9429750"/>
          <a:ext cx="2209800" cy="485775"/>
        </a:xfrm>
        <a:prstGeom prst="rect">
          <a:avLst/>
        </a:prstGeom>
        <a:noFill/>
        <a:ln w="9525">
          <a:solidFill>
            <a:srgbClr val="000000"/>
          </a:solidFill>
          <a:miter lim="800000"/>
          <a:headEnd/>
          <a:tailEnd/>
        </a:ln>
      </xdr:spPr>
    </xdr:sp>
    <xdr:clientData/>
  </xdr:twoCellAnchor>
  <xdr:twoCellAnchor>
    <xdr:from>
      <xdr:col>15</xdr:col>
      <xdr:colOff>523875</xdr:colOff>
      <xdr:row>46</xdr:row>
      <xdr:rowOff>76200</xdr:rowOff>
    </xdr:from>
    <xdr:to>
      <xdr:col>16</xdr:col>
      <xdr:colOff>247650</xdr:colOff>
      <xdr:row>47</xdr:row>
      <xdr:rowOff>9525</xdr:rowOff>
    </xdr:to>
    <xdr:sp macro="" textlink="">
      <xdr:nvSpPr>
        <xdr:cNvPr id="1134" name="Text Box 110"/>
        <xdr:cNvSpPr txBox="1">
          <a:spLocks noChangeArrowheads="1"/>
        </xdr:cNvSpPr>
      </xdr:nvSpPr>
      <xdr:spPr bwMode="auto">
        <a:xfrm>
          <a:off x="6972300" y="9286875"/>
          <a:ext cx="266700" cy="114300"/>
        </a:xfrm>
        <a:prstGeom prst="rect">
          <a:avLst/>
        </a:prstGeom>
        <a:noFill/>
        <a:ln w="9525">
          <a:noFill/>
          <a:miter lim="800000"/>
          <a:headEnd/>
          <a:tailEnd/>
        </a:ln>
      </xdr:spPr>
      <xdr:txBody>
        <a:bodyPr vertOverflow="clip" wrap="square" lIns="18288" tIns="18288" rIns="18288" bIns="0" anchor="t" upright="1"/>
        <a:lstStyle/>
        <a:p>
          <a:pPr algn="ctr" rtl="0">
            <a:defRPr sz="1000"/>
          </a:pPr>
          <a:r>
            <a:rPr lang="ja-JP" altLang="en-US" sz="600" b="0" i="0" strike="noStrike">
              <a:solidFill>
                <a:srgbClr val="000000"/>
              </a:solidFill>
              <a:latin typeface="ＭＳ Ｐゴシック"/>
              <a:ea typeface="ＭＳ Ｐゴシック"/>
            </a:rPr>
            <a:t>時間</a:t>
          </a:r>
        </a:p>
      </xdr:txBody>
    </xdr:sp>
    <xdr:clientData/>
  </xdr:twoCellAnchor>
  <xdr:twoCellAnchor>
    <xdr:from>
      <xdr:col>13</xdr:col>
      <xdr:colOff>219075</xdr:colOff>
      <xdr:row>1</xdr:row>
      <xdr:rowOff>361950</xdr:rowOff>
    </xdr:from>
    <xdr:to>
      <xdr:col>18</xdr:col>
      <xdr:colOff>9525</xdr:colOff>
      <xdr:row>5</xdr:row>
      <xdr:rowOff>0</xdr:rowOff>
    </xdr:to>
    <xdr:sp macro="" textlink="">
      <xdr:nvSpPr>
        <xdr:cNvPr id="1578" name="Rectangle 112"/>
        <xdr:cNvSpPr>
          <a:spLocks noChangeArrowheads="1"/>
        </xdr:cNvSpPr>
      </xdr:nvSpPr>
      <xdr:spPr bwMode="auto">
        <a:xfrm>
          <a:off x="5581650" y="561975"/>
          <a:ext cx="2200275" cy="647700"/>
        </a:xfrm>
        <a:prstGeom prst="rect">
          <a:avLst/>
        </a:prstGeom>
        <a:noFill/>
        <a:ln w="15875">
          <a:solidFill>
            <a:srgbClr val="000000"/>
          </a:solidFill>
          <a:miter lim="800000"/>
          <a:headEnd/>
          <a:tailEnd/>
        </a:ln>
      </xdr:spPr>
    </xdr:sp>
    <xdr:clientData/>
  </xdr:twoCellAnchor>
  <xdr:twoCellAnchor>
    <xdr:from>
      <xdr:col>3</xdr:col>
      <xdr:colOff>180975</xdr:colOff>
      <xdr:row>46</xdr:row>
      <xdr:rowOff>0</xdr:rowOff>
    </xdr:from>
    <xdr:to>
      <xdr:col>3</xdr:col>
      <xdr:colOff>209550</xdr:colOff>
      <xdr:row>50</xdr:row>
      <xdr:rowOff>0</xdr:rowOff>
    </xdr:to>
    <xdr:sp macro="" textlink="">
      <xdr:nvSpPr>
        <xdr:cNvPr id="1579" name="Rectangle 92"/>
        <xdr:cNvSpPr>
          <a:spLocks noChangeArrowheads="1"/>
        </xdr:cNvSpPr>
      </xdr:nvSpPr>
      <xdr:spPr bwMode="auto">
        <a:xfrm>
          <a:off x="1466850" y="9210675"/>
          <a:ext cx="28575" cy="704850"/>
        </a:xfrm>
        <a:prstGeom prst="rect">
          <a:avLst/>
        </a:prstGeom>
        <a:solidFill>
          <a:srgbClr val="FFFFFF"/>
        </a:solidFill>
        <a:ln w="9525">
          <a:solidFill>
            <a:srgbClr val="000000"/>
          </a:solidFill>
          <a:miter lim="800000"/>
          <a:headEnd/>
          <a:tailEnd/>
        </a:ln>
      </xdr:spPr>
    </xdr:sp>
    <xdr:clientData/>
  </xdr:twoCellAnchor>
  <xdr:twoCellAnchor>
    <xdr:from>
      <xdr:col>2</xdr:col>
      <xdr:colOff>409575</xdr:colOff>
      <xdr:row>46</xdr:row>
      <xdr:rowOff>0</xdr:rowOff>
    </xdr:from>
    <xdr:to>
      <xdr:col>3</xdr:col>
      <xdr:colOff>180975</xdr:colOff>
      <xdr:row>50</xdr:row>
      <xdr:rowOff>0</xdr:rowOff>
    </xdr:to>
    <xdr:sp macro="" textlink="">
      <xdr:nvSpPr>
        <xdr:cNvPr id="1580" name="Rectangle 91"/>
        <xdr:cNvSpPr>
          <a:spLocks noChangeArrowheads="1"/>
        </xdr:cNvSpPr>
      </xdr:nvSpPr>
      <xdr:spPr bwMode="auto">
        <a:xfrm>
          <a:off x="1266825" y="9210675"/>
          <a:ext cx="200025" cy="704850"/>
        </a:xfrm>
        <a:prstGeom prst="rect">
          <a:avLst/>
        </a:prstGeom>
        <a:noFill/>
        <a:ln w="9525">
          <a:solidFill>
            <a:srgbClr val="000000"/>
          </a:solidFill>
          <a:miter lim="800000"/>
          <a:headEnd/>
          <a:tailEnd/>
        </a:ln>
      </xdr:spPr>
    </xdr:sp>
    <xdr:clientData/>
  </xdr:twoCellAnchor>
  <xdr:twoCellAnchor>
    <xdr:from>
      <xdr:col>10</xdr:col>
      <xdr:colOff>0</xdr:colOff>
      <xdr:row>46</xdr:row>
      <xdr:rowOff>0</xdr:rowOff>
    </xdr:from>
    <xdr:to>
      <xdr:col>11</xdr:col>
      <xdr:colOff>0</xdr:colOff>
      <xdr:row>48</xdr:row>
      <xdr:rowOff>0</xdr:rowOff>
    </xdr:to>
    <xdr:sp macro="" textlink="">
      <xdr:nvSpPr>
        <xdr:cNvPr id="1581" name="Rectangle 46"/>
        <xdr:cNvSpPr>
          <a:spLocks noChangeArrowheads="1"/>
        </xdr:cNvSpPr>
      </xdr:nvSpPr>
      <xdr:spPr bwMode="auto">
        <a:xfrm>
          <a:off x="3810000" y="9210675"/>
          <a:ext cx="504825" cy="361950"/>
        </a:xfrm>
        <a:prstGeom prst="rect">
          <a:avLst/>
        </a:prstGeom>
        <a:noFill/>
        <a:ln w="9525">
          <a:solidFill>
            <a:srgbClr val="000000"/>
          </a:solidFill>
          <a:miter lim="800000"/>
          <a:headEnd/>
          <a:tailEnd/>
        </a:ln>
      </xdr:spPr>
    </xdr:sp>
    <xdr:clientData/>
  </xdr:twoCellAnchor>
  <xdr:twoCellAnchor>
    <xdr:from>
      <xdr:col>10</xdr:col>
      <xdr:colOff>0</xdr:colOff>
      <xdr:row>48</xdr:row>
      <xdr:rowOff>0</xdr:rowOff>
    </xdr:from>
    <xdr:to>
      <xdr:col>11</xdr:col>
      <xdr:colOff>0</xdr:colOff>
      <xdr:row>50</xdr:row>
      <xdr:rowOff>0</xdr:rowOff>
    </xdr:to>
    <xdr:sp macro="" textlink="">
      <xdr:nvSpPr>
        <xdr:cNvPr id="1582" name="Rectangle 47"/>
        <xdr:cNvSpPr>
          <a:spLocks noChangeArrowheads="1"/>
        </xdr:cNvSpPr>
      </xdr:nvSpPr>
      <xdr:spPr bwMode="auto">
        <a:xfrm>
          <a:off x="3810000" y="9572625"/>
          <a:ext cx="504825" cy="342900"/>
        </a:xfrm>
        <a:prstGeom prst="rect">
          <a:avLst/>
        </a:prstGeom>
        <a:noFill/>
        <a:ln w="9525">
          <a:solidFill>
            <a:srgbClr val="000000"/>
          </a:solidFill>
          <a:miter lim="800000"/>
          <a:headEnd/>
          <a:tailEnd/>
        </a:ln>
      </xdr:spPr>
    </xdr:sp>
    <xdr:clientData/>
  </xdr:twoCellAnchor>
  <xdr:twoCellAnchor>
    <xdr:from>
      <xdr:col>11</xdr:col>
      <xdr:colOff>0</xdr:colOff>
      <xdr:row>46</xdr:row>
      <xdr:rowOff>0</xdr:rowOff>
    </xdr:from>
    <xdr:to>
      <xdr:col>11</xdr:col>
      <xdr:colOff>466725</xdr:colOff>
      <xdr:row>48</xdr:row>
      <xdr:rowOff>0</xdr:rowOff>
    </xdr:to>
    <xdr:sp macro="" textlink="">
      <xdr:nvSpPr>
        <xdr:cNvPr id="1583" name="Rectangle 48"/>
        <xdr:cNvSpPr>
          <a:spLocks noChangeArrowheads="1"/>
        </xdr:cNvSpPr>
      </xdr:nvSpPr>
      <xdr:spPr bwMode="auto">
        <a:xfrm>
          <a:off x="4314825" y="9210675"/>
          <a:ext cx="466725" cy="361950"/>
        </a:xfrm>
        <a:prstGeom prst="rect">
          <a:avLst/>
        </a:prstGeom>
        <a:noFill/>
        <a:ln w="9525">
          <a:solidFill>
            <a:srgbClr val="000000"/>
          </a:solidFill>
          <a:miter lim="800000"/>
          <a:headEnd/>
          <a:tailEnd/>
        </a:ln>
      </xdr:spPr>
    </xdr:sp>
    <xdr:clientData/>
  </xdr:twoCellAnchor>
  <xdr:twoCellAnchor>
    <xdr:from>
      <xdr:col>11</xdr:col>
      <xdr:colOff>0</xdr:colOff>
      <xdr:row>48</xdr:row>
      <xdr:rowOff>0</xdr:rowOff>
    </xdr:from>
    <xdr:to>
      <xdr:col>11</xdr:col>
      <xdr:colOff>466725</xdr:colOff>
      <xdr:row>50</xdr:row>
      <xdr:rowOff>0</xdr:rowOff>
    </xdr:to>
    <xdr:sp macro="" textlink="">
      <xdr:nvSpPr>
        <xdr:cNvPr id="1584" name="Rectangle 49"/>
        <xdr:cNvSpPr>
          <a:spLocks noChangeArrowheads="1"/>
        </xdr:cNvSpPr>
      </xdr:nvSpPr>
      <xdr:spPr bwMode="auto">
        <a:xfrm>
          <a:off x="4314825" y="9572625"/>
          <a:ext cx="466725" cy="342900"/>
        </a:xfrm>
        <a:prstGeom prst="rect">
          <a:avLst/>
        </a:prstGeom>
        <a:noFill/>
        <a:ln w="9525">
          <a:solidFill>
            <a:srgbClr val="000000"/>
          </a:solidFill>
          <a:miter lim="800000"/>
          <a:headEnd/>
          <a:tailEnd/>
        </a:ln>
      </xdr:spPr>
    </xdr:sp>
    <xdr:clientData/>
  </xdr:twoCellAnchor>
  <xdr:twoCellAnchor>
    <xdr:from>
      <xdr:col>10</xdr:col>
      <xdr:colOff>0</xdr:colOff>
      <xdr:row>48</xdr:row>
      <xdr:rowOff>0</xdr:rowOff>
    </xdr:from>
    <xdr:to>
      <xdr:col>11</xdr:col>
      <xdr:colOff>0</xdr:colOff>
      <xdr:row>50</xdr:row>
      <xdr:rowOff>0</xdr:rowOff>
    </xdr:to>
    <xdr:sp macro="" textlink="">
      <xdr:nvSpPr>
        <xdr:cNvPr id="1585" name="Line 50"/>
        <xdr:cNvSpPr>
          <a:spLocks noChangeShapeType="1"/>
        </xdr:cNvSpPr>
      </xdr:nvSpPr>
      <xdr:spPr bwMode="auto">
        <a:xfrm flipV="1">
          <a:off x="3810000" y="9572625"/>
          <a:ext cx="504825" cy="342900"/>
        </a:xfrm>
        <a:prstGeom prst="line">
          <a:avLst/>
        </a:prstGeom>
        <a:noFill/>
        <a:ln w="9525">
          <a:solidFill>
            <a:srgbClr val="000000"/>
          </a:solidFill>
          <a:round/>
          <a:headEnd/>
          <a:tailEnd/>
        </a:ln>
      </xdr:spPr>
    </xdr:sp>
    <xdr:clientData/>
  </xdr:twoCellAnchor>
  <xdr:twoCellAnchor>
    <xdr:from>
      <xdr:col>10</xdr:col>
      <xdr:colOff>0</xdr:colOff>
      <xdr:row>46</xdr:row>
      <xdr:rowOff>0</xdr:rowOff>
    </xdr:from>
    <xdr:to>
      <xdr:col>11</xdr:col>
      <xdr:colOff>0</xdr:colOff>
      <xdr:row>48</xdr:row>
      <xdr:rowOff>0</xdr:rowOff>
    </xdr:to>
    <xdr:sp macro="" textlink="">
      <xdr:nvSpPr>
        <xdr:cNvPr id="1586" name="Line 51"/>
        <xdr:cNvSpPr>
          <a:spLocks noChangeShapeType="1"/>
        </xdr:cNvSpPr>
      </xdr:nvSpPr>
      <xdr:spPr bwMode="auto">
        <a:xfrm flipV="1">
          <a:off x="3810000" y="9210675"/>
          <a:ext cx="504825" cy="361950"/>
        </a:xfrm>
        <a:prstGeom prst="line">
          <a:avLst/>
        </a:prstGeom>
        <a:noFill/>
        <a:ln w="9525">
          <a:solidFill>
            <a:srgbClr val="000000"/>
          </a:solidFill>
          <a:round/>
          <a:headEnd/>
          <a:tailEnd/>
        </a:ln>
      </xdr:spPr>
    </xdr:sp>
    <xdr:clientData/>
  </xdr:twoCellAnchor>
  <xdr:twoCellAnchor>
    <xdr:from>
      <xdr:col>11</xdr:col>
      <xdr:colOff>0</xdr:colOff>
      <xdr:row>46</xdr:row>
      <xdr:rowOff>0</xdr:rowOff>
    </xdr:from>
    <xdr:to>
      <xdr:col>11</xdr:col>
      <xdr:colOff>466725</xdr:colOff>
      <xdr:row>48</xdr:row>
      <xdr:rowOff>0</xdr:rowOff>
    </xdr:to>
    <xdr:sp macro="" textlink="">
      <xdr:nvSpPr>
        <xdr:cNvPr id="1587" name="Line 52"/>
        <xdr:cNvSpPr>
          <a:spLocks noChangeShapeType="1"/>
        </xdr:cNvSpPr>
      </xdr:nvSpPr>
      <xdr:spPr bwMode="auto">
        <a:xfrm flipH="1">
          <a:off x="4314825" y="9210675"/>
          <a:ext cx="466725" cy="361950"/>
        </a:xfrm>
        <a:prstGeom prst="line">
          <a:avLst/>
        </a:prstGeom>
        <a:noFill/>
        <a:ln w="9525">
          <a:solidFill>
            <a:srgbClr val="000000"/>
          </a:solidFill>
          <a:round/>
          <a:headEnd/>
          <a:tailEnd/>
        </a:ln>
      </xdr:spPr>
    </xdr:sp>
    <xdr:clientData/>
  </xdr:twoCellAnchor>
  <xdr:twoCellAnchor>
    <xdr:from>
      <xdr:col>11</xdr:col>
      <xdr:colOff>9525</xdr:colOff>
      <xdr:row>48</xdr:row>
      <xdr:rowOff>0</xdr:rowOff>
    </xdr:from>
    <xdr:to>
      <xdr:col>11</xdr:col>
      <xdr:colOff>466725</xdr:colOff>
      <xdr:row>50</xdr:row>
      <xdr:rowOff>0</xdr:rowOff>
    </xdr:to>
    <xdr:sp macro="" textlink="">
      <xdr:nvSpPr>
        <xdr:cNvPr id="1588" name="Line 53"/>
        <xdr:cNvSpPr>
          <a:spLocks noChangeShapeType="1"/>
        </xdr:cNvSpPr>
      </xdr:nvSpPr>
      <xdr:spPr bwMode="auto">
        <a:xfrm flipH="1">
          <a:off x="4324350" y="9572625"/>
          <a:ext cx="457200" cy="342900"/>
        </a:xfrm>
        <a:prstGeom prst="line">
          <a:avLst/>
        </a:prstGeom>
        <a:noFill/>
        <a:ln w="9525">
          <a:solidFill>
            <a:srgbClr val="000000"/>
          </a:solidFill>
          <a:round/>
          <a:headEnd/>
          <a:tailEnd/>
        </a:ln>
      </xdr:spPr>
    </xdr:sp>
    <xdr:clientData/>
  </xdr:twoCellAnchor>
  <xdr:twoCellAnchor>
    <xdr:from>
      <xdr:col>3</xdr:col>
      <xdr:colOff>209550</xdr:colOff>
      <xdr:row>46</xdr:row>
      <xdr:rowOff>0</xdr:rowOff>
    </xdr:from>
    <xdr:to>
      <xdr:col>4</xdr:col>
      <xdr:colOff>219075</xdr:colOff>
      <xdr:row>48</xdr:row>
      <xdr:rowOff>0</xdr:rowOff>
    </xdr:to>
    <xdr:sp macro="" textlink="">
      <xdr:nvSpPr>
        <xdr:cNvPr id="1088" name="Text Box 64"/>
        <xdr:cNvSpPr txBox="1">
          <a:spLocks noChangeArrowheads="1"/>
        </xdr:cNvSpPr>
      </xdr:nvSpPr>
      <xdr:spPr bwMode="auto">
        <a:xfrm>
          <a:off x="1495425" y="9210675"/>
          <a:ext cx="438150" cy="361950"/>
        </a:xfrm>
        <a:prstGeom prst="rect">
          <a:avLst/>
        </a:prstGeom>
        <a:no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Ｐゴシック"/>
              <a:ea typeface="ＭＳ Ｐゴシック"/>
            </a:rPr>
            <a:t>出勤</a:t>
          </a:r>
        </a:p>
      </xdr:txBody>
    </xdr:sp>
    <xdr:clientData/>
  </xdr:twoCellAnchor>
  <xdr:twoCellAnchor>
    <xdr:from>
      <xdr:col>8</xdr:col>
      <xdr:colOff>247650</xdr:colOff>
      <xdr:row>46</xdr:row>
      <xdr:rowOff>0</xdr:rowOff>
    </xdr:from>
    <xdr:to>
      <xdr:col>10</xdr:col>
      <xdr:colOff>0</xdr:colOff>
      <xdr:row>48</xdr:row>
      <xdr:rowOff>0</xdr:rowOff>
    </xdr:to>
    <xdr:sp macro="" textlink="">
      <xdr:nvSpPr>
        <xdr:cNvPr id="1091" name="Text Box 67"/>
        <xdr:cNvSpPr txBox="1">
          <a:spLocks noChangeArrowheads="1"/>
        </xdr:cNvSpPr>
      </xdr:nvSpPr>
      <xdr:spPr bwMode="auto">
        <a:xfrm>
          <a:off x="3371850" y="9210675"/>
          <a:ext cx="438150" cy="361950"/>
        </a:xfrm>
        <a:prstGeom prst="rect">
          <a:avLst/>
        </a:prstGeom>
        <a:no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遅・早</a:t>
          </a:r>
        </a:p>
        <a:p>
          <a:pPr algn="l" rtl="0">
            <a:defRPr sz="1000"/>
          </a:pPr>
          <a:r>
            <a:rPr lang="ja-JP" altLang="en-US" sz="1100" b="0" i="0" strike="noStrike">
              <a:solidFill>
                <a:srgbClr val="000000"/>
              </a:solidFill>
              <a:latin typeface="ＭＳ Ｐゴシック"/>
              <a:ea typeface="ＭＳ Ｐゴシック"/>
            </a:rPr>
            <a:t>  ・欠</a:t>
          </a:r>
        </a:p>
        <a:p>
          <a:pPr algn="l" rtl="0">
            <a:defRPr sz="1000"/>
          </a:pPr>
          <a:endParaRPr lang="ja-JP" altLang="en-US" sz="1100" b="0" i="0" strike="noStrike">
            <a:solidFill>
              <a:srgbClr val="000000"/>
            </a:solidFill>
            <a:latin typeface="ＭＳ Ｐゴシック"/>
            <a:ea typeface="ＭＳ Ｐゴシック"/>
          </a:endParaRPr>
        </a:p>
      </xdr:txBody>
    </xdr:sp>
    <xdr:clientData/>
  </xdr:twoCellAnchor>
  <xdr:twoCellAnchor>
    <xdr:from>
      <xdr:col>5</xdr:col>
      <xdr:colOff>304800</xdr:colOff>
      <xdr:row>46</xdr:row>
      <xdr:rowOff>0</xdr:rowOff>
    </xdr:from>
    <xdr:to>
      <xdr:col>7</xdr:col>
      <xdr:colOff>38100</xdr:colOff>
      <xdr:row>48</xdr:row>
      <xdr:rowOff>0</xdr:rowOff>
    </xdr:to>
    <xdr:sp macro="" textlink="">
      <xdr:nvSpPr>
        <xdr:cNvPr id="1092" name="Text Box 68"/>
        <xdr:cNvSpPr txBox="1">
          <a:spLocks noChangeArrowheads="1"/>
        </xdr:cNvSpPr>
      </xdr:nvSpPr>
      <xdr:spPr bwMode="auto">
        <a:xfrm>
          <a:off x="2371725" y="9210675"/>
          <a:ext cx="438150" cy="361950"/>
        </a:xfrm>
        <a:prstGeom prst="rect">
          <a:avLst/>
        </a:prstGeom>
        <a:no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Ｐゴシック"/>
              <a:ea typeface="ＭＳ Ｐゴシック"/>
            </a:rPr>
            <a:t>特休</a:t>
          </a:r>
        </a:p>
      </xdr:txBody>
    </xdr:sp>
    <xdr:clientData/>
  </xdr:twoCellAnchor>
  <xdr:twoCellAnchor>
    <xdr:from>
      <xdr:col>4</xdr:col>
      <xdr:colOff>219075</xdr:colOff>
      <xdr:row>46</xdr:row>
      <xdr:rowOff>0</xdr:rowOff>
    </xdr:from>
    <xdr:to>
      <xdr:col>5</xdr:col>
      <xdr:colOff>304800</xdr:colOff>
      <xdr:row>48</xdr:row>
      <xdr:rowOff>0</xdr:rowOff>
    </xdr:to>
    <xdr:sp macro="" textlink="">
      <xdr:nvSpPr>
        <xdr:cNvPr id="1093" name="Text Box 69"/>
        <xdr:cNvSpPr txBox="1">
          <a:spLocks noChangeArrowheads="1"/>
        </xdr:cNvSpPr>
      </xdr:nvSpPr>
      <xdr:spPr bwMode="auto">
        <a:xfrm>
          <a:off x="1933575" y="9210675"/>
          <a:ext cx="438150" cy="361950"/>
        </a:xfrm>
        <a:prstGeom prst="rect">
          <a:avLst/>
        </a:prstGeom>
        <a:no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Ｐゴシック"/>
              <a:ea typeface="ＭＳ Ｐゴシック"/>
            </a:rPr>
            <a:t>休暇</a:t>
          </a:r>
        </a:p>
      </xdr:txBody>
    </xdr:sp>
    <xdr:clientData/>
  </xdr:twoCellAnchor>
  <xdr:twoCellAnchor>
    <xdr:from>
      <xdr:col>3</xdr:col>
      <xdr:colOff>209550</xdr:colOff>
      <xdr:row>48</xdr:row>
      <xdr:rowOff>0</xdr:rowOff>
    </xdr:from>
    <xdr:to>
      <xdr:col>4</xdr:col>
      <xdr:colOff>219075</xdr:colOff>
      <xdr:row>50</xdr:row>
      <xdr:rowOff>0</xdr:rowOff>
    </xdr:to>
    <xdr:sp macro="" textlink="">
      <xdr:nvSpPr>
        <xdr:cNvPr id="1593" name="Rectangle 70"/>
        <xdr:cNvSpPr>
          <a:spLocks noChangeArrowheads="1"/>
        </xdr:cNvSpPr>
      </xdr:nvSpPr>
      <xdr:spPr bwMode="auto">
        <a:xfrm>
          <a:off x="1495425" y="9572625"/>
          <a:ext cx="438150" cy="342900"/>
        </a:xfrm>
        <a:prstGeom prst="rect">
          <a:avLst/>
        </a:prstGeom>
        <a:noFill/>
        <a:ln w="9525">
          <a:solidFill>
            <a:srgbClr val="000000"/>
          </a:solidFill>
          <a:miter lim="800000"/>
          <a:headEnd/>
          <a:tailEnd/>
        </a:ln>
      </xdr:spPr>
    </xdr:sp>
    <xdr:clientData/>
  </xdr:twoCellAnchor>
  <xdr:twoCellAnchor>
    <xdr:from>
      <xdr:col>4</xdr:col>
      <xdr:colOff>219075</xdr:colOff>
      <xdr:row>48</xdr:row>
      <xdr:rowOff>0</xdr:rowOff>
    </xdr:from>
    <xdr:to>
      <xdr:col>5</xdr:col>
      <xdr:colOff>304800</xdr:colOff>
      <xdr:row>50</xdr:row>
      <xdr:rowOff>0</xdr:rowOff>
    </xdr:to>
    <xdr:sp macro="" textlink="">
      <xdr:nvSpPr>
        <xdr:cNvPr id="1594" name="Rectangle 71"/>
        <xdr:cNvSpPr>
          <a:spLocks noChangeArrowheads="1"/>
        </xdr:cNvSpPr>
      </xdr:nvSpPr>
      <xdr:spPr bwMode="auto">
        <a:xfrm>
          <a:off x="1933575" y="9572625"/>
          <a:ext cx="438150" cy="342900"/>
        </a:xfrm>
        <a:prstGeom prst="rect">
          <a:avLst/>
        </a:prstGeom>
        <a:noFill/>
        <a:ln w="9525">
          <a:solidFill>
            <a:srgbClr val="000000"/>
          </a:solidFill>
          <a:miter lim="800000"/>
          <a:headEnd/>
          <a:tailEnd/>
        </a:ln>
      </xdr:spPr>
    </xdr:sp>
    <xdr:clientData/>
  </xdr:twoCellAnchor>
  <xdr:twoCellAnchor>
    <xdr:from>
      <xdr:col>5</xdr:col>
      <xdr:colOff>304800</xdr:colOff>
      <xdr:row>48</xdr:row>
      <xdr:rowOff>0</xdr:rowOff>
    </xdr:from>
    <xdr:to>
      <xdr:col>7</xdr:col>
      <xdr:colOff>38100</xdr:colOff>
      <xdr:row>50</xdr:row>
      <xdr:rowOff>0</xdr:rowOff>
    </xdr:to>
    <xdr:sp macro="" textlink="">
      <xdr:nvSpPr>
        <xdr:cNvPr id="1595" name="Rectangle 72"/>
        <xdr:cNvSpPr>
          <a:spLocks noChangeArrowheads="1"/>
        </xdr:cNvSpPr>
      </xdr:nvSpPr>
      <xdr:spPr bwMode="auto">
        <a:xfrm>
          <a:off x="2371725" y="9572625"/>
          <a:ext cx="438150" cy="342900"/>
        </a:xfrm>
        <a:prstGeom prst="rect">
          <a:avLst/>
        </a:prstGeom>
        <a:noFill/>
        <a:ln w="9525">
          <a:solidFill>
            <a:srgbClr val="000000"/>
          </a:solidFill>
          <a:miter lim="800000"/>
          <a:headEnd/>
          <a:tailEnd/>
        </a:ln>
      </xdr:spPr>
    </xdr:sp>
    <xdr:clientData/>
  </xdr:twoCellAnchor>
  <xdr:twoCellAnchor>
    <xdr:from>
      <xdr:col>8</xdr:col>
      <xdr:colOff>247650</xdr:colOff>
      <xdr:row>48</xdr:row>
      <xdr:rowOff>0</xdr:rowOff>
    </xdr:from>
    <xdr:to>
      <xdr:col>10</xdr:col>
      <xdr:colOff>0</xdr:colOff>
      <xdr:row>50</xdr:row>
      <xdr:rowOff>0</xdr:rowOff>
    </xdr:to>
    <xdr:sp macro="" textlink="">
      <xdr:nvSpPr>
        <xdr:cNvPr id="1596" name="Rectangle 74"/>
        <xdr:cNvSpPr>
          <a:spLocks noChangeArrowheads="1"/>
        </xdr:cNvSpPr>
      </xdr:nvSpPr>
      <xdr:spPr bwMode="auto">
        <a:xfrm>
          <a:off x="3371850" y="9572625"/>
          <a:ext cx="438150" cy="342900"/>
        </a:xfrm>
        <a:prstGeom prst="rect">
          <a:avLst/>
        </a:prstGeom>
        <a:noFill/>
        <a:ln w="9525">
          <a:solidFill>
            <a:srgbClr val="000000"/>
          </a:solidFill>
          <a:miter lim="800000"/>
          <a:headEnd/>
          <a:tailEnd/>
        </a:ln>
      </xdr:spPr>
    </xdr:sp>
    <xdr:clientData/>
  </xdr:twoCellAnchor>
  <xdr:twoCellAnchor>
    <xdr:from>
      <xdr:col>8</xdr:col>
      <xdr:colOff>38100</xdr:colOff>
      <xdr:row>46</xdr:row>
      <xdr:rowOff>161925</xdr:rowOff>
    </xdr:from>
    <xdr:to>
      <xdr:col>8</xdr:col>
      <xdr:colOff>238125</xdr:colOff>
      <xdr:row>47</xdr:row>
      <xdr:rowOff>161925</xdr:rowOff>
    </xdr:to>
    <xdr:sp macro="" textlink="">
      <xdr:nvSpPr>
        <xdr:cNvPr id="1099" name="Text Box 75"/>
        <xdr:cNvSpPr txBox="1">
          <a:spLocks noChangeArrowheads="1"/>
        </xdr:cNvSpPr>
      </xdr:nvSpPr>
      <xdr:spPr bwMode="auto">
        <a:xfrm>
          <a:off x="3162300" y="9372600"/>
          <a:ext cx="200025" cy="18097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回</a:t>
          </a:r>
        </a:p>
      </xdr:txBody>
    </xdr:sp>
    <xdr:clientData/>
  </xdr:twoCellAnchor>
  <xdr:twoCellAnchor>
    <xdr:from>
      <xdr:col>8</xdr:col>
      <xdr:colOff>28575</xdr:colOff>
      <xdr:row>48</xdr:row>
      <xdr:rowOff>152400</xdr:rowOff>
    </xdr:from>
    <xdr:to>
      <xdr:col>8</xdr:col>
      <xdr:colOff>228600</xdr:colOff>
      <xdr:row>49</xdr:row>
      <xdr:rowOff>152400</xdr:rowOff>
    </xdr:to>
    <xdr:sp macro="" textlink="">
      <xdr:nvSpPr>
        <xdr:cNvPr id="1100" name="Text Box 76"/>
        <xdr:cNvSpPr txBox="1">
          <a:spLocks noChangeArrowheads="1"/>
        </xdr:cNvSpPr>
      </xdr:nvSpPr>
      <xdr:spPr bwMode="auto">
        <a:xfrm>
          <a:off x="3152775" y="9725025"/>
          <a:ext cx="200025" cy="17145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回</a:t>
          </a:r>
        </a:p>
      </xdr:txBody>
    </xdr:sp>
    <xdr:clientData/>
  </xdr:twoCellAnchor>
  <xdr:twoCellAnchor>
    <xdr:from>
      <xdr:col>4</xdr:col>
      <xdr:colOff>9525</xdr:colOff>
      <xdr:row>47</xdr:row>
      <xdr:rowOff>152400</xdr:rowOff>
    </xdr:from>
    <xdr:to>
      <xdr:col>4</xdr:col>
      <xdr:colOff>257175</xdr:colOff>
      <xdr:row>48</xdr:row>
      <xdr:rowOff>114300</xdr:rowOff>
    </xdr:to>
    <xdr:sp macro="" textlink="">
      <xdr:nvSpPr>
        <xdr:cNvPr id="1101" name="Text Box 77"/>
        <xdr:cNvSpPr txBox="1">
          <a:spLocks noChangeArrowheads="1"/>
        </xdr:cNvSpPr>
      </xdr:nvSpPr>
      <xdr:spPr bwMode="auto">
        <a:xfrm>
          <a:off x="1724025" y="9544050"/>
          <a:ext cx="247650" cy="142875"/>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a:t>
          </a:r>
          <a:r>
            <a:rPr lang="ja-JP" altLang="en-US" sz="800" b="0" i="0" strike="noStrike">
              <a:solidFill>
                <a:srgbClr val="000000"/>
              </a:solidFill>
              <a:latin typeface="ＭＳ Ｐゴシック"/>
              <a:ea typeface="ＭＳ Ｐゴシック"/>
            </a:rPr>
            <a:t>日）</a:t>
          </a:r>
        </a:p>
      </xdr:txBody>
    </xdr:sp>
    <xdr:clientData/>
  </xdr:twoCellAnchor>
  <xdr:twoCellAnchor>
    <xdr:from>
      <xdr:col>6</xdr:col>
      <xdr:colOff>171450</xdr:colOff>
      <xdr:row>47</xdr:row>
      <xdr:rowOff>152400</xdr:rowOff>
    </xdr:from>
    <xdr:to>
      <xdr:col>7</xdr:col>
      <xdr:colOff>66675</xdr:colOff>
      <xdr:row>48</xdr:row>
      <xdr:rowOff>114300</xdr:rowOff>
    </xdr:to>
    <xdr:sp macro="" textlink="">
      <xdr:nvSpPr>
        <xdr:cNvPr id="1102" name="Text Box 78"/>
        <xdr:cNvSpPr txBox="1">
          <a:spLocks noChangeArrowheads="1"/>
        </xdr:cNvSpPr>
      </xdr:nvSpPr>
      <xdr:spPr bwMode="auto">
        <a:xfrm>
          <a:off x="2590800" y="9544050"/>
          <a:ext cx="247650" cy="142875"/>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a:t>
          </a:r>
          <a:r>
            <a:rPr lang="ja-JP" altLang="en-US" sz="800" b="0" i="0" strike="noStrike">
              <a:solidFill>
                <a:srgbClr val="000000"/>
              </a:solidFill>
              <a:latin typeface="ＭＳ Ｐゴシック"/>
              <a:ea typeface="ＭＳ Ｐゴシック"/>
            </a:rPr>
            <a:t>日）</a:t>
          </a:r>
        </a:p>
      </xdr:txBody>
    </xdr:sp>
    <xdr:clientData/>
  </xdr:twoCellAnchor>
  <xdr:twoCellAnchor>
    <xdr:from>
      <xdr:col>5</xdr:col>
      <xdr:colOff>104775</xdr:colOff>
      <xdr:row>47</xdr:row>
      <xdr:rowOff>152400</xdr:rowOff>
    </xdr:from>
    <xdr:to>
      <xdr:col>6</xdr:col>
      <xdr:colOff>9525</xdr:colOff>
      <xdr:row>48</xdr:row>
      <xdr:rowOff>114300</xdr:rowOff>
    </xdr:to>
    <xdr:sp macro="" textlink="">
      <xdr:nvSpPr>
        <xdr:cNvPr id="1103" name="Text Box 79"/>
        <xdr:cNvSpPr txBox="1">
          <a:spLocks noChangeArrowheads="1"/>
        </xdr:cNvSpPr>
      </xdr:nvSpPr>
      <xdr:spPr bwMode="auto">
        <a:xfrm>
          <a:off x="2171700" y="9544050"/>
          <a:ext cx="257175" cy="142875"/>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a:t>
          </a:r>
          <a:r>
            <a:rPr lang="ja-JP" altLang="en-US" sz="800" b="0" i="0" strike="noStrike">
              <a:solidFill>
                <a:srgbClr val="000000"/>
              </a:solidFill>
              <a:latin typeface="ＭＳ Ｐゴシック"/>
              <a:ea typeface="ＭＳ Ｐゴシック"/>
            </a:rPr>
            <a:t>日）</a:t>
          </a:r>
        </a:p>
      </xdr:txBody>
    </xdr:sp>
    <xdr:clientData/>
  </xdr:twoCellAnchor>
  <xdr:twoCellAnchor>
    <xdr:from>
      <xdr:col>9</xdr:col>
      <xdr:colOff>142875</xdr:colOff>
      <xdr:row>47</xdr:row>
      <xdr:rowOff>152400</xdr:rowOff>
    </xdr:from>
    <xdr:to>
      <xdr:col>10</xdr:col>
      <xdr:colOff>38100</xdr:colOff>
      <xdr:row>48</xdr:row>
      <xdr:rowOff>114300</xdr:rowOff>
    </xdr:to>
    <xdr:sp macro="" textlink="">
      <xdr:nvSpPr>
        <xdr:cNvPr id="1104" name="Text Box 80"/>
        <xdr:cNvSpPr txBox="1">
          <a:spLocks noChangeArrowheads="1"/>
        </xdr:cNvSpPr>
      </xdr:nvSpPr>
      <xdr:spPr bwMode="auto">
        <a:xfrm>
          <a:off x="3619500" y="9544050"/>
          <a:ext cx="228600" cy="142875"/>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a:t>
          </a:r>
          <a:r>
            <a:rPr lang="ja-JP" altLang="en-US" sz="800" b="0" i="0" strike="noStrike">
              <a:solidFill>
                <a:srgbClr val="000000"/>
              </a:solidFill>
              <a:latin typeface="ＭＳ Ｐゴシック"/>
              <a:ea typeface="ＭＳ Ｐゴシック"/>
            </a:rPr>
            <a:t>Ｈ）</a:t>
          </a:r>
        </a:p>
      </xdr:txBody>
    </xdr:sp>
    <xdr:clientData/>
  </xdr:twoCellAnchor>
  <xdr:twoCellAnchor>
    <xdr:from>
      <xdr:col>10</xdr:col>
      <xdr:colOff>333375</xdr:colOff>
      <xdr:row>47</xdr:row>
      <xdr:rowOff>152400</xdr:rowOff>
    </xdr:from>
    <xdr:to>
      <xdr:col>11</xdr:col>
      <xdr:colOff>57150</xdr:colOff>
      <xdr:row>48</xdr:row>
      <xdr:rowOff>114300</xdr:rowOff>
    </xdr:to>
    <xdr:sp macro="" textlink="">
      <xdr:nvSpPr>
        <xdr:cNvPr id="1105" name="Text Box 81"/>
        <xdr:cNvSpPr txBox="1">
          <a:spLocks noChangeArrowheads="1"/>
        </xdr:cNvSpPr>
      </xdr:nvSpPr>
      <xdr:spPr bwMode="auto">
        <a:xfrm>
          <a:off x="4143375" y="9544050"/>
          <a:ext cx="228600" cy="142875"/>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a:t>
          </a:r>
          <a:r>
            <a:rPr lang="ja-JP" altLang="en-US" sz="800" b="0" i="0" strike="noStrike">
              <a:solidFill>
                <a:srgbClr val="000000"/>
              </a:solidFill>
              <a:latin typeface="ＭＳ Ｐゴシック"/>
              <a:ea typeface="ＭＳ Ｐゴシック"/>
            </a:rPr>
            <a:t>Ｈ）</a:t>
          </a:r>
        </a:p>
      </xdr:txBody>
    </xdr:sp>
    <xdr:clientData/>
  </xdr:twoCellAnchor>
  <xdr:twoCellAnchor>
    <xdr:from>
      <xdr:col>10</xdr:col>
      <xdr:colOff>285750</xdr:colOff>
      <xdr:row>46</xdr:row>
      <xdr:rowOff>0</xdr:rowOff>
    </xdr:from>
    <xdr:to>
      <xdr:col>11</xdr:col>
      <xdr:colOff>38100</xdr:colOff>
      <xdr:row>46</xdr:row>
      <xdr:rowOff>114300</xdr:rowOff>
    </xdr:to>
    <xdr:sp macro="" textlink="">
      <xdr:nvSpPr>
        <xdr:cNvPr id="1106" name="Text Box 82"/>
        <xdr:cNvSpPr txBox="1">
          <a:spLocks noChangeArrowheads="1"/>
        </xdr:cNvSpPr>
      </xdr:nvSpPr>
      <xdr:spPr bwMode="auto">
        <a:xfrm>
          <a:off x="4095750" y="9210675"/>
          <a:ext cx="257175"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a:t>
          </a:r>
          <a:r>
            <a:rPr lang="ja-JP" altLang="en-US" sz="800" b="0" i="0" strike="noStrike">
              <a:solidFill>
                <a:srgbClr val="000000"/>
              </a:solidFill>
              <a:latin typeface="ＭＳ Ｐゴシック"/>
              <a:ea typeface="ＭＳ Ｐゴシック"/>
            </a:rPr>
            <a:t>Ｍ）</a:t>
          </a:r>
        </a:p>
      </xdr:txBody>
    </xdr:sp>
    <xdr:clientData/>
  </xdr:twoCellAnchor>
  <xdr:twoCellAnchor>
    <xdr:from>
      <xdr:col>2</xdr:col>
      <xdr:colOff>419100</xdr:colOff>
      <xdr:row>46</xdr:row>
      <xdr:rowOff>57150</xdr:rowOff>
    </xdr:from>
    <xdr:to>
      <xdr:col>3</xdr:col>
      <xdr:colOff>200025</xdr:colOff>
      <xdr:row>47</xdr:row>
      <xdr:rowOff>66675</xdr:rowOff>
    </xdr:to>
    <xdr:sp macro="" textlink="">
      <xdr:nvSpPr>
        <xdr:cNvPr id="1113" name="Text Box 89"/>
        <xdr:cNvSpPr txBox="1">
          <a:spLocks noChangeArrowheads="1"/>
        </xdr:cNvSpPr>
      </xdr:nvSpPr>
      <xdr:spPr bwMode="auto">
        <a:xfrm>
          <a:off x="1276350" y="9267825"/>
          <a:ext cx="209550" cy="1905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集</a:t>
          </a:r>
        </a:p>
      </xdr:txBody>
    </xdr:sp>
    <xdr:clientData/>
  </xdr:twoCellAnchor>
  <xdr:twoCellAnchor>
    <xdr:from>
      <xdr:col>2</xdr:col>
      <xdr:colOff>419100</xdr:colOff>
      <xdr:row>48</xdr:row>
      <xdr:rowOff>47625</xdr:rowOff>
    </xdr:from>
    <xdr:to>
      <xdr:col>3</xdr:col>
      <xdr:colOff>200025</xdr:colOff>
      <xdr:row>49</xdr:row>
      <xdr:rowOff>57150</xdr:rowOff>
    </xdr:to>
    <xdr:sp macro="" textlink="">
      <xdr:nvSpPr>
        <xdr:cNvPr id="1114" name="Text Box 90"/>
        <xdr:cNvSpPr txBox="1">
          <a:spLocks noChangeArrowheads="1"/>
        </xdr:cNvSpPr>
      </xdr:nvSpPr>
      <xdr:spPr bwMode="auto">
        <a:xfrm>
          <a:off x="1276350" y="9620250"/>
          <a:ext cx="209550" cy="18097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計</a:t>
          </a:r>
        </a:p>
      </xdr:txBody>
    </xdr:sp>
    <xdr:clientData/>
  </xdr:twoCellAnchor>
  <xdr:twoCellAnchor>
    <xdr:from>
      <xdr:col>2</xdr:col>
      <xdr:colOff>409575</xdr:colOff>
      <xdr:row>46</xdr:row>
      <xdr:rowOff>0</xdr:rowOff>
    </xdr:from>
    <xdr:to>
      <xdr:col>11</xdr:col>
      <xdr:colOff>466725</xdr:colOff>
      <xdr:row>50</xdr:row>
      <xdr:rowOff>0</xdr:rowOff>
    </xdr:to>
    <xdr:sp macro="" textlink="">
      <xdr:nvSpPr>
        <xdr:cNvPr id="1607" name="Rectangle 113"/>
        <xdr:cNvSpPr>
          <a:spLocks noChangeArrowheads="1"/>
        </xdr:cNvSpPr>
      </xdr:nvSpPr>
      <xdr:spPr bwMode="auto">
        <a:xfrm>
          <a:off x="1266825" y="9210675"/>
          <a:ext cx="3514725" cy="704850"/>
        </a:xfrm>
        <a:prstGeom prst="rect">
          <a:avLst/>
        </a:prstGeom>
        <a:noFill/>
        <a:ln w="15875">
          <a:solidFill>
            <a:srgbClr val="000000"/>
          </a:solidFill>
          <a:miter lim="800000"/>
          <a:headEnd/>
          <a:tailEnd/>
        </a:ln>
      </xdr:spPr>
    </xdr:sp>
    <xdr:clientData/>
  </xdr:twoCellAnchor>
  <xdr:twoCellAnchor>
    <xdr:from>
      <xdr:col>1</xdr:col>
      <xdr:colOff>0</xdr:colOff>
      <xdr:row>46</xdr:row>
      <xdr:rowOff>0</xdr:rowOff>
    </xdr:from>
    <xdr:to>
      <xdr:col>2</xdr:col>
      <xdr:colOff>371475</xdr:colOff>
      <xdr:row>50</xdr:row>
      <xdr:rowOff>0</xdr:rowOff>
    </xdr:to>
    <xdr:sp macro="" textlink="">
      <xdr:nvSpPr>
        <xdr:cNvPr id="1608" name="Rectangle 114"/>
        <xdr:cNvSpPr>
          <a:spLocks noChangeArrowheads="1"/>
        </xdr:cNvSpPr>
      </xdr:nvSpPr>
      <xdr:spPr bwMode="auto">
        <a:xfrm>
          <a:off x="581025" y="9210675"/>
          <a:ext cx="647700" cy="704850"/>
        </a:xfrm>
        <a:prstGeom prst="rect">
          <a:avLst/>
        </a:prstGeom>
        <a:noFill/>
        <a:ln w="15875">
          <a:solidFill>
            <a:srgbClr val="000000"/>
          </a:solidFill>
          <a:miter lim="800000"/>
          <a:headEnd/>
          <a:tailEnd/>
        </a:ln>
      </xdr:spPr>
    </xdr:sp>
    <xdr:clientData/>
  </xdr:twoCellAnchor>
  <xdr:twoCellAnchor>
    <xdr:from>
      <xdr:col>16</xdr:col>
      <xdr:colOff>0</xdr:colOff>
      <xdr:row>46</xdr:row>
      <xdr:rowOff>0</xdr:rowOff>
    </xdr:from>
    <xdr:to>
      <xdr:col>16</xdr:col>
      <xdr:colOff>209550</xdr:colOff>
      <xdr:row>47</xdr:row>
      <xdr:rowOff>0</xdr:rowOff>
    </xdr:to>
    <xdr:sp macro="" textlink="">
      <xdr:nvSpPr>
        <xdr:cNvPr id="1609" name="Rectangle 115"/>
        <xdr:cNvSpPr>
          <a:spLocks noChangeArrowheads="1"/>
        </xdr:cNvSpPr>
      </xdr:nvSpPr>
      <xdr:spPr bwMode="auto">
        <a:xfrm>
          <a:off x="6991350" y="9210675"/>
          <a:ext cx="209550" cy="180975"/>
        </a:xfrm>
        <a:prstGeom prst="rect">
          <a:avLst/>
        </a:prstGeom>
        <a:noFill/>
        <a:ln w="9525">
          <a:solidFill>
            <a:srgbClr val="000000"/>
          </a:solidFill>
          <a:miter lim="800000"/>
          <a:headEnd/>
          <a:tailEnd/>
        </a:ln>
      </xdr:spPr>
    </xdr:sp>
    <xdr:clientData/>
  </xdr:twoCellAnchor>
  <xdr:twoCellAnchor>
    <xdr:from>
      <xdr:col>0</xdr:col>
      <xdr:colOff>285750</xdr:colOff>
      <xdr:row>0</xdr:row>
      <xdr:rowOff>123825</xdr:rowOff>
    </xdr:from>
    <xdr:to>
      <xdr:col>18</xdr:col>
      <xdr:colOff>428625</xdr:colOff>
      <xdr:row>51</xdr:row>
      <xdr:rowOff>66675</xdr:rowOff>
    </xdr:to>
    <xdr:sp macro="" textlink="">
      <xdr:nvSpPr>
        <xdr:cNvPr id="1140" name="Rectangle 116"/>
        <xdr:cNvSpPr>
          <a:spLocks noChangeArrowheads="1"/>
        </xdr:cNvSpPr>
      </xdr:nvSpPr>
      <xdr:spPr bwMode="auto">
        <a:xfrm>
          <a:off x="285750" y="123825"/>
          <a:ext cx="7915275" cy="10029825"/>
        </a:xfrm>
        <a:prstGeom prst="rect">
          <a:avLst/>
        </a:prstGeom>
        <a:noFill/>
        <a:ln w="9525">
          <a:solidFill>
            <a:srgbClr val="000000"/>
          </a:solidFill>
          <a:miter lim="800000"/>
          <a:headEnd/>
          <a:tailEnd/>
        </a:ln>
        <a:effectLst>
          <a:outerShdw dist="107763" dir="2700000" algn="ctr" rotWithShape="0">
            <a:srgbClr val="808080"/>
          </a:outerShdw>
        </a:effectLst>
      </xdr:spPr>
    </xdr:sp>
    <xdr:clientData fPrintsWithSheet="0"/>
  </xdr:twoCellAnchor>
  <mc:AlternateContent xmlns:mc="http://schemas.openxmlformats.org/markup-compatibility/2006">
    <mc:Choice xmlns:a14="http://schemas.microsoft.com/office/drawing/2010/main" Requires="a14">
      <xdr:twoCellAnchor editAs="oneCell">
        <xdr:from>
          <xdr:col>28</xdr:col>
          <xdr:colOff>0</xdr:colOff>
          <xdr:row>46</xdr:row>
          <xdr:rowOff>19050</xdr:rowOff>
        </xdr:from>
        <xdr:to>
          <xdr:col>28</xdr:col>
          <xdr:colOff>304800</xdr:colOff>
          <xdr:row>46</xdr:row>
          <xdr:rowOff>161925</xdr:rowOff>
        </xdr:to>
        <xdr:sp macro="" textlink="">
          <xdr:nvSpPr>
            <xdr:cNvPr id="1078" name="Label1" hidden="1">
              <a:extLst>
                <a:ext uri="{63B3BB69-23CF-44E3-9099-C40C66FF867C}">
                  <a14:compatExt spid="_x0000_s1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48</xdr:row>
          <xdr:rowOff>19050</xdr:rowOff>
        </xdr:from>
        <xdr:to>
          <xdr:col>28</xdr:col>
          <xdr:colOff>304800</xdr:colOff>
          <xdr:row>48</xdr:row>
          <xdr:rowOff>161925</xdr:rowOff>
        </xdr:to>
        <xdr:sp macro="" textlink="">
          <xdr:nvSpPr>
            <xdr:cNvPr id="1079" name="Label2"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495300</xdr:colOff>
          <xdr:row>46</xdr:row>
          <xdr:rowOff>19050</xdr:rowOff>
        </xdr:from>
        <xdr:to>
          <xdr:col>11</xdr:col>
          <xdr:colOff>295275</xdr:colOff>
          <xdr:row>46</xdr:row>
          <xdr:rowOff>161925</xdr:rowOff>
        </xdr:to>
        <xdr:sp macro="" textlink="">
          <xdr:nvSpPr>
            <xdr:cNvPr id="1080" name="Label3" hidden="1">
              <a:extLst>
                <a:ext uri="{63B3BB69-23CF-44E3-9099-C40C66FF867C}">
                  <a14:compatExt spid="_x0000_s1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48</xdr:row>
          <xdr:rowOff>9525</xdr:rowOff>
        </xdr:from>
        <xdr:to>
          <xdr:col>28</xdr:col>
          <xdr:colOff>304800</xdr:colOff>
          <xdr:row>48</xdr:row>
          <xdr:rowOff>152400</xdr:rowOff>
        </xdr:to>
        <xdr:sp macro="" textlink="">
          <xdr:nvSpPr>
            <xdr:cNvPr id="1081" name="Label4" hidden="1">
              <a:extLst>
                <a:ext uri="{63B3BB69-23CF-44E3-9099-C40C66FF867C}">
                  <a14:compatExt spid="_x0000_s1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47</xdr:row>
          <xdr:rowOff>19050</xdr:rowOff>
        </xdr:from>
        <xdr:to>
          <xdr:col>10</xdr:col>
          <xdr:colOff>495300</xdr:colOff>
          <xdr:row>47</xdr:row>
          <xdr:rowOff>161925</xdr:rowOff>
        </xdr:to>
        <xdr:sp macro="" textlink="">
          <xdr:nvSpPr>
            <xdr:cNvPr id="1082" name="Label5"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49</xdr:row>
          <xdr:rowOff>19050</xdr:rowOff>
        </xdr:from>
        <xdr:to>
          <xdr:col>10</xdr:col>
          <xdr:colOff>495300</xdr:colOff>
          <xdr:row>49</xdr:row>
          <xdr:rowOff>161925</xdr:rowOff>
        </xdr:to>
        <xdr:sp macro="" textlink="">
          <xdr:nvSpPr>
            <xdr:cNvPr id="1083" name="Label6" hidden="1">
              <a:extLst>
                <a:ext uri="{63B3BB69-23CF-44E3-9099-C40C66FF867C}">
                  <a14:compatExt spid="_x0000_s1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152400</xdr:colOff>
          <xdr:row>47</xdr:row>
          <xdr:rowOff>9525</xdr:rowOff>
        </xdr:from>
        <xdr:to>
          <xdr:col>11</xdr:col>
          <xdr:colOff>457200</xdr:colOff>
          <xdr:row>47</xdr:row>
          <xdr:rowOff>152400</xdr:rowOff>
        </xdr:to>
        <xdr:sp macro="" textlink="">
          <xdr:nvSpPr>
            <xdr:cNvPr id="1084" name="Label7" hidden="1">
              <a:extLst>
                <a:ext uri="{63B3BB69-23CF-44E3-9099-C40C66FF867C}">
                  <a14:compatExt spid="_x0000_s1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152400</xdr:colOff>
          <xdr:row>49</xdr:row>
          <xdr:rowOff>28575</xdr:rowOff>
        </xdr:from>
        <xdr:to>
          <xdr:col>11</xdr:col>
          <xdr:colOff>457200</xdr:colOff>
          <xdr:row>50</xdr:row>
          <xdr:rowOff>0</xdr:rowOff>
        </xdr:to>
        <xdr:sp macro="" textlink="">
          <xdr:nvSpPr>
            <xdr:cNvPr id="1085" name="Label8" hidden="1">
              <a:extLst>
                <a:ext uri="{63B3BB69-23CF-44E3-9099-C40C66FF867C}">
                  <a14:compatExt spid="_x0000_s1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48</xdr:row>
          <xdr:rowOff>133350</xdr:rowOff>
        </xdr:from>
        <xdr:to>
          <xdr:col>4</xdr:col>
          <xdr:colOff>152400</xdr:colOff>
          <xdr:row>49</xdr:row>
          <xdr:rowOff>142875</xdr:rowOff>
        </xdr:to>
        <xdr:sp macro="" textlink="">
          <xdr:nvSpPr>
            <xdr:cNvPr id="1117" name="Label9" hidden="1">
              <a:extLst>
                <a:ext uri="{63B3BB69-23CF-44E3-9099-C40C66FF867C}">
                  <a14:compatExt spid="_x0000_s11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48</xdr:row>
          <xdr:rowOff>133350</xdr:rowOff>
        </xdr:from>
        <xdr:to>
          <xdr:col>5</xdr:col>
          <xdr:colOff>295275</xdr:colOff>
          <xdr:row>49</xdr:row>
          <xdr:rowOff>142875</xdr:rowOff>
        </xdr:to>
        <xdr:sp macro="" textlink="">
          <xdr:nvSpPr>
            <xdr:cNvPr id="1118" name="Label10"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48</xdr:row>
          <xdr:rowOff>133350</xdr:rowOff>
        </xdr:from>
        <xdr:to>
          <xdr:col>6</xdr:col>
          <xdr:colOff>323850</xdr:colOff>
          <xdr:row>49</xdr:row>
          <xdr:rowOff>142875</xdr:rowOff>
        </xdr:to>
        <xdr:sp macro="" textlink="">
          <xdr:nvSpPr>
            <xdr:cNvPr id="1119" name="Label11" hidden="1">
              <a:extLst>
                <a:ext uri="{63B3BB69-23CF-44E3-9099-C40C66FF867C}">
                  <a14:compatExt spid="_x0000_s11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46</xdr:row>
          <xdr:rowOff>142875</xdr:rowOff>
        </xdr:from>
        <xdr:to>
          <xdr:col>28</xdr:col>
          <xdr:colOff>304800</xdr:colOff>
          <xdr:row>47</xdr:row>
          <xdr:rowOff>142875</xdr:rowOff>
        </xdr:to>
        <xdr:sp macro="" textlink="">
          <xdr:nvSpPr>
            <xdr:cNvPr id="1120" name="Label12" hidden="1">
              <a:extLst>
                <a:ext uri="{63B3BB69-23CF-44E3-9099-C40C66FF867C}">
                  <a14:compatExt spid="_x0000_s11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48</xdr:row>
          <xdr:rowOff>142875</xdr:rowOff>
        </xdr:from>
        <xdr:to>
          <xdr:col>8</xdr:col>
          <xdr:colOff>38100</xdr:colOff>
          <xdr:row>49</xdr:row>
          <xdr:rowOff>152400</xdr:rowOff>
        </xdr:to>
        <xdr:sp macro="" textlink="">
          <xdr:nvSpPr>
            <xdr:cNvPr id="1121" name="Label13" hidden="1">
              <a:extLst>
                <a:ext uri="{63B3BB69-23CF-44E3-9099-C40C66FF867C}">
                  <a14:compatExt spid="_x0000_s1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48</xdr:row>
          <xdr:rowOff>133350</xdr:rowOff>
        </xdr:from>
        <xdr:to>
          <xdr:col>28</xdr:col>
          <xdr:colOff>371475</xdr:colOff>
          <xdr:row>49</xdr:row>
          <xdr:rowOff>142875</xdr:rowOff>
        </xdr:to>
        <xdr:sp macro="" textlink="">
          <xdr:nvSpPr>
            <xdr:cNvPr id="1123" name="Label14" hidden="1">
              <a:extLst>
                <a:ext uri="{63B3BB69-23CF-44E3-9099-C40C66FF867C}">
                  <a14:compatExt spid="_x0000_s1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xdr:row>
          <xdr:rowOff>85725</xdr:rowOff>
        </xdr:from>
        <xdr:to>
          <xdr:col>20</xdr:col>
          <xdr:colOff>0</xdr:colOff>
          <xdr:row>3</xdr:row>
          <xdr:rowOff>142875</xdr:rowOff>
        </xdr:to>
        <xdr:sp macro="" textlink="">
          <xdr:nvSpPr>
            <xdr:cNvPr id="1124" name="CommandButton1" hidden="1">
              <a:extLst>
                <a:ext uri="{63B3BB69-23CF-44E3-9099-C40C66FF867C}">
                  <a14:compatExt spid="_x0000_s1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428625</xdr:colOff>
          <xdr:row>48</xdr:row>
          <xdr:rowOff>9525</xdr:rowOff>
        </xdr:from>
        <xdr:to>
          <xdr:col>17</xdr:col>
          <xdr:colOff>123825</xdr:colOff>
          <xdr:row>49</xdr:row>
          <xdr:rowOff>47625</xdr:rowOff>
        </xdr:to>
        <xdr:sp macro="" textlink="">
          <xdr:nvSpPr>
            <xdr:cNvPr id="1147" name="Label15" hidden="1">
              <a:extLst>
                <a:ext uri="{63B3BB69-23CF-44E3-9099-C40C66FF867C}">
                  <a14:compatExt spid="_x0000_s1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48</xdr:row>
          <xdr:rowOff>57150</xdr:rowOff>
        </xdr:from>
        <xdr:to>
          <xdr:col>12</xdr:col>
          <xdr:colOff>504825</xdr:colOff>
          <xdr:row>49</xdr:row>
          <xdr:rowOff>57150</xdr:rowOff>
        </xdr:to>
        <xdr:sp macro="" textlink="">
          <xdr:nvSpPr>
            <xdr:cNvPr id="1151" name="Label16" hidden="1">
              <a:extLst>
                <a:ext uri="{63B3BB69-23CF-44E3-9099-C40C66FF867C}">
                  <a14:compatExt spid="_x0000_s1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0</xdr:colOff>
      <xdr:row>44</xdr:row>
      <xdr:rowOff>219075</xdr:rowOff>
    </xdr:from>
    <xdr:to>
      <xdr:col>5</xdr:col>
      <xdr:colOff>19050</xdr:colOff>
      <xdr:row>45</xdr:row>
      <xdr:rowOff>0</xdr:rowOff>
    </xdr:to>
    <xdr:sp macro="" textlink="">
      <xdr:nvSpPr>
        <xdr:cNvPr id="2" name="Text Box 1"/>
        <xdr:cNvSpPr txBox="1">
          <a:spLocks noChangeArrowheads="1"/>
        </xdr:cNvSpPr>
      </xdr:nvSpPr>
      <xdr:spPr bwMode="auto">
        <a:xfrm>
          <a:off x="2066925" y="17316450"/>
          <a:ext cx="638175" cy="209550"/>
        </a:xfrm>
        <a:prstGeom prst="rect">
          <a:avLst/>
        </a:prstGeom>
        <a:no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ﾘﾌﾚｯｼｭ</a:t>
          </a:r>
        </a:p>
      </xdr:txBody>
    </xdr:sp>
    <xdr:clientData/>
  </xdr:twoCellAnchor>
  <xdr:twoCellAnchor>
    <xdr:from>
      <xdr:col>13</xdr:col>
      <xdr:colOff>590550</xdr:colOff>
      <xdr:row>44</xdr:row>
      <xdr:rowOff>28575</xdr:rowOff>
    </xdr:from>
    <xdr:to>
      <xdr:col>14</xdr:col>
      <xdr:colOff>0</xdr:colOff>
      <xdr:row>44</xdr:row>
      <xdr:rowOff>238125</xdr:rowOff>
    </xdr:to>
    <xdr:sp macro="" textlink="">
      <xdr:nvSpPr>
        <xdr:cNvPr id="3" name="Text Box 2"/>
        <xdr:cNvSpPr txBox="1">
          <a:spLocks noChangeArrowheads="1"/>
        </xdr:cNvSpPr>
      </xdr:nvSpPr>
      <xdr:spPr bwMode="auto">
        <a:xfrm>
          <a:off x="7572375" y="17125950"/>
          <a:ext cx="3429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14</xdr:col>
      <xdr:colOff>552450</xdr:colOff>
      <xdr:row>44</xdr:row>
      <xdr:rowOff>28575</xdr:rowOff>
    </xdr:from>
    <xdr:to>
      <xdr:col>15</xdr:col>
      <xdr:colOff>9525</xdr:colOff>
      <xdr:row>44</xdr:row>
      <xdr:rowOff>238125</xdr:rowOff>
    </xdr:to>
    <xdr:sp macro="" textlink="">
      <xdr:nvSpPr>
        <xdr:cNvPr id="4" name="Text Box 3"/>
        <xdr:cNvSpPr txBox="1">
          <a:spLocks noChangeArrowheads="1"/>
        </xdr:cNvSpPr>
      </xdr:nvSpPr>
      <xdr:spPr bwMode="auto">
        <a:xfrm>
          <a:off x="8467725" y="17125950"/>
          <a:ext cx="2952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oneCellAnchor>
    <xdr:from>
      <xdr:col>10</xdr:col>
      <xdr:colOff>161925</xdr:colOff>
      <xdr:row>7</xdr:row>
      <xdr:rowOff>66675</xdr:rowOff>
    </xdr:from>
    <xdr:ext cx="696537" cy="285206"/>
    <xdr:sp macro="" textlink="">
      <xdr:nvSpPr>
        <xdr:cNvPr id="5" name="Text Box 5"/>
        <xdr:cNvSpPr txBox="1">
          <a:spLocks noChangeArrowheads="1"/>
        </xdr:cNvSpPr>
      </xdr:nvSpPr>
      <xdr:spPr bwMode="auto">
        <a:xfrm>
          <a:off x="5895975" y="1990725"/>
          <a:ext cx="696537" cy="285206"/>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600" b="0" i="0" strike="noStrike">
              <a:solidFill>
                <a:srgbClr val="000000"/>
              </a:solidFill>
              <a:latin typeface="ＭＳ Ｐゴシック"/>
              <a:ea typeface="ＭＳ Ｐゴシック"/>
            </a:rPr>
            <a:t>（西 暦）</a:t>
          </a:r>
        </a:p>
      </xdr:txBody>
    </xdr:sp>
    <xdr:clientData/>
  </xdr:oneCellAnchor>
  <xdr:twoCellAnchor>
    <xdr:from>
      <xdr:col>5</xdr:col>
      <xdr:colOff>0</xdr:colOff>
      <xdr:row>44</xdr:row>
      <xdr:rowOff>228600</xdr:rowOff>
    </xdr:from>
    <xdr:to>
      <xdr:col>6</xdr:col>
      <xdr:colOff>28575</xdr:colOff>
      <xdr:row>45</xdr:row>
      <xdr:rowOff>0</xdr:rowOff>
    </xdr:to>
    <xdr:sp macro="" textlink="">
      <xdr:nvSpPr>
        <xdr:cNvPr id="6" name="Text Box 6"/>
        <xdr:cNvSpPr txBox="1">
          <a:spLocks noChangeArrowheads="1"/>
        </xdr:cNvSpPr>
      </xdr:nvSpPr>
      <xdr:spPr bwMode="auto">
        <a:xfrm>
          <a:off x="2686050" y="17325975"/>
          <a:ext cx="695325" cy="200025"/>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明朝"/>
              <a:ea typeface="ＭＳ 明朝"/>
            </a:rPr>
            <a:t>慶 弔</a:t>
          </a:r>
        </a:p>
      </xdr:txBody>
    </xdr:sp>
    <xdr:clientData/>
  </xdr:twoCellAnchor>
  <xdr:twoCellAnchor>
    <xdr:from>
      <xdr:col>16</xdr:col>
      <xdr:colOff>352425</xdr:colOff>
      <xdr:row>46</xdr:row>
      <xdr:rowOff>28575</xdr:rowOff>
    </xdr:from>
    <xdr:to>
      <xdr:col>17</xdr:col>
      <xdr:colOff>0</xdr:colOff>
      <xdr:row>46</xdr:row>
      <xdr:rowOff>238125</xdr:rowOff>
    </xdr:to>
    <xdr:sp macro="" textlink="">
      <xdr:nvSpPr>
        <xdr:cNvPr id="7" name="Text Box 7"/>
        <xdr:cNvSpPr txBox="1">
          <a:spLocks noChangeArrowheads="1"/>
        </xdr:cNvSpPr>
      </xdr:nvSpPr>
      <xdr:spPr bwMode="auto">
        <a:xfrm>
          <a:off x="9915525" y="17954625"/>
          <a:ext cx="2667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a:t>
          </a:r>
          <a:r>
            <a:rPr lang="ja-JP" altLang="en-US" sz="900" b="0" i="0" strike="noStrike">
              <a:solidFill>
                <a:srgbClr val="000000"/>
              </a:solidFill>
              <a:latin typeface="ＭＳ Ｐゴシック"/>
              <a:ea typeface="ＭＳ Ｐゴシック"/>
            </a:rPr>
            <a:t>回</a:t>
          </a:r>
          <a:r>
            <a:rPr lang="en-US" altLang="ja-JP" sz="900" b="0" i="0" strike="noStrike">
              <a:solidFill>
                <a:srgbClr val="000000"/>
              </a:solidFill>
              <a:latin typeface="ＭＳ Ｐゴシック"/>
              <a:ea typeface="ＭＳ Ｐゴシック"/>
            </a:rPr>
            <a:t>)</a:t>
          </a:r>
        </a:p>
      </xdr:txBody>
    </xdr:sp>
    <xdr:clientData/>
  </xdr:twoCellAnchor>
  <xdr:twoCellAnchor>
    <xdr:from>
      <xdr:col>22</xdr:col>
      <xdr:colOff>381000</xdr:colOff>
      <xdr:row>46</xdr:row>
      <xdr:rowOff>66675</xdr:rowOff>
    </xdr:from>
    <xdr:to>
      <xdr:col>22</xdr:col>
      <xdr:colOff>695325</xdr:colOff>
      <xdr:row>46</xdr:row>
      <xdr:rowOff>276225</xdr:rowOff>
    </xdr:to>
    <xdr:sp macro="" textlink="">
      <xdr:nvSpPr>
        <xdr:cNvPr id="8" name="Text Box 9"/>
        <xdr:cNvSpPr txBox="1">
          <a:spLocks noChangeArrowheads="1"/>
        </xdr:cNvSpPr>
      </xdr:nvSpPr>
      <xdr:spPr bwMode="auto">
        <a:xfrm>
          <a:off x="13925550" y="17992725"/>
          <a:ext cx="31432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1000" b="0" i="0" strike="noStrike">
              <a:solidFill>
                <a:srgbClr val="000000"/>
              </a:solidFill>
              <a:latin typeface="ＭＳ Ｐゴシック"/>
              <a:ea typeface="ＭＳ Ｐゴシック"/>
            </a:rPr>
            <a:t>(</a:t>
          </a:r>
          <a:r>
            <a:rPr lang="ja-JP" altLang="en-US" sz="1000" b="0" i="0" strike="noStrike">
              <a:solidFill>
                <a:srgbClr val="000000"/>
              </a:solidFill>
              <a:latin typeface="ＭＳ Ｐゴシック"/>
              <a:ea typeface="ＭＳ Ｐゴシック"/>
            </a:rPr>
            <a:t>回</a:t>
          </a:r>
          <a:r>
            <a:rPr lang="en-US" altLang="ja-JP" sz="1000" b="0" i="0" strike="noStrike">
              <a:solidFill>
                <a:srgbClr val="000000"/>
              </a:solidFill>
              <a:latin typeface="ＭＳ Ｐゴシック"/>
              <a:ea typeface="ＭＳ Ｐゴシック"/>
            </a:rPr>
            <a:t>)</a:t>
          </a:r>
        </a:p>
      </xdr:txBody>
    </xdr:sp>
    <xdr:clientData/>
  </xdr:twoCellAnchor>
  <xdr:twoCellAnchor editAs="oneCell">
    <xdr:from>
      <xdr:col>20</xdr:col>
      <xdr:colOff>409575</xdr:colOff>
      <xdr:row>39</xdr:row>
      <xdr:rowOff>171450</xdr:rowOff>
    </xdr:from>
    <xdr:to>
      <xdr:col>20</xdr:col>
      <xdr:colOff>542925</xdr:colOff>
      <xdr:row>40</xdr:row>
      <xdr:rowOff>76200</xdr:rowOff>
    </xdr:to>
    <xdr:sp macro="" textlink="">
      <xdr:nvSpPr>
        <xdr:cNvPr id="9" name="Text Box 12"/>
        <xdr:cNvSpPr txBox="1">
          <a:spLocks noChangeArrowheads="1"/>
        </xdr:cNvSpPr>
      </xdr:nvSpPr>
      <xdr:spPr bwMode="auto">
        <a:xfrm>
          <a:off x="12525375" y="15382875"/>
          <a:ext cx="133350" cy="333375"/>
        </a:xfrm>
        <a:prstGeom prst="rect">
          <a:avLst/>
        </a:prstGeom>
        <a:noFill/>
        <a:ln w="9525">
          <a:noFill/>
          <a:miter lim="800000"/>
          <a:headEnd/>
          <a:tailEnd/>
        </a:ln>
      </xdr:spPr>
    </xdr:sp>
    <xdr:clientData/>
  </xdr:twoCellAnchor>
  <xdr:twoCellAnchor editAs="oneCell">
    <xdr:from>
      <xdr:col>10</xdr:col>
      <xdr:colOff>28575</xdr:colOff>
      <xdr:row>4</xdr:row>
      <xdr:rowOff>219075</xdr:rowOff>
    </xdr:from>
    <xdr:to>
      <xdr:col>16</xdr:col>
      <xdr:colOff>457200</xdr:colOff>
      <xdr:row>5</xdr:row>
      <xdr:rowOff>323850</xdr:rowOff>
    </xdr:to>
    <xdr:sp macro="" textlink="">
      <xdr:nvSpPr>
        <xdr:cNvPr id="10" name="テキスト 12"/>
        <xdr:cNvSpPr txBox="1">
          <a:spLocks noChangeArrowheads="1"/>
        </xdr:cNvSpPr>
      </xdr:nvSpPr>
      <xdr:spPr bwMode="auto">
        <a:xfrm>
          <a:off x="5762625" y="1190625"/>
          <a:ext cx="4257675" cy="352425"/>
        </a:xfrm>
        <a:prstGeom prst="rect">
          <a:avLst/>
        </a:prstGeom>
        <a:solidFill>
          <a:srgbClr val="FFFFFF"/>
        </a:solidFill>
        <a:ln w="1">
          <a:noFill/>
          <a:miter lim="800000"/>
          <a:headEnd/>
          <a:tailEnd/>
        </a:ln>
      </xdr:spPr>
      <xdr:txBody>
        <a:bodyPr vertOverflow="clip" wrap="square" lIns="45720" tIns="27432" rIns="45720" bIns="0" anchor="t" upright="1"/>
        <a:lstStyle/>
        <a:p>
          <a:pPr algn="ctr" rtl="0">
            <a:defRPr sz="1000"/>
          </a:pPr>
          <a:r>
            <a:rPr lang="ja-JP" altLang="en-US" sz="2000" b="0" i="0" strike="noStrike">
              <a:solidFill>
                <a:srgbClr val="000000"/>
              </a:solidFill>
              <a:latin typeface="ＭＳ 明朝"/>
              <a:ea typeface="ＭＳ 明朝"/>
            </a:rPr>
            <a:t>（兼　　作　　業　　表）</a:t>
          </a:r>
        </a:p>
      </xdr:txBody>
    </xdr:sp>
    <xdr:clientData/>
  </xdr:twoCellAnchor>
  <xdr:oneCellAnchor>
    <xdr:from>
      <xdr:col>9</xdr:col>
      <xdr:colOff>114300</xdr:colOff>
      <xdr:row>1</xdr:row>
      <xdr:rowOff>145586</xdr:rowOff>
    </xdr:from>
    <xdr:ext cx="4741683" cy="513026"/>
    <xdr:sp macro="" textlink="">
      <xdr:nvSpPr>
        <xdr:cNvPr id="11" name="テキスト 13"/>
        <xdr:cNvSpPr txBox="1">
          <a:spLocks noChangeArrowheads="1"/>
        </xdr:cNvSpPr>
      </xdr:nvSpPr>
      <xdr:spPr bwMode="auto">
        <a:xfrm>
          <a:off x="5229225" y="574211"/>
          <a:ext cx="4741683" cy="513026"/>
        </a:xfrm>
        <a:prstGeom prst="rect">
          <a:avLst/>
        </a:prstGeom>
        <a:solidFill>
          <a:srgbClr val="FFFFFF"/>
        </a:solidFill>
        <a:ln w="1">
          <a:noFill/>
          <a:miter lim="800000"/>
          <a:headEnd/>
          <a:tailEnd/>
        </a:ln>
      </xdr:spPr>
      <xdr:txBody>
        <a:bodyPr wrap="none" lIns="27432" tIns="22860" rIns="27432" bIns="22860" anchor="ctr" upright="1">
          <a:spAutoFit/>
        </a:bodyPr>
        <a:lstStyle/>
        <a:p>
          <a:pPr algn="ctr" rtl="0">
            <a:defRPr sz="1000"/>
          </a:pPr>
          <a:r>
            <a:rPr lang="ja-JP" altLang="en-US" sz="2800" b="1" i="0" strike="noStrike">
              <a:solidFill>
                <a:srgbClr val="000000"/>
              </a:solidFill>
              <a:latin typeface="ＭＳ 明朝"/>
              <a:ea typeface="ＭＳ 明朝"/>
            </a:rPr>
            <a:t>勤　　務　　報　　告　　書</a:t>
          </a:r>
        </a:p>
      </xdr:txBody>
    </xdr:sp>
    <xdr:clientData/>
  </xdr:oneCellAnchor>
  <xdr:twoCellAnchor>
    <xdr:from>
      <xdr:col>15</xdr:col>
      <xdr:colOff>590550</xdr:colOff>
      <xdr:row>44</xdr:row>
      <xdr:rowOff>28575</xdr:rowOff>
    </xdr:from>
    <xdr:to>
      <xdr:col>16</xdr:col>
      <xdr:colOff>123825</xdr:colOff>
      <xdr:row>44</xdr:row>
      <xdr:rowOff>238125</xdr:rowOff>
    </xdr:to>
    <xdr:sp macro="" textlink="">
      <xdr:nvSpPr>
        <xdr:cNvPr id="12" name="Text Box 15"/>
        <xdr:cNvSpPr txBox="1">
          <a:spLocks noChangeArrowheads="1"/>
        </xdr:cNvSpPr>
      </xdr:nvSpPr>
      <xdr:spPr bwMode="auto">
        <a:xfrm>
          <a:off x="9344025" y="17125950"/>
          <a:ext cx="3429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17</xdr:col>
      <xdr:colOff>266700</xdr:colOff>
      <xdr:row>44</xdr:row>
      <xdr:rowOff>19050</xdr:rowOff>
    </xdr:from>
    <xdr:to>
      <xdr:col>18</xdr:col>
      <xdr:colOff>95250</xdr:colOff>
      <xdr:row>44</xdr:row>
      <xdr:rowOff>228600</xdr:rowOff>
    </xdr:to>
    <xdr:sp macro="" textlink="">
      <xdr:nvSpPr>
        <xdr:cNvPr id="13" name="Text Box 16"/>
        <xdr:cNvSpPr txBox="1">
          <a:spLocks noChangeArrowheads="1"/>
        </xdr:cNvSpPr>
      </xdr:nvSpPr>
      <xdr:spPr bwMode="auto">
        <a:xfrm>
          <a:off x="10448925" y="17116425"/>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18</xdr:col>
      <xdr:colOff>266700</xdr:colOff>
      <xdr:row>44</xdr:row>
      <xdr:rowOff>19050</xdr:rowOff>
    </xdr:from>
    <xdr:to>
      <xdr:col>19</xdr:col>
      <xdr:colOff>57150</xdr:colOff>
      <xdr:row>44</xdr:row>
      <xdr:rowOff>228600</xdr:rowOff>
    </xdr:to>
    <xdr:sp macro="" textlink="">
      <xdr:nvSpPr>
        <xdr:cNvPr id="14" name="Text Box 17"/>
        <xdr:cNvSpPr txBox="1">
          <a:spLocks noChangeArrowheads="1"/>
        </xdr:cNvSpPr>
      </xdr:nvSpPr>
      <xdr:spPr bwMode="auto">
        <a:xfrm>
          <a:off x="11068050" y="17116425"/>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19</xdr:col>
      <xdr:colOff>266700</xdr:colOff>
      <xdr:row>44</xdr:row>
      <xdr:rowOff>19050</xdr:rowOff>
    </xdr:from>
    <xdr:to>
      <xdr:col>20</xdr:col>
      <xdr:colOff>57150</xdr:colOff>
      <xdr:row>44</xdr:row>
      <xdr:rowOff>228600</xdr:rowOff>
    </xdr:to>
    <xdr:sp macro="" textlink="">
      <xdr:nvSpPr>
        <xdr:cNvPr id="15" name="Text Box 18"/>
        <xdr:cNvSpPr txBox="1">
          <a:spLocks noChangeArrowheads="1"/>
        </xdr:cNvSpPr>
      </xdr:nvSpPr>
      <xdr:spPr bwMode="auto">
        <a:xfrm>
          <a:off x="11725275" y="17116425"/>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20</xdr:col>
      <xdr:colOff>323850</xdr:colOff>
      <xdr:row>44</xdr:row>
      <xdr:rowOff>19050</xdr:rowOff>
    </xdr:from>
    <xdr:to>
      <xdr:col>21</xdr:col>
      <xdr:colOff>66675</xdr:colOff>
      <xdr:row>44</xdr:row>
      <xdr:rowOff>228600</xdr:rowOff>
    </xdr:to>
    <xdr:sp macro="" textlink="">
      <xdr:nvSpPr>
        <xdr:cNvPr id="16" name="Text Box 19"/>
        <xdr:cNvSpPr txBox="1">
          <a:spLocks noChangeArrowheads="1"/>
        </xdr:cNvSpPr>
      </xdr:nvSpPr>
      <xdr:spPr bwMode="auto">
        <a:xfrm>
          <a:off x="12439650" y="17116425"/>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16</xdr:col>
      <xdr:colOff>266700</xdr:colOff>
      <xdr:row>44</xdr:row>
      <xdr:rowOff>19050</xdr:rowOff>
    </xdr:from>
    <xdr:to>
      <xdr:col>17</xdr:col>
      <xdr:colOff>95250</xdr:colOff>
      <xdr:row>44</xdr:row>
      <xdr:rowOff>228600</xdr:rowOff>
    </xdr:to>
    <xdr:sp macro="" textlink="">
      <xdr:nvSpPr>
        <xdr:cNvPr id="17" name="Text Box 20"/>
        <xdr:cNvSpPr txBox="1">
          <a:spLocks noChangeArrowheads="1"/>
        </xdr:cNvSpPr>
      </xdr:nvSpPr>
      <xdr:spPr bwMode="auto">
        <a:xfrm>
          <a:off x="9829800" y="17116425"/>
          <a:ext cx="4476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22</xdr:col>
      <xdr:colOff>361950</xdr:colOff>
      <xdr:row>44</xdr:row>
      <xdr:rowOff>9525</xdr:rowOff>
    </xdr:from>
    <xdr:to>
      <xdr:col>24</xdr:col>
      <xdr:colOff>9525</xdr:colOff>
      <xdr:row>44</xdr:row>
      <xdr:rowOff>219075</xdr:rowOff>
    </xdr:to>
    <xdr:sp macro="" textlink="">
      <xdr:nvSpPr>
        <xdr:cNvPr id="18" name="Text Box 21"/>
        <xdr:cNvSpPr txBox="1">
          <a:spLocks noChangeArrowheads="1"/>
        </xdr:cNvSpPr>
      </xdr:nvSpPr>
      <xdr:spPr bwMode="auto">
        <a:xfrm>
          <a:off x="13906500" y="17106900"/>
          <a:ext cx="52387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6</xdr:col>
      <xdr:colOff>0</xdr:colOff>
      <xdr:row>44</xdr:row>
      <xdr:rowOff>228600</xdr:rowOff>
    </xdr:from>
    <xdr:to>
      <xdr:col>7</xdr:col>
      <xdr:colOff>0</xdr:colOff>
      <xdr:row>45</xdr:row>
      <xdr:rowOff>0</xdr:rowOff>
    </xdr:to>
    <xdr:sp macro="" textlink="">
      <xdr:nvSpPr>
        <xdr:cNvPr id="19" name="Text Box 22"/>
        <xdr:cNvSpPr txBox="1">
          <a:spLocks noChangeArrowheads="1"/>
        </xdr:cNvSpPr>
      </xdr:nvSpPr>
      <xdr:spPr bwMode="auto">
        <a:xfrm>
          <a:off x="3352800" y="17325975"/>
          <a:ext cx="571500" cy="200025"/>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900" b="0" i="0" strike="noStrike">
              <a:solidFill>
                <a:srgbClr val="000000"/>
              </a:solidFill>
              <a:latin typeface="ＭＳ 明朝"/>
              <a:ea typeface="ＭＳ 明朝"/>
            </a:rPr>
            <a:t>永年勤続</a:t>
          </a:r>
        </a:p>
      </xdr:txBody>
    </xdr:sp>
    <xdr:clientData/>
  </xdr:twoCellAnchor>
  <xdr:twoCellAnchor>
    <xdr:from>
      <xdr:col>4</xdr:col>
      <xdr:colOff>0</xdr:colOff>
      <xdr:row>44</xdr:row>
      <xdr:rowOff>9525</xdr:rowOff>
    </xdr:from>
    <xdr:to>
      <xdr:col>7</xdr:col>
      <xdr:colOff>0</xdr:colOff>
      <xdr:row>44</xdr:row>
      <xdr:rowOff>228600</xdr:rowOff>
    </xdr:to>
    <xdr:sp macro="" textlink="">
      <xdr:nvSpPr>
        <xdr:cNvPr id="20" name="テキスト 15"/>
        <xdr:cNvSpPr txBox="1">
          <a:spLocks noChangeArrowheads="1"/>
        </xdr:cNvSpPr>
      </xdr:nvSpPr>
      <xdr:spPr bwMode="auto">
        <a:xfrm>
          <a:off x="2066925" y="17106900"/>
          <a:ext cx="1857375" cy="219075"/>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明朝"/>
              <a:ea typeface="ＭＳ 明朝"/>
            </a:rPr>
            <a:t>特休</a:t>
          </a:r>
        </a:p>
      </xdr:txBody>
    </xdr:sp>
    <xdr:clientData/>
  </xdr:twoCellAnchor>
  <xdr:twoCellAnchor>
    <xdr:from>
      <xdr:col>1</xdr:col>
      <xdr:colOff>152400</xdr:colOff>
      <xdr:row>12</xdr:row>
      <xdr:rowOff>19050</xdr:rowOff>
    </xdr:from>
    <xdr:to>
      <xdr:col>2</xdr:col>
      <xdr:colOff>600075</xdr:colOff>
      <xdr:row>13</xdr:row>
      <xdr:rowOff>0</xdr:rowOff>
    </xdr:to>
    <xdr:sp macro="" textlink="">
      <xdr:nvSpPr>
        <xdr:cNvPr id="21" name="Holiday1"/>
        <xdr:cNvSpPr>
          <a:spLocks noChangeArrowheads="1"/>
        </xdr:cNvSpPr>
      </xdr:nvSpPr>
      <xdr:spPr bwMode="auto">
        <a:xfrm>
          <a:off x="581025" y="3657600"/>
          <a:ext cx="714375" cy="409575"/>
        </a:xfrm>
        <a:prstGeom prst="ellipse">
          <a:avLst/>
        </a:prstGeom>
        <a:noFill/>
        <a:ln w="9525">
          <a:solidFill>
            <a:prstClr val="black"/>
          </a:solidFill>
          <a:round/>
          <a:headEnd/>
          <a:tailEnd/>
        </a:ln>
      </xdr:spPr>
    </xdr:sp>
    <xdr:clientData/>
  </xdr:twoCellAnchor>
  <xdr:twoCellAnchor>
    <xdr:from>
      <xdr:col>1</xdr:col>
      <xdr:colOff>152400</xdr:colOff>
      <xdr:row>13</xdr:row>
      <xdr:rowOff>19050</xdr:rowOff>
    </xdr:from>
    <xdr:to>
      <xdr:col>2</xdr:col>
      <xdr:colOff>600075</xdr:colOff>
      <xdr:row>14</xdr:row>
      <xdr:rowOff>0</xdr:rowOff>
    </xdr:to>
    <xdr:sp macro="" textlink="">
      <xdr:nvSpPr>
        <xdr:cNvPr id="22" name="Holiday2"/>
        <xdr:cNvSpPr>
          <a:spLocks noChangeArrowheads="1"/>
        </xdr:cNvSpPr>
      </xdr:nvSpPr>
      <xdr:spPr bwMode="auto">
        <a:xfrm>
          <a:off x="581025" y="4086225"/>
          <a:ext cx="714375" cy="409575"/>
        </a:xfrm>
        <a:prstGeom prst="ellipse">
          <a:avLst/>
        </a:prstGeom>
        <a:noFill/>
        <a:ln w="9525">
          <a:noFill/>
          <a:round/>
          <a:headEnd/>
          <a:tailEnd/>
        </a:ln>
      </xdr:spPr>
    </xdr:sp>
    <xdr:clientData/>
  </xdr:twoCellAnchor>
  <xdr:twoCellAnchor>
    <xdr:from>
      <xdr:col>1</xdr:col>
      <xdr:colOff>152400</xdr:colOff>
      <xdr:row>14</xdr:row>
      <xdr:rowOff>19050</xdr:rowOff>
    </xdr:from>
    <xdr:to>
      <xdr:col>2</xdr:col>
      <xdr:colOff>600075</xdr:colOff>
      <xdr:row>15</xdr:row>
      <xdr:rowOff>0</xdr:rowOff>
    </xdr:to>
    <xdr:sp macro="" textlink="">
      <xdr:nvSpPr>
        <xdr:cNvPr id="23" name="Holiday3"/>
        <xdr:cNvSpPr>
          <a:spLocks noChangeArrowheads="1"/>
        </xdr:cNvSpPr>
      </xdr:nvSpPr>
      <xdr:spPr bwMode="auto">
        <a:xfrm>
          <a:off x="581025" y="4514850"/>
          <a:ext cx="714375" cy="409575"/>
        </a:xfrm>
        <a:prstGeom prst="ellipse">
          <a:avLst/>
        </a:prstGeom>
        <a:noFill/>
        <a:ln w="9525">
          <a:noFill/>
          <a:round/>
          <a:headEnd/>
          <a:tailEnd/>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152400</xdr:colOff>
      <xdr:row>15</xdr:row>
      <xdr:rowOff>19050</xdr:rowOff>
    </xdr:from>
    <xdr:to>
      <xdr:col>2</xdr:col>
      <xdr:colOff>600075</xdr:colOff>
      <xdr:row>16</xdr:row>
      <xdr:rowOff>0</xdr:rowOff>
    </xdr:to>
    <xdr:sp macro="" textlink="">
      <xdr:nvSpPr>
        <xdr:cNvPr id="24" name="Holiday4"/>
        <xdr:cNvSpPr>
          <a:spLocks noChangeArrowheads="1"/>
        </xdr:cNvSpPr>
      </xdr:nvSpPr>
      <xdr:spPr bwMode="auto">
        <a:xfrm>
          <a:off x="581025" y="4943475"/>
          <a:ext cx="714375" cy="409575"/>
        </a:xfrm>
        <a:prstGeom prst="ellipse">
          <a:avLst/>
        </a:prstGeom>
        <a:noFill/>
        <a:ln w="9525">
          <a:noFill/>
          <a:round/>
          <a:headEnd/>
          <a:tailEnd/>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152400</xdr:colOff>
      <xdr:row>16</xdr:row>
      <xdr:rowOff>19050</xdr:rowOff>
    </xdr:from>
    <xdr:to>
      <xdr:col>2</xdr:col>
      <xdr:colOff>600075</xdr:colOff>
      <xdr:row>17</xdr:row>
      <xdr:rowOff>0</xdr:rowOff>
    </xdr:to>
    <xdr:sp macro="" textlink="">
      <xdr:nvSpPr>
        <xdr:cNvPr id="25" name="Holiday5"/>
        <xdr:cNvSpPr>
          <a:spLocks noChangeArrowheads="1"/>
        </xdr:cNvSpPr>
      </xdr:nvSpPr>
      <xdr:spPr bwMode="auto">
        <a:xfrm>
          <a:off x="581025" y="5372100"/>
          <a:ext cx="714375" cy="409575"/>
        </a:xfrm>
        <a:prstGeom prst="ellipse">
          <a:avLst/>
        </a:prstGeom>
        <a:noFill/>
        <a:ln w="9525">
          <a:noFill/>
          <a:round/>
          <a:headEnd/>
          <a:tailEnd/>
        </a:ln>
      </xdr:spPr>
    </xdr:sp>
    <xdr:clientData/>
  </xdr:twoCellAnchor>
  <xdr:twoCellAnchor>
    <xdr:from>
      <xdr:col>1</xdr:col>
      <xdr:colOff>152400</xdr:colOff>
      <xdr:row>17</xdr:row>
      <xdr:rowOff>19050</xdr:rowOff>
    </xdr:from>
    <xdr:to>
      <xdr:col>2</xdr:col>
      <xdr:colOff>600075</xdr:colOff>
      <xdr:row>18</xdr:row>
      <xdr:rowOff>0</xdr:rowOff>
    </xdr:to>
    <xdr:sp macro="" textlink="">
      <xdr:nvSpPr>
        <xdr:cNvPr id="26" name="Holiday6"/>
        <xdr:cNvSpPr>
          <a:spLocks noChangeArrowheads="1"/>
        </xdr:cNvSpPr>
      </xdr:nvSpPr>
      <xdr:spPr bwMode="auto">
        <a:xfrm>
          <a:off x="581025" y="5800725"/>
          <a:ext cx="714375" cy="409575"/>
        </a:xfrm>
        <a:prstGeom prst="ellipse">
          <a:avLst/>
        </a:prstGeom>
        <a:noFill/>
        <a:ln w="9525">
          <a:noFill/>
          <a:round/>
          <a:headEnd/>
          <a:tailEnd/>
        </a:ln>
      </xdr:spPr>
    </xdr:sp>
    <xdr:clientData/>
  </xdr:twoCellAnchor>
  <xdr:twoCellAnchor>
    <xdr:from>
      <xdr:col>1</xdr:col>
      <xdr:colOff>152400</xdr:colOff>
      <xdr:row>18</xdr:row>
      <xdr:rowOff>19050</xdr:rowOff>
    </xdr:from>
    <xdr:to>
      <xdr:col>2</xdr:col>
      <xdr:colOff>600075</xdr:colOff>
      <xdr:row>19</xdr:row>
      <xdr:rowOff>0</xdr:rowOff>
    </xdr:to>
    <xdr:sp macro="" textlink="">
      <xdr:nvSpPr>
        <xdr:cNvPr id="27" name="Holiday7"/>
        <xdr:cNvSpPr>
          <a:spLocks noChangeArrowheads="1"/>
        </xdr:cNvSpPr>
      </xdr:nvSpPr>
      <xdr:spPr bwMode="auto">
        <a:xfrm>
          <a:off x="581025" y="6229350"/>
          <a:ext cx="714375" cy="409575"/>
        </a:xfrm>
        <a:prstGeom prst="ellipse">
          <a:avLst/>
        </a:prstGeom>
        <a:noFill/>
        <a:ln w="9525">
          <a:solidFill>
            <a:prstClr val="black"/>
          </a:solidFill>
          <a:round/>
          <a:headEnd/>
          <a:tailEnd/>
        </a:ln>
      </xdr:spPr>
    </xdr:sp>
    <xdr:clientData/>
  </xdr:twoCellAnchor>
  <xdr:twoCellAnchor>
    <xdr:from>
      <xdr:col>1</xdr:col>
      <xdr:colOff>152400</xdr:colOff>
      <xdr:row>19</xdr:row>
      <xdr:rowOff>19050</xdr:rowOff>
    </xdr:from>
    <xdr:to>
      <xdr:col>2</xdr:col>
      <xdr:colOff>600075</xdr:colOff>
      <xdr:row>20</xdr:row>
      <xdr:rowOff>0</xdr:rowOff>
    </xdr:to>
    <xdr:sp macro="" textlink="">
      <xdr:nvSpPr>
        <xdr:cNvPr id="28" name="Holiday8"/>
        <xdr:cNvSpPr>
          <a:spLocks noChangeArrowheads="1"/>
        </xdr:cNvSpPr>
      </xdr:nvSpPr>
      <xdr:spPr bwMode="auto">
        <a:xfrm>
          <a:off x="581025" y="6657975"/>
          <a:ext cx="714375" cy="409575"/>
        </a:xfrm>
        <a:prstGeom prst="ellipse">
          <a:avLst/>
        </a:prstGeom>
        <a:noFill/>
        <a:ln w="9525">
          <a:solidFill>
            <a:prstClr val="black"/>
          </a:solidFill>
          <a:round/>
          <a:headEnd/>
          <a:tailEnd/>
        </a:ln>
      </xdr:spPr>
    </xdr:sp>
    <xdr:clientData/>
  </xdr:twoCellAnchor>
  <xdr:twoCellAnchor>
    <xdr:from>
      <xdr:col>1</xdr:col>
      <xdr:colOff>152400</xdr:colOff>
      <xdr:row>20</xdr:row>
      <xdr:rowOff>19050</xdr:rowOff>
    </xdr:from>
    <xdr:to>
      <xdr:col>2</xdr:col>
      <xdr:colOff>600075</xdr:colOff>
      <xdr:row>21</xdr:row>
      <xdr:rowOff>0</xdr:rowOff>
    </xdr:to>
    <xdr:sp macro="" textlink="">
      <xdr:nvSpPr>
        <xdr:cNvPr id="29" name="Holiday9"/>
        <xdr:cNvSpPr>
          <a:spLocks noChangeArrowheads="1"/>
        </xdr:cNvSpPr>
      </xdr:nvSpPr>
      <xdr:spPr bwMode="auto">
        <a:xfrm>
          <a:off x="581025" y="7086600"/>
          <a:ext cx="714375" cy="409575"/>
        </a:xfrm>
        <a:prstGeom prst="ellipse">
          <a:avLst/>
        </a:prstGeom>
        <a:noFill/>
        <a:ln w="9525">
          <a:solidFill>
            <a:prstClr val="black"/>
          </a:solidFill>
          <a:round/>
          <a:headEnd/>
          <a:tailEnd/>
        </a:ln>
      </xdr:spPr>
    </xdr:sp>
    <xdr:clientData/>
  </xdr:twoCellAnchor>
  <xdr:twoCellAnchor>
    <xdr:from>
      <xdr:col>1</xdr:col>
      <xdr:colOff>152400</xdr:colOff>
      <xdr:row>21</xdr:row>
      <xdr:rowOff>19050</xdr:rowOff>
    </xdr:from>
    <xdr:to>
      <xdr:col>2</xdr:col>
      <xdr:colOff>600075</xdr:colOff>
      <xdr:row>22</xdr:row>
      <xdr:rowOff>0</xdr:rowOff>
    </xdr:to>
    <xdr:sp macro="" textlink="">
      <xdr:nvSpPr>
        <xdr:cNvPr id="30" name="Holiday10"/>
        <xdr:cNvSpPr>
          <a:spLocks noChangeArrowheads="1"/>
        </xdr:cNvSpPr>
      </xdr:nvSpPr>
      <xdr:spPr bwMode="auto">
        <a:xfrm>
          <a:off x="581025" y="7515225"/>
          <a:ext cx="714375" cy="409575"/>
        </a:xfrm>
        <a:prstGeom prst="ellipse">
          <a:avLst/>
        </a:prstGeom>
        <a:noFill/>
        <a:ln w="9525">
          <a:noFill/>
          <a:round/>
          <a:headEnd/>
          <a:tailEnd/>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152400</xdr:colOff>
      <xdr:row>22</xdr:row>
      <xdr:rowOff>19050</xdr:rowOff>
    </xdr:from>
    <xdr:to>
      <xdr:col>2</xdr:col>
      <xdr:colOff>600075</xdr:colOff>
      <xdr:row>23</xdr:row>
      <xdr:rowOff>0</xdr:rowOff>
    </xdr:to>
    <xdr:sp macro="" textlink="">
      <xdr:nvSpPr>
        <xdr:cNvPr id="31" name="Holiday11"/>
        <xdr:cNvSpPr>
          <a:spLocks noChangeArrowheads="1"/>
        </xdr:cNvSpPr>
      </xdr:nvSpPr>
      <xdr:spPr bwMode="auto">
        <a:xfrm>
          <a:off x="581025" y="7943850"/>
          <a:ext cx="714375" cy="409575"/>
        </a:xfrm>
        <a:prstGeom prst="ellipse">
          <a:avLst/>
        </a:prstGeom>
        <a:noFill/>
        <a:ln w="9525">
          <a:noFill/>
          <a:round/>
          <a:headEnd/>
          <a:tailEnd/>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152400</xdr:colOff>
      <xdr:row>23</xdr:row>
      <xdr:rowOff>19050</xdr:rowOff>
    </xdr:from>
    <xdr:to>
      <xdr:col>2</xdr:col>
      <xdr:colOff>600075</xdr:colOff>
      <xdr:row>24</xdr:row>
      <xdr:rowOff>0</xdr:rowOff>
    </xdr:to>
    <xdr:sp macro="" textlink="">
      <xdr:nvSpPr>
        <xdr:cNvPr id="32" name="Holiday12"/>
        <xdr:cNvSpPr>
          <a:spLocks noChangeArrowheads="1"/>
        </xdr:cNvSpPr>
      </xdr:nvSpPr>
      <xdr:spPr bwMode="auto">
        <a:xfrm>
          <a:off x="581025" y="8372475"/>
          <a:ext cx="714375" cy="409575"/>
        </a:xfrm>
        <a:prstGeom prst="ellipse">
          <a:avLst/>
        </a:prstGeom>
        <a:noFill/>
        <a:ln w="9525">
          <a:noFill/>
          <a:round/>
          <a:headEnd/>
          <a:tailEnd/>
        </a:ln>
      </xdr:spPr>
    </xdr:sp>
    <xdr:clientData/>
  </xdr:twoCellAnchor>
  <xdr:twoCellAnchor>
    <xdr:from>
      <xdr:col>1</xdr:col>
      <xdr:colOff>152400</xdr:colOff>
      <xdr:row>24</xdr:row>
      <xdr:rowOff>19050</xdr:rowOff>
    </xdr:from>
    <xdr:to>
      <xdr:col>2</xdr:col>
      <xdr:colOff>600075</xdr:colOff>
      <xdr:row>25</xdr:row>
      <xdr:rowOff>0</xdr:rowOff>
    </xdr:to>
    <xdr:sp macro="" textlink="">
      <xdr:nvSpPr>
        <xdr:cNvPr id="33" name="Holiday13"/>
        <xdr:cNvSpPr>
          <a:spLocks noChangeArrowheads="1"/>
        </xdr:cNvSpPr>
      </xdr:nvSpPr>
      <xdr:spPr bwMode="auto">
        <a:xfrm>
          <a:off x="581025" y="8801100"/>
          <a:ext cx="714375" cy="409575"/>
        </a:xfrm>
        <a:prstGeom prst="ellipse">
          <a:avLst/>
        </a:prstGeom>
        <a:noFill/>
        <a:ln w="9525">
          <a:noFill/>
          <a:round/>
          <a:headEnd/>
          <a:tailEnd/>
        </a:ln>
      </xdr:spPr>
    </xdr:sp>
    <xdr:clientData/>
  </xdr:twoCellAnchor>
  <xdr:twoCellAnchor>
    <xdr:from>
      <xdr:col>1</xdr:col>
      <xdr:colOff>152400</xdr:colOff>
      <xdr:row>25</xdr:row>
      <xdr:rowOff>19050</xdr:rowOff>
    </xdr:from>
    <xdr:to>
      <xdr:col>2</xdr:col>
      <xdr:colOff>600075</xdr:colOff>
      <xdr:row>26</xdr:row>
      <xdr:rowOff>0</xdr:rowOff>
    </xdr:to>
    <xdr:sp macro="" textlink="">
      <xdr:nvSpPr>
        <xdr:cNvPr id="34" name="Holiday14"/>
        <xdr:cNvSpPr>
          <a:spLocks noChangeArrowheads="1"/>
        </xdr:cNvSpPr>
      </xdr:nvSpPr>
      <xdr:spPr bwMode="auto">
        <a:xfrm>
          <a:off x="581025" y="9229725"/>
          <a:ext cx="714375" cy="409575"/>
        </a:xfrm>
        <a:prstGeom prst="ellipse">
          <a:avLst/>
        </a:prstGeom>
        <a:noFill/>
        <a:ln w="9525">
          <a:solidFill>
            <a:prstClr val="black"/>
          </a:solidFill>
          <a:round/>
          <a:headEnd/>
          <a:tailEnd/>
        </a:ln>
      </xdr:spPr>
    </xdr:sp>
    <xdr:clientData/>
  </xdr:twoCellAnchor>
  <xdr:twoCellAnchor>
    <xdr:from>
      <xdr:col>1</xdr:col>
      <xdr:colOff>152400</xdr:colOff>
      <xdr:row>26</xdr:row>
      <xdr:rowOff>19050</xdr:rowOff>
    </xdr:from>
    <xdr:to>
      <xdr:col>2</xdr:col>
      <xdr:colOff>600075</xdr:colOff>
      <xdr:row>27</xdr:row>
      <xdr:rowOff>0</xdr:rowOff>
    </xdr:to>
    <xdr:sp macro="" textlink="">
      <xdr:nvSpPr>
        <xdr:cNvPr id="35" name="Holiday15"/>
        <xdr:cNvSpPr>
          <a:spLocks noChangeArrowheads="1"/>
        </xdr:cNvSpPr>
      </xdr:nvSpPr>
      <xdr:spPr bwMode="auto">
        <a:xfrm>
          <a:off x="581025" y="9658350"/>
          <a:ext cx="714375" cy="409575"/>
        </a:xfrm>
        <a:prstGeom prst="ellipse">
          <a:avLst/>
        </a:prstGeom>
        <a:noFill/>
        <a:ln w="9525">
          <a:solidFill>
            <a:prstClr val="black"/>
          </a:solidFill>
          <a:round/>
          <a:headEnd/>
          <a:tailEnd/>
        </a:ln>
      </xdr:spPr>
    </xdr:sp>
    <xdr:clientData/>
  </xdr:twoCellAnchor>
  <xdr:twoCellAnchor>
    <xdr:from>
      <xdr:col>1</xdr:col>
      <xdr:colOff>152400</xdr:colOff>
      <xdr:row>27</xdr:row>
      <xdr:rowOff>19050</xdr:rowOff>
    </xdr:from>
    <xdr:to>
      <xdr:col>2</xdr:col>
      <xdr:colOff>600075</xdr:colOff>
      <xdr:row>28</xdr:row>
      <xdr:rowOff>0</xdr:rowOff>
    </xdr:to>
    <xdr:sp macro="" textlink="">
      <xdr:nvSpPr>
        <xdr:cNvPr id="36" name="Holiday16"/>
        <xdr:cNvSpPr>
          <a:spLocks noChangeArrowheads="1"/>
        </xdr:cNvSpPr>
      </xdr:nvSpPr>
      <xdr:spPr bwMode="auto">
        <a:xfrm>
          <a:off x="581025" y="10086975"/>
          <a:ext cx="714375" cy="409575"/>
        </a:xfrm>
        <a:prstGeom prst="ellipse">
          <a:avLst/>
        </a:prstGeom>
        <a:noFill/>
        <a:ln w="9525">
          <a:noFill/>
          <a:round/>
          <a:headEnd/>
          <a:tailEnd/>
        </a:ln>
      </xdr:spPr>
    </xdr:sp>
    <xdr:clientData/>
  </xdr:twoCellAnchor>
  <xdr:twoCellAnchor>
    <xdr:from>
      <xdr:col>1</xdr:col>
      <xdr:colOff>152400</xdr:colOff>
      <xdr:row>28</xdr:row>
      <xdr:rowOff>19050</xdr:rowOff>
    </xdr:from>
    <xdr:to>
      <xdr:col>2</xdr:col>
      <xdr:colOff>600075</xdr:colOff>
      <xdr:row>29</xdr:row>
      <xdr:rowOff>0</xdr:rowOff>
    </xdr:to>
    <xdr:sp macro="" textlink="">
      <xdr:nvSpPr>
        <xdr:cNvPr id="37" name="Holiday17"/>
        <xdr:cNvSpPr>
          <a:spLocks noChangeArrowheads="1"/>
        </xdr:cNvSpPr>
      </xdr:nvSpPr>
      <xdr:spPr bwMode="auto">
        <a:xfrm>
          <a:off x="581025" y="10515600"/>
          <a:ext cx="714375" cy="409575"/>
        </a:xfrm>
        <a:prstGeom prst="ellipse">
          <a:avLst/>
        </a:prstGeom>
        <a:noFill/>
        <a:ln w="9525">
          <a:noFill/>
          <a:round/>
          <a:headEnd/>
          <a:tailEnd/>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152400</xdr:colOff>
      <xdr:row>29</xdr:row>
      <xdr:rowOff>19050</xdr:rowOff>
    </xdr:from>
    <xdr:to>
      <xdr:col>2</xdr:col>
      <xdr:colOff>600075</xdr:colOff>
      <xdr:row>30</xdr:row>
      <xdr:rowOff>0</xdr:rowOff>
    </xdr:to>
    <xdr:sp macro="" textlink="">
      <xdr:nvSpPr>
        <xdr:cNvPr id="38" name="Holiday18"/>
        <xdr:cNvSpPr>
          <a:spLocks noChangeArrowheads="1"/>
        </xdr:cNvSpPr>
      </xdr:nvSpPr>
      <xdr:spPr bwMode="auto">
        <a:xfrm>
          <a:off x="581025" y="10944225"/>
          <a:ext cx="714375" cy="409575"/>
        </a:xfrm>
        <a:prstGeom prst="ellipse">
          <a:avLst/>
        </a:prstGeom>
        <a:noFill/>
        <a:ln w="9525">
          <a:noFill/>
          <a:round/>
          <a:headEnd/>
          <a:tailEnd/>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152400</xdr:colOff>
      <xdr:row>30</xdr:row>
      <xdr:rowOff>19050</xdr:rowOff>
    </xdr:from>
    <xdr:to>
      <xdr:col>2</xdr:col>
      <xdr:colOff>600075</xdr:colOff>
      <xdr:row>31</xdr:row>
      <xdr:rowOff>0</xdr:rowOff>
    </xdr:to>
    <xdr:sp macro="" textlink="">
      <xdr:nvSpPr>
        <xdr:cNvPr id="39" name="Holiday19"/>
        <xdr:cNvSpPr>
          <a:spLocks noChangeArrowheads="1"/>
        </xdr:cNvSpPr>
      </xdr:nvSpPr>
      <xdr:spPr bwMode="auto">
        <a:xfrm>
          <a:off x="581025" y="11372850"/>
          <a:ext cx="714375" cy="409575"/>
        </a:xfrm>
        <a:prstGeom prst="ellipse">
          <a:avLst/>
        </a:prstGeom>
        <a:noFill/>
        <a:ln w="9525">
          <a:noFill/>
          <a:round/>
          <a:headEnd/>
          <a:tailEnd/>
        </a:ln>
      </xdr:spPr>
    </xdr:sp>
    <xdr:clientData/>
  </xdr:twoCellAnchor>
  <xdr:twoCellAnchor>
    <xdr:from>
      <xdr:col>1</xdr:col>
      <xdr:colOff>152400</xdr:colOff>
      <xdr:row>31</xdr:row>
      <xdr:rowOff>19050</xdr:rowOff>
    </xdr:from>
    <xdr:to>
      <xdr:col>2</xdr:col>
      <xdr:colOff>600075</xdr:colOff>
      <xdr:row>32</xdr:row>
      <xdr:rowOff>0</xdr:rowOff>
    </xdr:to>
    <xdr:sp macro="" textlink="">
      <xdr:nvSpPr>
        <xdr:cNvPr id="40" name="Holiday20"/>
        <xdr:cNvSpPr>
          <a:spLocks noChangeArrowheads="1"/>
        </xdr:cNvSpPr>
      </xdr:nvSpPr>
      <xdr:spPr bwMode="auto">
        <a:xfrm>
          <a:off x="581025" y="11801475"/>
          <a:ext cx="714375" cy="409575"/>
        </a:xfrm>
        <a:prstGeom prst="ellipse">
          <a:avLst/>
        </a:prstGeom>
        <a:noFill/>
        <a:ln w="9525">
          <a:noFill/>
          <a:round/>
          <a:headEnd/>
          <a:tailEnd/>
        </a:ln>
      </xdr:spPr>
    </xdr:sp>
    <xdr:clientData/>
  </xdr:twoCellAnchor>
  <xdr:twoCellAnchor>
    <xdr:from>
      <xdr:col>1</xdr:col>
      <xdr:colOff>152400</xdr:colOff>
      <xdr:row>32</xdr:row>
      <xdr:rowOff>19050</xdr:rowOff>
    </xdr:from>
    <xdr:to>
      <xdr:col>2</xdr:col>
      <xdr:colOff>600075</xdr:colOff>
      <xdr:row>33</xdr:row>
      <xdr:rowOff>0</xdr:rowOff>
    </xdr:to>
    <xdr:sp macro="" textlink="">
      <xdr:nvSpPr>
        <xdr:cNvPr id="41" name="Holiday21"/>
        <xdr:cNvSpPr>
          <a:spLocks noChangeArrowheads="1"/>
        </xdr:cNvSpPr>
      </xdr:nvSpPr>
      <xdr:spPr bwMode="auto">
        <a:xfrm>
          <a:off x="581025" y="12230100"/>
          <a:ext cx="714375" cy="409575"/>
        </a:xfrm>
        <a:prstGeom prst="ellipse">
          <a:avLst/>
        </a:prstGeom>
        <a:noFill/>
        <a:ln w="9525">
          <a:solidFill>
            <a:prstClr val="black"/>
          </a:solidFill>
          <a:round/>
          <a:headEnd/>
          <a:tailEnd/>
        </a:ln>
      </xdr:spPr>
    </xdr:sp>
    <xdr:clientData/>
  </xdr:twoCellAnchor>
  <xdr:twoCellAnchor>
    <xdr:from>
      <xdr:col>1</xdr:col>
      <xdr:colOff>152400</xdr:colOff>
      <xdr:row>33</xdr:row>
      <xdr:rowOff>19050</xdr:rowOff>
    </xdr:from>
    <xdr:to>
      <xdr:col>2</xdr:col>
      <xdr:colOff>600075</xdr:colOff>
      <xdr:row>34</xdr:row>
      <xdr:rowOff>0</xdr:rowOff>
    </xdr:to>
    <xdr:sp macro="" textlink="">
      <xdr:nvSpPr>
        <xdr:cNvPr id="42" name="Holiday22"/>
        <xdr:cNvSpPr>
          <a:spLocks noChangeArrowheads="1"/>
        </xdr:cNvSpPr>
      </xdr:nvSpPr>
      <xdr:spPr bwMode="auto">
        <a:xfrm>
          <a:off x="581025" y="12658725"/>
          <a:ext cx="714375" cy="409575"/>
        </a:xfrm>
        <a:prstGeom prst="ellipse">
          <a:avLst/>
        </a:prstGeom>
        <a:noFill/>
        <a:ln w="9525">
          <a:solidFill>
            <a:prstClr val="black"/>
          </a:solidFill>
          <a:round/>
          <a:headEnd/>
          <a:tailEnd/>
        </a:ln>
      </xdr:spPr>
    </xdr:sp>
    <xdr:clientData/>
  </xdr:twoCellAnchor>
  <xdr:twoCellAnchor>
    <xdr:from>
      <xdr:col>1</xdr:col>
      <xdr:colOff>152400</xdr:colOff>
      <xdr:row>34</xdr:row>
      <xdr:rowOff>19050</xdr:rowOff>
    </xdr:from>
    <xdr:to>
      <xdr:col>2</xdr:col>
      <xdr:colOff>600075</xdr:colOff>
      <xdr:row>35</xdr:row>
      <xdr:rowOff>0</xdr:rowOff>
    </xdr:to>
    <xdr:sp macro="" textlink="">
      <xdr:nvSpPr>
        <xdr:cNvPr id="43" name="Holiday23"/>
        <xdr:cNvSpPr>
          <a:spLocks noChangeArrowheads="1"/>
        </xdr:cNvSpPr>
      </xdr:nvSpPr>
      <xdr:spPr bwMode="auto">
        <a:xfrm>
          <a:off x="581025" y="13087350"/>
          <a:ext cx="714375" cy="409575"/>
        </a:xfrm>
        <a:prstGeom prst="ellipse">
          <a:avLst/>
        </a:prstGeom>
        <a:noFill/>
        <a:ln w="9525">
          <a:noFill/>
          <a:round/>
          <a:headEnd/>
          <a:tailEnd/>
        </a:ln>
      </xdr:spPr>
    </xdr:sp>
    <xdr:clientData/>
  </xdr:twoCellAnchor>
  <xdr:twoCellAnchor>
    <xdr:from>
      <xdr:col>1</xdr:col>
      <xdr:colOff>152400</xdr:colOff>
      <xdr:row>35</xdr:row>
      <xdr:rowOff>19050</xdr:rowOff>
    </xdr:from>
    <xdr:to>
      <xdr:col>2</xdr:col>
      <xdr:colOff>600075</xdr:colOff>
      <xdr:row>36</xdr:row>
      <xdr:rowOff>0</xdr:rowOff>
    </xdr:to>
    <xdr:sp macro="" textlink="">
      <xdr:nvSpPr>
        <xdr:cNvPr id="44" name="Holiday24"/>
        <xdr:cNvSpPr>
          <a:spLocks noChangeArrowheads="1"/>
        </xdr:cNvSpPr>
      </xdr:nvSpPr>
      <xdr:spPr bwMode="auto">
        <a:xfrm>
          <a:off x="581025" y="13515975"/>
          <a:ext cx="714375" cy="409575"/>
        </a:xfrm>
        <a:prstGeom prst="ellipse">
          <a:avLst/>
        </a:prstGeom>
        <a:noFill/>
        <a:ln w="9525">
          <a:noFill/>
          <a:round/>
          <a:headEnd/>
          <a:tailEnd/>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152400</xdr:colOff>
      <xdr:row>36</xdr:row>
      <xdr:rowOff>19050</xdr:rowOff>
    </xdr:from>
    <xdr:to>
      <xdr:col>2</xdr:col>
      <xdr:colOff>600075</xdr:colOff>
      <xdr:row>37</xdr:row>
      <xdr:rowOff>0</xdr:rowOff>
    </xdr:to>
    <xdr:sp macro="" textlink="">
      <xdr:nvSpPr>
        <xdr:cNvPr id="45" name="Holiday25"/>
        <xdr:cNvSpPr>
          <a:spLocks noChangeArrowheads="1"/>
        </xdr:cNvSpPr>
      </xdr:nvSpPr>
      <xdr:spPr bwMode="auto">
        <a:xfrm>
          <a:off x="581025" y="13944600"/>
          <a:ext cx="714375" cy="409575"/>
        </a:xfrm>
        <a:prstGeom prst="ellipse">
          <a:avLst/>
        </a:prstGeom>
        <a:noFill/>
        <a:ln w="9525">
          <a:noFill/>
          <a:round/>
          <a:headEnd/>
          <a:tailEnd/>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152400</xdr:colOff>
      <xdr:row>37</xdr:row>
      <xdr:rowOff>19050</xdr:rowOff>
    </xdr:from>
    <xdr:to>
      <xdr:col>2</xdr:col>
      <xdr:colOff>600075</xdr:colOff>
      <xdr:row>38</xdr:row>
      <xdr:rowOff>0</xdr:rowOff>
    </xdr:to>
    <xdr:sp macro="" textlink="">
      <xdr:nvSpPr>
        <xdr:cNvPr id="46" name="Holiday26"/>
        <xdr:cNvSpPr>
          <a:spLocks noChangeArrowheads="1"/>
        </xdr:cNvSpPr>
      </xdr:nvSpPr>
      <xdr:spPr bwMode="auto">
        <a:xfrm>
          <a:off x="581025" y="14373225"/>
          <a:ext cx="714375" cy="409575"/>
        </a:xfrm>
        <a:prstGeom prst="ellipse">
          <a:avLst/>
        </a:prstGeom>
        <a:noFill/>
        <a:ln w="9525">
          <a:noFill/>
          <a:round/>
          <a:headEnd/>
          <a:tailEnd/>
        </a:ln>
      </xdr:spPr>
    </xdr:sp>
    <xdr:clientData/>
  </xdr:twoCellAnchor>
  <xdr:twoCellAnchor>
    <xdr:from>
      <xdr:col>1</xdr:col>
      <xdr:colOff>152400</xdr:colOff>
      <xdr:row>38</xdr:row>
      <xdr:rowOff>19050</xdr:rowOff>
    </xdr:from>
    <xdr:to>
      <xdr:col>2</xdr:col>
      <xdr:colOff>600075</xdr:colOff>
      <xdr:row>39</xdr:row>
      <xdr:rowOff>0</xdr:rowOff>
    </xdr:to>
    <xdr:sp macro="" textlink="">
      <xdr:nvSpPr>
        <xdr:cNvPr id="47" name="Holiday27"/>
        <xdr:cNvSpPr>
          <a:spLocks noChangeArrowheads="1"/>
        </xdr:cNvSpPr>
      </xdr:nvSpPr>
      <xdr:spPr bwMode="auto">
        <a:xfrm>
          <a:off x="581025" y="14801850"/>
          <a:ext cx="714375" cy="409575"/>
        </a:xfrm>
        <a:prstGeom prst="ellipse">
          <a:avLst/>
        </a:prstGeom>
        <a:noFill/>
        <a:ln w="9525">
          <a:noFill/>
          <a:round/>
          <a:headEnd/>
          <a:tailEnd/>
        </a:ln>
      </xdr:spPr>
    </xdr:sp>
    <xdr:clientData/>
  </xdr:twoCellAnchor>
  <xdr:twoCellAnchor>
    <xdr:from>
      <xdr:col>1</xdr:col>
      <xdr:colOff>152400</xdr:colOff>
      <xdr:row>39</xdr:row>
      <xdr:rowOff>19050</xdr:rowOff>
    </xdr:from>
    <xdr:to>
      <xdr:col>2</xdr:col>
      <xdr:colOff>600075</xdr:colOff>
      <xdr:row>40</xdr:row>
      <xdr:rowOff>0</xdr:rowOff>
    </xdr:to>
    <xdr:sp macro="" textlink="">
      <xdr:nvSpPr>
        <xdr:cNvPr id="48" name="Holiday28"/>
        <xdr:cNvSpPr>
          <a:spLocks noChangeArrowheads="1"/>
        </xdr:cNvSpPr>
      </xdr:nvSpPr>
      <xdr:spPr bwMode="auto">
        <a:xfrm>
          <a:off x="581025" y="15230475"/>
          <a:ext cx="714375" cy="409575"/>
        </a:xfrm>
        <a:prstGeom prst="ellipse">
          <a:avLst/>
        </a:prstGeom>
        <a:noFill/>
        <a:ln w="9525">
          <a:solidFill>
            <a:prstClr val="black"/>
          </a:solidFill>
          <a:round/>
          <a:headEnd/>
          <a:tailEnd/>
        </a:ln>
      </xdr:spPr>
    </xdr:sp>
    <xdr:clientData/>
  </xdr:twoCellAnchor>
  <xdr:twoCellAnchor>
    <xdr:from>
      <xdr:col>1</xdr:col>
      <xdr:colOff>152400</xdr:colOff>
      <xdr:row>40</xdr:row>
      <xdr:rowOff>19050</xdr:rowOff>
    </xdr:from>
    <xdr:to>
      <xdr:col>2</xdr:col>
      <xdr:colOff>600075</xdr:colOff>
      <xdr:row>41</xdr:row>
      <xdr:rowOff>0</xdr:rowOff>
    </xdr:to>
    <xdr:sp macro="" textlink="">
      <xdr:nvSpPr>
        <xdr:cNvPr id="49" name="Holiday29"/>
        <xdr:cNvSpPr>
          <a:spLocks noChangeArrowheads="1"/>
        </xdr:cNvSpPr>
      </xdr:nvSpPr>
      <xdr:spPr bwMode="auto">
        <a:xfrm>
          <a:off x="581025" y="15659100"/>
          <a:ext cx="714375" cy="409575"/>
        </a:xfrm>
        <a:prstGeom prst="ellipse">
          <a:avLst/>
        </a:prstGeom>
        <a:noFill/>
        <a:ln w="9525">
          <a:solidFill>
            <a:srgbClr val="000000"/>
          </a:solidFill>
          <a:round/>
          <a:headEnd/>
          <a:tailEnd/>
        </a:ln>
      </xdr:spPr>
    </xdr:sp>
    <xdr:clientData/>
  </xdr:twoCellAnchor>
  <xdr:twoCellAnchor>
    <xdr:from>
      <xdr:col>1</xdr:col>
      <xdr:colOff>152400</xdr:colOff>
      <xdr:row>41</xdr:row>
      <xdr:rowOff>19050</xdr:rowOff>
    </xdr:from>
    <xdr:to>
      <xdr:col>2</xdr:col>
      <xdr:colOff>600075</xdr:colOff>
      <xdr:row>42</xdr:row>
      <xdr:rowOff>0</xdr:rowOff>
    </xdr:to>
    <xdr:sp macro="" textlink="">
      <xdr:nvSpPr>
        <xdr:cNvPr id="50" name="Holiday30"/>
        <xdr:cNvSpPr>
          <a:spLocks noChangeArrowheads="1"/>
        </xdr:cNvSpPr>
      </xdr:nvSpPr>
      <xdr:spPr bwMode="auto">
        <a:xfrm>
          <a:off x="581025" y="16087725"/>
          <a:ext cx="714375" cy="409575"/>
        </a:xfrm>
        <a:prstGeom prst="ellipse">
          <a:avLst/>
        </a:prstGeom>
        <a:noFill/>
        <a:ln w="9525">
          <a:noFill/>
          <a:round/>
          <a:headEnd/>
          <a:tailEnd/>
        </a:ln>
      </xdr:spPr>
    </xdr:sp>
    <xdr:clientData/>
  </xdr:twoCellAnchor>
  <xdr:twoCellAnchor>
    <xdr:from>
      <xdr:col>1</xdr:col>
      <xdr:colOff>152400</xdr:colOff>
      <xdr:row>42</xdr:row>
      <xdr:rowOff>19050</xdr:rowOff>
    </xdr:from>
    <xdr:to>
      <xdr:col>2</xdr:col>
      <xdr:colOff>600075</xdr:colOff>
      <xdr:row>43</xdr:row>
      <xdr:rowOff>0</xdr:rowOff>
    </xdr:to>
    <xdr:sp macro="" textlink="">
      <xdr:nvSpPr>
        <xdr:cNvPr id="51" name="Holiday31"/>
        <xdr:cNvSpPr>
          <a:spLocks noChangeArrowheads="1"/>
        </xdr:cNvSpPr>
      </xdr:nvSpPr>
      <xdr:spPr bwMode="auto">
        <a:xfrm>
          <a:off x="581025" y="16516350"/>
          <a:ext cx="714375" cy="409575"/>
        </a:xfrm>
        <a:prstGeom prst="ellipse">
          <a:avLst/>
        </a:prstGeom>
        <a:noFill/>
        <a:ln w="9525">
          <a:noFill/>
          <a:round/>
          <a:headEnd/>
          <a:tailEnd/>
        </a:ln>
      </xdr:spPr>
    </xdr:sp>
    <xdr:clientData/>
  </xdr:twoCellAnchor>
  <xdr:twoCellAnchor>
    <xdr:from>
      <xdr:col>13</xdr:col>
      <xdr:colOff>590550</xdr:colOff>
      <xdr:row>55</xdr:row>
      <xdr:rowOff>0</xdr:rowOff>
    </xdr:from>
    <xdr:to>
      <xdr:col>14</xdr:col>
      <xdr:colOff>0</xdr:colOff>
      <xdr:row>55</xdr:row>
      <xdr:rowOff>0</xdr:rowOff>
    </xdr:to>
    <xdr:sp macro="" textlink="">
      <xdr:nvSpPr>
        <xdr:cNvPr id="52" name="Text Box 56"/>
        <xdr:cNvSpPr txBox="1">
          <a:spLocks noChangeArrowheads="1"/>
        </xdr:cNvSpPr>
      </xdr:nvSpPr>
      <xdr:spPr bwMode="auto">
        <a:xfrm>
          <a:off x="7572375" y="20031075"/>
          <a:ext cx="342900"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14</xdr:col>
      <xdr:colOff>552450</xdr:colOff>
      <xdr:row>55</xdr:row>
      <xdr:rowOff>0</xdr:rowOff>
    </xdr:from>
    <xdr:to>
      <xdr:col>15</xdr:col>
      <xdr:colOff>9525</xdr:colOff>
      <xdr:row>55</xdr:row>
      <xdr:rowOff>0</xdr:rowOff>
    </xdr:to>
    <xdr:sp macro="" textlink="">
      <xdr:nvSpPr>
        <xdr:cNvPr id="53" name="Text Box 57"/>
        <xdr:cNvSpPr txBox="1">
          <a:spLocks noChangeArrowheads="1"/>
        </xdr:cNvSpPr>
      </xdr:nvSpPr>
      <xdr:spPr bwMode="auto">
        <a:xfrm>
          <a:off x="8467725" y="20031075"/>
          <a:ext cx="295275"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16</xdr:col>
      <xdr:colOff>352425</xdr:colOff>
      <xdr:row>55</xdr:row>
      <xdr:rowOff>0</xdr:rowOff>
    </xdr:from>
    <xdr:to>
      <xdr:col>17</xdr:col>
      <xdr:colOff>0</xdr:colOff>
      <xdr:row>55</xdr:row>
      <xdr:rowOff>0</xdr:rowOff>
    </xdr:to>
    <xdr:sp macro="" textlink="">
      <xdr:nvSpPr>
        <xdr:cNvPr id="54" name="Text Box 59"/>
        <xdr:cNvSpPr txBox="1">
          <a:spLocks noChangeArrowheads="1"/>
        </xdr:cNvSpPr>
      </xdr:nvSpPr>
      <xdr:spPr bwMode="auto">
        <a:xfrm>
          <a:off x="9915525" y="20031075"/>
          <a:ext cx="266700"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a:t>
          </a:r>
          <a:r>
            <a:rPr lang="ja-JP" altLang="en-US" sz="900" b="0" i="0" strike="noStrike">
              <a:solidFill>
                <a:srgbClr val="000000"/>
              </a:solidFill>
              <a:latin typeface="ＭＳ Ｐゴシック"/>
              <a:ea typeface="ＭＳ Ｐゴシック"/>
            </a:rPr>
            <a:t>回</a:t>
          </a:r>
          <a:r>
            <a:rPr lang="en-US" altLang="ja-JP" sz="900" b="0" i="0" strike="noStrike">
              <a:solidFill>
                <a:srgbClr val="000000"/>
              </a:solidFill>
              <a:latin typeface="ＭＳ Ｐゴシック"/>
              <a:ea typeface="ＭＳ Ｐゴシック"/>
            </a:rPr>
            <a:t>)</a:t>
          </a:r>
        </a:p>
      </xdr:txBody>
    </xdr:sp>
    <xdr:clientData/>
  </xdr:twoCellAnchor>
  <xdr:twoCellAnchor>
    <xdr:from>
      <xdr:col>22</xdr:col>
      <xdr:colOff>381000</xdr:colOff>
      <xdr:row>55</xdr:row>
      <xdr:rowOff>0</xdr:rowOff>
    </xdr:from>
    <xdr:to>
      <xdr:col>22</xdr:col>
      <xdr:colOff>695325</xdr:colOff>
      <xdr:row>55</xdr:row>
      <xdr:rowOff>0</xdr:rowOff>
    </xdr:to>
    <xdr:sp macro="" textlink="">
      <xdr:nvSpPr>
        <xdr:cNvPr id="55" name="Text Box 61"/>
        <xdr:cNvSpPr txBox="1">
          <a:spLocks noChangeArrowheads="1"/>
        </xdr:cNvSpPr>
      </xdr:nvSpPr>
      <xdr:spPr bwMode="auto">
        <a:xfrm>
          <a:off x="13925550" y="20031075"/>
          <a:ext cx="314325"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1000" b="0" i="0" strike="noStrike">
              <a:solidFill>
                <a:srgbClr val="000000"/>
              </a:solidFill>
              <a:latin typeface="ＭＳ Ｐゴシック"/>
              <a:ea typeface="ＭＳ Ｐゴシック"/>
            </a:rPr>
            <a:t>(</a:t>
          </a:r>
          <a:r>
            <a:rPr lang="ja-JP" altLang="en-US" sz="1000" b="0" i="0" strike="noStrike">
              <a:solidFill>
                <a:srgbClr val="000000"/>
              </a:solidFill>
              <a:latin typeface="ＭＳ Ｐゴシック"/>
              <a:ea typeface="ＭＳ Ｐゴシック"/>
            </a:rPr>
            <a:t>回</a:t>
          </a:r>
          <a:r>
            <a:rPr lang="en-US" altLang="ja-JP" sz="1000" b="0" i="0" strike="noStrike">
              <a:solidFill>
                <a:srgbClr val="000000"/>
              </a:solidFill>
              <a:latin typeface="ＭＳ Ｐゴシック"/>
              <a:ea typeface="ＭＳ Ｐゴシック"/>
            </a:rPr>
            <a:t>)</a:t>
          </a:r>
        </a:p>
      </xdr:txBody>
    </xdr:sp>
    <xdr:clientData/>
  </xdr:twoCellAnchor>
  <xdr:twoCellAnchor>
    <xdr:from>
      <xdr:col>21</xdr:col>
      <xdr:colOff>352425</xdr:colOff>
      <xdr:row>55</xdr:row>
      <xdr:rowOff>0</xdr:rowOff>
    </xdr:from>
    <xdr:to>
      <xdr:col>21</xdr:col>
      <xdr:colOff>352425</xdr:colOff>
      <xdr:row>55</xdr:row>
      <xdr:rowOff>0</xdr:rowOff>
    </xdr:to>
    <xdr:sp macro="" textlink="">
      <xdr:nvSpPr>
        <xdr:cNvPr id="56" name="Line 63"/>
        <xdr:cNvSpPr>
          <a:spLocks noChangeShapeType="1"/>
        </xdr:cNvSpPr>
      </xdr:nvSpPr>
      <xdr:spPr bwMode="auto">
        <a:xfrm flipH="1">
          <a:off x="13173075" y="20031075"/>
          <a:ext cx="0" cy="0"/>
        </a:xfrm>
        <a:prstGeom prst="line">
          <a:avLst/>
        </a:prstGeom>
        <a:noFill/>
        <a:ln w="9525">
          <a:solidFill>
            <a:srgbClr val="000000"/>
          </a:solidFill>
          <a:round/>
          <a:headEnd/>
          <a:tailEnd/>
        </a:ln>
      </xdr:spPr>
    </xdr:sp>
    <xdr:clientData/>
  </xdr:twoCellAnchor>
  <xdr:twoCellAnchor>
    <xdr:from>
      <xdr:col>15</xdr:col>
      <xdr:colOff>590550</xdr:colOff>
      <xdr:row>55</xdr:row>
      <xdr:rowOff>0</xdr:rowOff>
    </xdr:from>
    <xdr:to>
      <xdr:col>16</xdr:col>
      <xdr:colOff>123825</xdr:colOff>
      <xdr:row>55</xdr:row>
      <xdr:rowOff>0</xdr:rowOff>
    </xdr:to>
    <xdr:sp macro="" textlink="">
      <xdr:nvSpPr>
        <xdr:cNvPr id="57" name="Text Box 64"/>
        <xdr:cNvSpPr txBox="1">
          <a:spLocks noChangeArrowheads="1"/>
        </xdr:cNvSpPr>
      </xdr:nvSpPr>
      <xdr:spPr bwMode="auto">
        <a:xfrm>
          <a:off x="9344025" y="20031075"/>
          <a:ext cx="342900"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(M)</a:t>
          </a:r>
        </a:p>
      </xdr:txBody>
    </xdr:sp>
    <xdr:clientData/>
  </xdr:twoCellAnchor>
  <xdr:twoCellAnchor>
    <xdr:from>
      <xdr:col>17</xdr:col>
      <xdr:colOff>266700</xdr:colOff>
      <xdr:row>55</xdr:row>
      <xdr:rowOff>0</xdr:rowOff>
    </xdr:from>
    <xdr:to>
      <xdr:col>18</xdr:col>
      <xdr:colOff>95250</xdr:colOff>
      <xdr:row>55</xdr:row>
      <xdr:rowOff>0</xdr:rowOff>
    </xdr:to>
    <xdr:sp macro="" textlink="">
      <xdr:nvSpPr>
        <xdr:cNvPr id="58" name="Text Box 65"/>
        <xdr:cNvSpPr txBox="1">
          <a:spLocks noChangeArrowheads="1"/>
        </xdr:cNvSpPr>
      </xdr:nvSpPr>
      <xdr:spPr bwMode="auto">
        <a:xfrm>
          <a:off x="10448925" y="20031075"/>
          <a:ext cx="447675"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18</xdr:col>
      <xdr:colOff>266700</xdr:colOff>
      <xdr:row>55</xdr:row>
      <xdr:rowOff>0</xdr:rowOff>
    </xdr:from>
    <xdr:to>
      <xdr:col>19</xdr:col>
      <xdr:colOff>57150</xdr:colOff>
      <xdr:row>55</xdr:row>
      <xdr:rowOff>0</xdr:rowOff>
    </xdr:to>
    <xdr:sp macro="" textlink="">
      <xdr:nvSpPr>
        <xdr:cNvPr id="59" name="Text Box 66"/>
        <xdr:cNvSpPr txBox="1">
          <a:spLocks noChangeArrowheads="1"/>
        </xdr:cNvSpPr>
      </xdr:nvSpPr>
      <xdr:spPr bwMode="auto">
        <a:xfrm>
          <a:off x="11068050" y="20031075"/>
          <a:ext cx="447675"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19</xdr:col>
      <xdr:colOff>266700</xdr:colOff>
      <xdr:row>55</xdr:row>
      <xdr:rowOff>0</xdr:rowOff>
    </xdr:from>
    <xdr:to>
      <xdr:col>20</xdr:col>
      <xdr:colOff>57150</xdr:colOff>
      <xdr:row>55</xdr:row>
      <xdr:rowOff>0</xdr:rowOff>
    </xdr:to>
    <xdr:sp macro="" textlink="">
      <xdr:nvSpPr>
        <xdr:cNvPr id="60" name="Text Box 67"/>
        <xdr:cNvSpPr txBox="1">
          <a:spLocks noChangeArrowheads="1"/>
        </xdr:cNvSpPr>
      </xdr:nvSpPr>
      <xdr:spPr bwMode="auto">
        <a:xfrm>
          <a:off x="11725275" y="20031075"/>
          <a:ext cx="447675"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20</xdr:col>
      <xdr:colOff>323850</xdr:colOff>
      <xdr:row>55</xdr:row>
      <xdr:rowOff>0</xdr:rowOff>
    </xdr:from>
    <xdr:to>
      <xdr:col>21</xdr:col>
      <xdr:colOff>66675</xdr:colOff>
      <xdr:row>55</xdr:row>
      <xdr:rowOff>0</xdr:rowOff>
    </xdr:to>
    <xdr:sp macro="" textlink="">
      <xdr:nvSpPr>
        <xdr:cNvPr id="61" name="Text Box 68"/>
        <xdr:cNvSpPr txBox="1">
          <a:spLocks noChangeArrowheads="1"/>
        </xdr:cNvSpPr>
      </xdr:nvSpPr>
      <xdr:spPr bwMode="auto">
        <a:xfrm>
          <a:off x="12439650" y="20031075"/>
          <a:ext cx="447675"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16</xdr:col>
      <xdr:colOff>266700</xdr:colOff>
      <xdr:row>55</xdr:row>
      <xdr:rowOff>0</xdr:rowOff>
    </xdr:from>
    <xdr:to>
      <xdr:col>17</xdr:col>
      <xdr:colOff>95250</xdr:colOff>
      <xdr:row>55</xdr:row>
      <xdr:rowOff>0</xdr:rowOff>
    </xdr:to>
    <xdr:sp macro="" textlink="">
      <xdr:nvSpPr>
        <xdr:cNvPr id="62" name="Text Box 69"/>
        <xdr:cNvSpPr txBox="1">
          <a:spLocks noChangeArrowheads="1"/>
        </xdr:cNvSpPr>
      </xdr:nvSpPr>
      <xdr:spPr bwMode="auto">
        <a:xfrm>
          <a:off x="9829800" y="20031075"/>
          <a:ext cx="447675"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22</xdr:col>
      <xdr:colOff>361950</xdr:colOff>
      <xdr:row>55</xdr:row>
      <xdr:rowOff>0</xdr:rowOff>
    </xdr:from>
    <xdr:to>
      <xdr:col>24</xdr:col>
      <xdr:colOff>9525</xdr:colOff>
      <xdr:row>55</xdr:row>
      <xdr:rowOff>0</xdr:rowOff>
    </xdr:to>
    <xdr:sp macro="" textlink="">
      <xdr:nvSpPr>
        <xdr:cNvPr id="63" name="Text Box 70"/>
        <xdr:cNvSpPr txBox="1">
          <a:spLocks noChangeArrowheads="1"/>
        </xdr:cNvSpPr>
      </xdr:nvSpPr>
      <xdr:spPr bwMode="auto">
        <a:xfrm>
          <a:off x="13906500" y="20031075"/>
          <a:ext cx="523875"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(H</a:t>
          </a:r>
          <a:r>
            <a:rPr lang="ja-JP" altLang="en-US" sz="900" b="0" i="0" strike="noStrike">
              <a:solidFill>
                <a:srgbClr val="000000"/>
              </a:solidFill>
              <a:latin typeface="ＭＳ Ｐゴシック"/>
              <a:ea typeface="ＭＳ Ｐゴシック"/>
            </a:rPr>
            <a:t>：</a:t>
          </a:r>
          <a:r>
            <a:rPr lang="en-US" altLang="ja-JP" sz="900" b="0" i="0" strike="noStrike">
              <a:solidFill>
                <a:srgbClr val="000000"/>
              </a:solidFill>
              <a:latin typeface="ＭＳ Ｐゴシック"/>
              <a:ea typeface="ＭＳ Ｐゴシック"/>
            </a:rPr>
            <a:t>M)</a:t>
          </a:r>
        </a:p>
      </xdr:txBody>
    </xdr:sp>
    <xdr:clientData/>
  </xdr:twoCellAnchor>
  <xdr:twoCellAnchor>
    <xdr:from>
      <xdr:col>5</xdr:col>
      <xdr:colOff>361950</xdr:colOff>
      <xdr:row>7</xdr:row>
      <xdr:rowOff>95250</xdr:rowOff>
    </xdr:from>
    <xdr:to>
      <xdr:col>5</xdr:col>
      <xdr:colOff>638175</xdr:colOff>
      <xdr:row>7</xdr:row>
      <xdr:rowOff>295275</xdr:rowOff>
    </xdr:to>
    <xdr:sp macro="" textlink="">
      <xdr:nvSpPr>
        <xdr:cNvPr id="64" name="Text Box 77"/>
        <xdr:cNvSpPr txBox="1">
          <a:spLocks noChangeArrowheads="1"/>
        </xdr:cNvSpPr>
      </xdr:nvSpPr>
      <xdr:spPr bwMode="auto">
        <a:xfrm>
          <a:off x="3048000" y="2019300"/>
          <a:ext cx="276225" cy="200025"/>
        </a:xfrm>
        <a:prstGeom prst="rect">
          <a:avLst/>
        </a:prstGeom>
        <a:noFill/>
        <a:ln w="9525">
          <a:noFill/>
          <a:miter lim="800000"/>
          <a:headEnd/>
          <a:tailEnd/>
        </a:ln>
      </xdr:spPr>
      <xdr:txBody>
        <a:bodyPr vertOverflow="clip" wrap="square" lIns="27432" tIns="18288" rIns="0" bIns="0" anchor="t" upright="1"/>
        <a:lstStyle/>
        <a:p>
          <a:pPr algn="l" rtl="1">
            <a:defRPr sz="1000"/>
          </a:pPr>
          <a:r>
            <a:rPr lang="ja-JP" altLang="en-US" sz="1200" b="0" i="0" strike="noStrike">
              <a:solidFill>
                <a:srgbClr val="000000"/>
              </a:solidFill>
              <a:latin typeface="ＭＳ Ｐゴシック"/>
              <a:ea typeface="ＭＳ Ｐゴシック"/>
            </a:rPr>
            <a:t>印</a:t>
          </a:r>
        </a:p>
      </xdr:txBody>
    </xdr:sp>
    <xdr:clientData/>
  </xdr:twoCellAnchor>
  <xdr:oneCellAnchor>
    <xdr:from>
      <xdr:col>6</xdr:col>
      <xdr:colOff>409575</xdr:colOff>
      <xdr:row>10</xdr:row>
      <xdr:rowOff>368284</xdr:rowOff>
    </xdr:from>
    <xdr:ext cx="2191369" cy="270330"/>
    <xdr:sp macro="" textlink="">
      <xdr:nvSpPr>
        <xdr:cNvPr id="65" name="Text Box 78"/>
        <xdr:cNvSpPr txBox="1">
          <a:spLocks noChangeArrowheads="1"/>
        </xdr:cNvSpPr>
      </xdr:nvSpPr>
      <xdr:spPr bwMode="auto">
        <a:xfrm>
          <a:off x="3762375" y="3121009"/>
          <a:ext cx="2191369" cy="270330"/>
        </a:xfrm>
        <a:prstGeom prst="rect">
          <a:avLst/>
        </a:prstGeom>
        <a:noFill/>
        <a:ln w="9525">
          <a:noFill/>
          <a:miter lim="800000"/>
          <a:headEnd/>
          <a:tailEnd/>
        </a:ln>
      </xdr:spPr>
      <xdr:txBody>
        <a:bodyPr wrap="none" lIns="18288" tIns="18288" rIns="18288" bIns="18288" anchor="ctr" upright="1">
          <a:spAutoFit/>
        </a:bodyPr>
        <a:lstStyle/>
        <a:p>
          <a:pPr algn="ctr" rtl="0">
            <a:defRPr sz="1000"/>
          </a:pPr>
          <a:r>
            <a:rPr lang="ja-JP" altLang="en-US" sz="1400" b="0" i="0" strike="noStrike">
              <a:solidFill>
                <a:srgbClr val="000000"/>
              </a:solidFill>
              <a:latin typeface="ＭＳ 明朝"/>
              <a:ea typeface="ＭＳ 明朝"/>
            </a:rPr>
            <a:t>摘　　　　　　　　　　要</a:t>
          </a:r>
        </a:p>
      </xdr:txBody>
    </xdr:sp>
    <xdr:clientData/>
  </xdr:oneCellAnchor>
  <xdr:twoCellAnchor>
    <xdr:from>
      <xdr:col>16</xdr:col>
      <xdr:colOff>352425</xdr:colOff>
      <xdr:row>46</xdr:row>
      <xdr:rowOff>28575</xdr:rowOff>
    </xdr:from>
    <xdr:to>
      <xdr:col>17</xdr:col>
      <xdr:colOff>0</xdr:colOff>
      <xdr:row>46</xdr:row>
      <xdr:rowOff>238125</xdr:rowOff>
    </xdr:to>
    <xdr:sp macro="" textlink="">
      <xdr:nvSpPr>
        <xdr:cNvPr id="66" name="Text Box 79"/>
        <xdr:cNvSpPr txBox="1">
          <a:spLocks noChangeArrowheads="1"/>
        </xdr:cNvSpPr>
      </xdr:nvSpPr>
      <xdr:spPr bwMode="auto">
        <a:xfrm>
          <a:off x="9915525" y="17954625"/>
          <a:ext cx="2667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a:t>
          </a:r>
          <a:r>
            <a:rPr lang="ja-JP" altLang="en-US" sz="900" b="0" i="0" strike="noStrike">
              <a:solidFill>
                <a:srgbClr val="000000"/>
              </a:solidFill>
              <a:latin typeface="ＭＳ Ｐゴシック"/>
              <a:ea typeface="ＭＳ Ｐゴシック"/>
            </a:rPr>
            <a:t>回</a:t>
          </a:r>
          <a:r>
            <a:rPr lang="en-US" altLang="ja-JP" sz="900" b="0" i="0" strike="noStrike">
              <a:solidFill>
                <a:srgbClr val="000000"/>
              </a:solidFill>
              <a:latin typeface="ＭＳ Ｐゴシック"/>
              <a:ea typeface="ＭＳ Ｐゴシック"/>
            </a:rPr>
            <a:t>)</a:t>
          </a:r>
        </a:p>
      </xdr:txBody>
    </xdr:sp>
    <xdr:clientData/>
  </xdr:twoCellAnchor>
  <xdr:twoCellAnchor>
    <xdr:from>
      <xdr:col>17</xdr:col>
      <xdr:colOff>0</xdr:colOff>
      <xdr:row>45</xdr:row>
      <xdr:rowOff>0</xdr:rowOff>
    </xdr:from>
    <xdr:to>
      <xdr:col>17</xdr:col>
      <xdr:colOff>457200</xdr:colOff>
      <xdr:row>47</xdr:row>
      <xdr:rowOff>0</xdr:rowOff>
    </xdr:to>
    <xdr:sp macro="" textlink="">
      <xdr:nvSpPr>
        <xdr:cNvPr id="67" name="Text Box 80"/>
        <xdr:cNvSpPr txBox="1">
          <a:spLocks noChangeArrowheads="1"/>
        </xdr:cNvSpPr>
      </xdr:nvSpPr>
      <xdr:spPr bwMode="auto">
        <a:xfrm>
          <a:off x="10182225" y="17526000"/>
          <a:ext cx="457200" cy="838200"/>
        </a:xfrm>
        <a:prstGeom prst="rect">
          <a:avLst/>
        </a:prstGeom>
        <a:solidFill>
          <a:srgbClr val="FFFFFF"/>
        </a:solidFill>
        <a:ln w="63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Ｐゴシック"/>
              <a:ea typeface="ＭＳ Ｐゴシック"/>
            </a:rPr>
            <a:t>振休</a:t>
          </a:r>
        </a:p>
        <a:p>
          <a:pPr algn="ctr" rtl="0">
            <a:defRPr sz="1000"/>
          </a:pPr>
          <a:r>
            <a:rPr lang="ja-JP" altLang="en-US" sz="1100" b="0" i="0" strike="noStrike">
              <a:solidFill>
                <a:srgbClr val="000000"/>
              </a:solidFill>
              <a:latin typeface="ＭＳ Ｐゴシック"/>
              <a:ea typeface="ＭＳ Ｐゴシック"/>
            </a:rPr>
            <a:t>控除</a:t>
          </a:r>
        </a:p>
      </xdr:txBody>
    </xdr:sp>
    <xdr:clientData/>
  </xdr:twoCellAnchor>
  <xdr:twoCellAnchor>
    <xdr:from>
      <xdr:col>22</xdr:col>
      <xdr:colOff>371475</xdr:colOff>
      <xdr:row>46</xdr:row>
      <xdr:rowOff>66675</xdr:rowOff>
    </xdr:from>
    <xdr:to>
      <xdr:col>22</xdr:col>
      <xdr:colOff>685800</xdr:colOff>
      <xdr:row>46</xdr:row>
      <xdr:rowOff>276225</xdr:rowOff>
    </xdr:to>
    <xdr:sp macro="" textlink="">
      <xdr:nvSpPr>
        <xdr:cNvPr id="68" name="Text Box 81"/>
        <xdr:cNvSpPr txBox="1">
          <a:spLocks noChangeArrowheads="1"/>
        </xdr:cNvSpPr>
      </xdr:nvSpPr>
      <xdr:spPr bwMode="auto">
        <a:xfrm>
          <a:off x="13916025" y="17992725"/>
          <a:ext cx="31432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1000" b="0" i="0" strike="noStrike">
              <a:solidFill>
                <a:srgbClr val="000000"/>
              </a:solidFill>
              <a:latin typeface="ＭＳ Ｐゴシック"/>
              <a:ea typeface="ＭＳ Ｐゴシック"/>
            </a:rPr>
            <a:t>(</a:t>
          </a:r>
          <a:r>
            <a:rPr lang="ja-JP" altLang="en-US" sz="1000" b="0" i="0" strike="noStrike">
              <a:solidFill>
                <a:srgbClr val="000000"/>
              </a:solidFill>
              <a:latin typeface="ＭＳ Ｐゴシック"/>
              <a:ea typeface="ＭＳ Ｐゴシック"/>
            </a:rPr>
            <a:t>回</a:t>
          </a:r>
          <a:r>
            <a:rPr lang="en-US" altLang="ja-JP" sz="1000" b="0" i="0" strike="noStrike">
              <a:solidFill>
                <a:srgbClr val="000000"/>
              </a:solidFill>
              <a:latin typeface="ＭＳ Ｐゴシック"/>
              <a:ea typeface="ＭＳ Ｐゴシック"/>
            </a:rPr>
            <a:t>)</a:t>
          </a:r>
        </a:p>
      </xdr:txBody>
    </xdr:sp>
    <xdr:clientData/>
  </xdr:twoCellAnchor>
  <xdr:twoCellAnchor>
    <xdr:from>
      <xdr:col>16</xdr:col>
      <xdr:colOff>352425</xdr:colOff>
      <xdr:row>46</xdr:row>
      <xdr:rowOff>28575</xdr:rowOff>
    </xdr:from>
    <xdr:to>
      <xdr:col>17</xdr:col>
      <xdr:colOff>0</xdr:colOff>
      <xdr:row>46</xdr:row>
      <xdr:rowOff>238125</xdr:rowOff>
    </xdr:to>
    <xdr:sp macro="" textlink="">
      <xdr:nvSpPr>
        <xdr:cNvPr id="69" name="Text Box 82"/>
        <xdr:cNvSpPr txBox="1">
          <a:spLocks noChangeArrowheads="1"/>
        </xdr:cNvSpPr>
      </xdr:nvSpPr>
      <xdr:spPr bwMode="auto">
        <a:xfrm>
          <a:off x="9915525" y="17954625"/>
          <a:ext cx="266700"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900" b="0" i="0" strike="noStrike">
              <a:solidFill>
                <a:srgbClr val="000000"/>
              </a:solidFill>
              <a:latin typeface="ＭＳ Ｐゴシック"/>
              <a:ea typeface="ＭＳ Ｐゴシック"/>
            </a:rPr>
            <a:t>(</a:t>
          </a:r>
          <a:r>
            <a:rPr lang="ja-JP" altLang="en-US" sz="900" b="0" i="0" strike="noStrike">
              <a:solidFill>
                <a:srgbClr val="000000"/>
              </a:solidFill>
              <a:latin typeface="ＭＳ Ｐゴシック"/>
              <a:ea typeface="ＭＳ Ｐゴシック"/>
            </a:rPr>
            <a:t>回</a:t>
          </a:r>
          <a:r>
            <a:rPr lang="en-US" altLang="ja-JP" sz="900" b="0" i="0" strike="noStrike">
              <a:solidFill>
                <a:srgbClr val="000000"/>
              </a:solidFill>
              <a:latin typeface="ＭＳ Ｐゴシック"/>
              <a:ea typeface="ＭＳ Ｐゴシック"/>
            </a:rPr>
            <a:t>)</a:t>
          </a:r>
        </a:p>
      </xdr:txBody>
    </xdr:sp>
    <xdr:clientData/>
  </xdr:twoCellAnchor>
  <xdr:twoCellAnchor>
    <xdr:from>
      <xdr:col>17</xdr:col>
      <xdr:colOff>0</xdr:colOff>
      <xdr:row>45</xdr:row>
      <xdr:rowOff>0</xdr:rowOff>
    </xdr:from>
    <xdr:to>
      <xdr:col>17</xdr:col>
      <xdr:colOff>457200</xdr:colOff>
      <xdr:row>47</xdr:row>
      <xdr:rowOff>0</xdr:rowOff>
    </xdr:to>
    <xdr:sp macro="" textlink="">
      <xdr:nvSpPr>
        <xdr:cNvPr id="70" name="Text Box 83"/>
        <xdr:cNvSpPr txBox="1">
          <a:spLocks noChangeArrowheads="1"/>
        </xdr:cNvSpPr>
      </xdr:nvSpPr>
      <xdr:spPr bwMode="auto">
        <a:xfrm>
          <a:off x="10182225" y="17526000"/>
          <a:ext cx="457200" cy="838200"/>
        </a:xfrm>
        <a:prstGeom prst="rect">
          <a:avLst/>
        </a:prstGeom>
        <a:solidFill>
          <a:srgbClr val="FFFFFF"/>
        </a:solidFill>
        <a:ln w="63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strike="noStrike">
              <a:solidFill>
                <a:srgbClr val="000000"/>
              </a:solidFill>
              <a:latin typeface="ＭＳ Ｐゴシック"/>
              <a:ea typeface="ＭＳ Ｐゴシック"/>
            </a:rPr>
            <a:t>振休</a:t>
          </a:r>
        </a:p>
        <a:p>
          <a:pPr algn="ctr" rtl="0">
            <a:defRPr sz="1000"/>
          </a:pPr>
          <a:r>
            <a:rPr lang="ja-JP" altLang="en-US" sz="1100" b="0" i="0" strike="noStrike">
              <a:solidFill>
                <a:srgbClr val="000000"/>
              </a:solidFill>
              <a:latin typeface="ＭＳ Ｐゴシック"/>
              <a:ea typeface="ＭＳ Ｐゴシック"/>
            </a:rPr>
            <a:t>控除</a:t>
          </a:r>
        </a:p>
      </xdr:txBody>
    </xdr:sp>
    <xdr:clientData/>
  </xdr:twoCellAnchor>
  <xdr:twoCellAnchor>
    <xdr:from>
      <xdr:col>22</xdr:col>
      <xdr:colOff>371475</xdr:colOff>
      <xdr:row>46</xdr:row>
      <xdr:rowOff>66675</xdr:rowOff>
    </xdr:from>
    <xdr:to>
      <xdr:col>22</xdr:col>
      <xdr:colOff>685800</xdr:colOff>
      <xdr:row>46</xdr:row>
      <xdr:rowOff>276225</xdr:rowOff>
    </xdr:to>
    <xdr:sp macro="" textlink="">
      <xdr:nvSpPr>
        <xdr:cNvPr id="71" name="Text Box 84"/>
        <xdr:cNvSpPr txBox="1">
          <a:spLocks noChangeArrowheads="1"/>
        </xdr:cNvSpPr>
      </xdr:nvSpPr>
      <xdr:spPr bwMode="auto">
        <a:xfrm>
          <a:off x="13916025" y="17992725"/>
          <a:ext cx="314325" cy="20955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1000" b="0" i="0" strike="noStrike">
              <a:solidFill>
                <a:srgbClr val="000000"/>
              </a:solidFill>
              <a:latin typeface="ＭＳ Ｐゴシック"/>
              <a:ea typeface="ＭＳ Ｐゴシック"/>
            </a:rPr>
            <a:t>(</a:t>
          </a:r>
          <a:r>
            <a:rPr lang="ja-JP" altLang="en-US" sz="1000" b="0" i="0" strike="noStrike">
              <a:solidFill>
                <a:srgbClr val="000000"/>
              </a:solidFill>
              <a:latin typeface="ＭＳ Ｐゴシック"/>
              <a:ea typeface="ＭＳ Ｐゴシック"/>
            </a:rPr>
            <a:t>回</a:t>
          </a:r>
          <a:r>
            <a:rPr lang="en-US" altLang="ja-JP" sz="1000" b="0" i="0" strike="noStrike">
              <a:solidFill>
                <a:srgbClr val="000000"/>
              </a:solidFill>
              <a:latin typeface="ＭＳ Ｐゴシック"/>
              <a:ea typeface="ＭＳ Ｐゴシック"/>
            </a:rPr>
            <a:t>)</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43</xdr:col>
      <xdr:colOff>0</xdr:colOff>
      <xdr:row>0</xdr:row>
      <xdr:rowOff>57150</xdr:rowOff>
    </xdr:from>
    <xdr:ext cx="3918445" cy="325730"/>
    <xdr:sp macro="" textlink="">
      <xdr:nvSpPr>
        <xdr:cNvPr id="2" name="テキスト ボックス 1"/>
        <xdr:cNvSpPr txBox="1"/>
      </xdr:nvSpPr>
      <xdr:spPr>
        <a:xfrm>
          <a:off x="6696075" y="57150"/>
          <a:ext cx="3918445" cy="32573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wrap="none" rtlCol="0" anchor="t">
          <a:spAutoFit/>
        </a:bodyPr>
        <a:lstStyle/>
        <a:p>
          <a:r>
            <a:rPr kumimoji="1" lang="ja-JP" altLang="en-US" sz="1400" b="1" cap="none" spc="0">
              <a:ln>
                <a:noFill/>
              </a:ln>
              <a:solidFill>
                <a:srgbClr val="FF0000"/>
              </a:solidFill>
              <a:effectLst/>
              <a:latin typeface="ＭＳ ゴシック" pitchFamily="49" charset="-128"/>
              <a:ea typeface="ＭＳ ゴシック" pitchFamily="49" charset="-128"/>
            </a:rPr>
            <a:t>記入見本　</a:t>
          </a:r>
          <a:r>
            <a:rPr kumimoji="1" lang="ja-JP" altLang="en-US" sz="1000" b="0" cap="none" spc="0">
              <a:ln>
                <a:noFill/>
              </a:ln>
              <a:solidFill>
                <a:srgbClr val="FF0000"/>
              </a:solidFill>
              <a:effectLst/>
              <a:latin typeface="ＭＳ ゴシック" pitchFamily="49" charset="-128"/>
              <a:ea typeface="ＭＳ ゴシック" pitchFamily="49" charset="-128"/>
            </a:rPr>
            <a:t>（印刷する場合は印刷範囲を変更して下さい）</a:t>
          </a:r>
        </a:p>
      </xdr:txBody>
    </xdr:sp>
    <xdr:clientData/>
  </xdr:oneCellAnchor>
  <xdr:twoCellAnchor editAs="oneCell">
    <xdr:from>
      <xdr:col>31</xdr:col>
      <xdr:colOff>38100</xdr:colOff>
      <xdr:row>36</xdr:row>
      <xdr:rowOff>266700</xdr:rowOff>
    </xdr:from>
    <xdr:to>
      <xdr:col>33</xdr:col>
      <xdr:colOff>133350</xdr:colOff>
      <xdr:row>38</xdr:row>
      <xdr:rowOff>52913</xdr:rowOff>
    </xdr:to>
    <xdr:pic>
      <xdr:nvPicPr>
        <xdr:cNvPr id="4" name="Picture 5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98" t="-798"/>
        <a:stretch>
          <a:fillRect/>
        </a:stretch>
      </xdr:blipFill>
      <xdr:spPr bwMode="auto">
        <a:xfrm>
          <a:off x="4857750" y="9153525"/>
          <a:ext cx="400050" cy="3958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95250</xdr:colOff>
      <xdr:row>8</xdr:row>
      <xdr:rowOff>152400</xdr:rowOff>
    </xdr:from>
    <xdr:to>
      <xdr:col>42</xdr:col>
      <xdr:colOff>38100</xdr:colOff>
      <xdr:row>10</xdr:row>
      <xdr:rowOff>110067</xdr:rowOff>
    </xdr:to>
    <xdr:pic>
      <xdr:nvPicPr>
        <xdr:cNvPr id="5" name="図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1700" y="1981200"/>
          <a:ext cx="552450" cy="56726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5</xdr:col>
      <xdr:colOff>1181100</xdr:colOff>
      <xdr:row>6</xdr:row>
      <xdr:rowOff>19050</xdr:rowOff>
    </xdr:from>
    <xdr:ext cx="172355" cy="218586"/>
    <xdr:sp macro="" textlink="">
      <xdr:nvSpPr>
        <xdr:cNvPr id="12" name="Text Box 3"/>
        <xdr:cNvSpPr txBox="1">
          <a:spLocks noChangeArrowheads="1"/>
        </xdr:cNvSpPr>
      </xdr:nvSpPr>
      <xdr:spPr bwMode="auto">
        <a:xfrm>
          <a:off x="4867275" y="828675"/>
          <a:ext cx="172355" cy="218586"/>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200" b="0" i="0" strike="noStrike">
              <a:solidFill>
                <a:srgbClr val="000000"/>
              </a:solidFill>
              <a:latin typeface="ＭＳ Ｐ明朝"/>
              <a:ea typeface="ＭＳ Ｐ明朝"/>
            </a:rPr>
            <a:t>年</a:t>
          </a:r>
        </a:p>
      </xdr:txBody>
    </xdr:sp>
    <xdr:clientData/>
  </xdr:oneCellAnchor>
  <xdr:twoCellAnchor editAs="oneCell">
    <xdr:from>
      <xdr:col>6</xdr:col>
      <xdr:colOff>800100</xdr:colOff>
      <xdr:row>6</xdr:row>
      <xdr:rowOff>9525</xdr:rowOff>
    </xdr:from>
    <xdr:to>
      <xdr:col>7</xdr:col>
      <xdr:colOff>361950</xdr:colOff>
      <xdr:row>8</xdr:row>
      <xdr:rowOff>66675</xdr:rowOff>
    </xdr:to>
    <xdr:sp macro="" textlink="">
      <xdr:nvSpPr>
        <xdr:cNvPr id="13" name="Text Box 4"/>
        <xdr:cNvSpPr txBox="1">
          <a:spLocks noChangeArrowheads="1"/>
        </xdr:cNvSpPr>
      </xdr:nvSpPr>
      <xdr:spPr bwMode="auto">
        <a:xfrm>
          <a:off x="5791200" y="819150"/>
          <a:ext cx="866775" cy="2667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200" b="0" i="0" strike="noStrike">
              <a:solidFill>
                <a:srgbClr val="000000"/>
              </a:solidFill>
              <a:latin typeface="ＭＳ Ｐ明朝"/>
              <a:ea typeface="ＭＳ Ｐ明朝"/>
            </a:rPr>
            <a:t>月分</a:t>
          </a:r>
        </a:p>
      </xdr:txBody>
    </xdr:sp>
    <xdr:clientData/>
  </xdr:twoCellAnchor>
  <mc:AlternateContent xmlns:mc="http://schemas.openxmlformats.org/markup-compatibility/2006">
    <mc:Choice xmlns:a14="http://schemas.microsoft.com/office/drawing/2010/main" Requires="a14">
      <xdr:twoCellAnchor editAs="oneCell">
        <xdr:from>
          <xdr:col>1</xdr:col>
          <xdr:colOff>76200</xdr:colOff>
          <xdr:row>47</xdr:row>
          <xdr:rowOff>66675</xdr:rowOff>
        </xdr:from>
        <xdr:to>
          <xdr:col>3</xdr:col>
          <xdr:colOff>904875</xdr:colOff>
          <xdr:row>47</xdr:row>
          <xdr:rowOff>447675</xdr:rowOff>
        </xdr:to>
        <xdr:sp macro="" textlink="">
          <xdr:nvSpPr>
            <xdr:cNvPr id="11265" name="Group Box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就業単位</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47</xdr:row>
          <xdr:rowOff>171450</xdr:rowOff>
        </xdr:from>
        <xdr:to>
          <xdr:col>3</xdr:col>
          <xdr:colOff>9525</xdr:colOff>
          <xdr:row>47</xdr:row>
          <xdr:rowOff>381000</xdr:rowOff>
        </xdr:to>
        <xdr:sp macro="" textlink="">
          <xdr:nvSpPr>
            <xdr:cNvPr id="11266" name="Option Button 2" hidden="1">
              <a:extLst>
                <a:ext uri="{63B3BB69-23CF-44E3-9099-C40C66FF867C}">
                  <a14:compatExt spid="_x0000_s11266"/>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１５分</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171450</xdr:rowOff>
        </xdr:from>
        <xdr:to>
          <xdr:col>3</xdr:col>
          <xdr:colOff>762000</xdr:colOff>
          <xdr:row>47</xdr:row>
          <xdr:rowOff>381000</xdr:rowOff>
        </xdr:to>
        <xdr:sp macro="" textlink="">
          <xdr:nvSpPr>
            <xdr:cNvPr id="11267" name="Option Button 3" hidden="1">
              <a:extLst>
                <a:ext uri="{63B3BB69-23CF-44E3-9099-C40C66FF867C}">
                  <a14:compatExt spid="_x0000_s11267"/>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３０分</a:t>
              </a:r>
            </a:p>
          </xdr:txBody>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33</xdr:col>
      <xdr:colOff>66675</xdr:colOff>
      <xdr:row>56</xdr:row>
      <xdr:rowOff>76200</xdr:rowOff>
    </xdr:from>
    <xdr:to>
      <xdr:col>45</xdr:col>
      <xdr:colOff>9525</xdr:colOff>
      <xdr:row>60</xdr:row>
      <xdr:rowOff>257175</xdr:rowOff>
    </xdr:to>
    <xdr:grpSp>
      <xdr:nvGrpSpPr>
        <xdr:cNvPr id="19476" name="Group 11"/>
        <xdr:cNvGrpSpPr>
          <a:grpSpLocks/>
        </xdr:cNvGrpSpPr>
      </xdr:nvGrpSpPr>
      <xdr:grpSpPr bwMode="auto">
        <a:xfrm>
          <a:off x="6086475" y="11811000"/>
          <a:ext cx="2000250" cy="904875"/>
          <a:chOff x="631" y="1187"/>
          <a:chExt cx="210" cy="89"/>
        </a:xfrm>
      </xdr:grpSpPr>
      <xdr:sp macro="" textlink="">
        <xdr:nvSpPr>
          <xdr:cNvPr id="19457" name="Text Box 1"/>
          <xdr:cNvSpPr txBox="1">
            <a:spLocks noChangeArrowheads="1"/>
          </xdr:cNvSpPr>
        </xdr:nvSpPr>
        <xdr:spPr bwMode="auto">
          <a:xfrm>
            <a:off x="823" y="1191"/>
            <a:ext cx="18" cy="19"/>
          </a:xfrm>
          <a:prstGeom prst="rect">
            <a:avLst/>
          </a:prstGeom>
          <a:noFill/>
          <a:ln w="9525">
            <a:noFill/>
            <a:miter lim="800000"/>
            <a:headEnd/>
            <a:tailEnd/>
          </a:ln>
        </xdr:spPr>
        <xdr:txBody>
          <a:bodyPr wrap="none" lIns="27432" tIns="18288" rIns="27432" bIns="18288" anchor="ctr" upright="1">
            <a:spAutoFit/>
          </a:bodyPr>
          <a:lstStyle/>
          <a:p>
            <a:pPr algn="ctr" rtl="1">
              <a:defRPr sz="1000"/>
            </a:pPr>
            <a:r>
              <a:rPr lang="ja-JP" altLang="en-US" sz="900" b="0" i="0" strike="noStrike">
                <a:solidFill>
                  <a:srgbClr val="000000"/>
                </a:solidFill>
                <a:latin typeface="ＭＳ 明朝"/>
                <a:ea typeface="ＭＳ 明朝"/>
              </a:rPr>
              <a:t>印</a:t>
            </a:r>
          </a:p>
        </xdr:txBody>
      </xdr:sp>
      <xdr:sp macro="" textlink="">
        <xdr:nvSpPr>
          <xdr:cNvPr id="19462" name="Text Box 6"/>
          <xdr:cNvSpPr txBox="1">
            <a:spLocks noChangeArrowheads="1"/>
          </xdr:cNvSpPr>
        </xdr:nvSpPr>
        <xdr:spPr bwMode="auto">
          <a:xfrm>
            <a:off x="631" y="1187"/>
            <a:ext cx="28" cy="19"/>
          </a:xfrm>
          <a:prstGeom prst="rect">
            <a:avLst/>
          </a:prstGeom>
          <a:noFill/>
          <a:ln w="9525">
            <a:noFill/>
            <a:miter lim="800000"/>
            <a:headEnd/>
            <a:tailEnd/>
          </a:ln>
        </xdr:spPr>
        <xdr:txBody>
          <a:bodyPr wrap="none" lIns="18288" tIns="18288" rIns="18288" bIns="18288" anchor="ctr" upright="1">
            <a:spAutoFit/>
          </a:bodyPr>
          <a:lstStyle/>
          <a:p>
            <a:pPr algn="ctr" rtl="1">
              <a:defRPr sz="1000"/>
            </a:pPr>
            <a:r>
              <a:rPr lang="ja-JP" altLang="en-US" sz="900" b="0" i="0" strike="noStrike">
                <a:solidFill>
                  <a:srgbClr val="000000"/>
                </a:solidFill>
                <a:latin typeface="ＭＳ 明朝"/>
                <a:ea typeface="ＭＳ 明朝"/>
              </a:rPr>
              <a:t>氏名</a:t>
            </a:r>
          </a:p>
        </xdr:txBody>
      </xdr:sp>
      <xdr:sp macro="" textlink="">
        <xdr:nvSpPr>
          <xdr:cNvPr id="19464" name="Text Box 8"/>
          <xdr:cNvSpPr txBox="1">
            <a:spLocks noChangeArrowheads="1"/>
          </xdr:cNvSpPr>
        </xdr:nvSpPr>
        <xdr:spPr bwMode="auto">
          <a:xfrm>
            <a:off x="631" y="1257"/>
            <a:ext cx="28" cy="19"/>
          </a:xfrm>
          <a:prstGeom prst="rect">
            <a:avLst/>
          </a:prstGeom>
          <a:noFill/>
          <a:ln w="9525">
            <a:noFill/>
            <a:miter lim="800000"/>
            <a:headEnd/>
            <a:tailEnd/>
          </a:ln>
        </xdr:spPr>
        <xdr:txBody>
          <a:bodyPr wrap="none" lIns="18288" tIns="18288" rIns="18288" bIns="18288" anchor="ctr" upright="1">
            <a:spAutoFit/>
          </a:bodyPr>
          <a:lstStyle/>
          <a:p>
            <a:pPr algn="ctr" rtl="1">
              <a:defRPr sz="1000"/>
            </a:pPr>
            <a:r>
              <a:rPr lang="ja-JP" altLang="en-US" sz="900" b="0" i="0" strike="noStrike">
                <a:solidFill>
                  <a:srgbClr val="000000"/>
                </a:solidFill>
                <a:latin typeface="ＭＳ 明朝"/>
                <a:ea typeface="ＭＳ 明朝"/>
              </a:rPr>
              <a:t>氏名</a:t>
            </a:r>
          </a:p>
        </xdr:txBody>
      </xdr:sp>
    </xdr:grpSp>
    <xdr:clientData/>
  </xdr:twoCellAnchor>
  <xdr:twoCellAnchor>
    <xdr:from>
      <xdr:col>46</xdr:col>
      <xdr:colOff>57150</xdr:colOff>
      <xdr:row>15</xdr:row>
      <xdr:rowOff>0</xdr:rowOff>
    </xdr:from>
    <xdr:to>
      <xdr:col>74</xdr:col>
      <xdr:colOff>0</xdr:colOff>
      <xdr:row>20</xdr:row>
      <xdr:rowOff>295274</xdr:rowOff>
    </xdr:to>
    <xdr:sp macro="" textlink="">
      <xdr:nvSpPr>
        <xdr:cNvPr id="6" name="テキスト ボックス 5"/>
        <xdr:cNvSpPr txBox="1"/>
      </xdr:nvSpPr>
      <xdr:spPr>
        <a:xfrm>
          <a:off x="8305800" y="2743200"/>
          <a:ext cx="5381625" cy="1038224"/>
        </a:xfrm>
        <a:prstGeom prst="rect">
          <a:avLst/>
        </a:prstGeom>
        <a:solidFill>
          <a:schemeClr val="lt1"/>
        </a:solidFill>
        <a:ln w="28575" cmpd="sng">
          <a:solidFill>
            <a:srgbClr val="0000FF"/>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b="1">
              <a:solidFill>
                <a:srgbClr val="FF0000"/>
              </a:solidFill>
              <a:latin typeface="HG丸ｺﾞｼｯｸM-PRO" panose="020F0600000000000000" pitchFamily="50" charset="-128"/>
              <a:ea typeface="HG丸ｺﾞｼｯｸM-PRO" panose="020F0600000000000000" pitchFamily="50" charset="-128"/>
              <a:cs typeface="+mn-cs"/>
            </a:rPr>
            <a:t>★注意★</a:t>
          </a:r>
          <a:r>
            <a:rPr kumimoji="1" lang="ja-JP" altLang="ja-JP" sz="1100">
              <a:solidFill>
                <a:srgbClr val="FF0000"/>
              </a:solidFill>
              <a:latin typeface="HG丸ｺﾞｼｯｸM-PRO" panose="020F0600000000000000" pitchFamily="50" charset="-128"/>
              <a:ea typeface="HG丸ｺﾞｼｯｸM-PRO" panose="020F0600000000000000" pitchFamily="50" charset="-128"/>
              <a:cs typeface="+mn-cs"/>
            </a:rPr>
            <a:t>　</a:t>
          </a:r>
          <a:r>
            <a:rPr kumimoji="1" lang="en-US" altLang="ja-JP" sz="1100">
              <a:solidFill>
                <a:srgbClr val="FF0000"/>
              </a:solidFill>
              <a:latin typeface="HG丸ｺﾞｼｯｸM-PRO" panose="020F0600000000000000" pitchFamily="50" charset="-128"/>
              <a:ea typeface="HG丸ｺﾞｼｯｸM-PRO" panose="020F0600000000000000" pitchFamily="50" charset="-128"/>
              <a:cs typeface="+mn-cs"/>
            </a:rPr>
            <a:t>                                                     </a:t>
          </a:r>
          <a:r>
            <a:rPr kumimoji="1" lang="ja-JP" altLang="ja-JP" sz="1100">
              <a:solidFill>
                <a:schemeClr val="dk1"/>
              </a:solidFill>
              <a:latin typeface="HG丸ｺﾞｼｯｸM-PRO" panose="020F0600000000000000" pitchFamily="50" charset="-128"/>
              <a:ea typeface="HG丸ｺﾞｼｯｸM-PRO" panose="020F0600000000000000" pitchFamily="50" charset="-128"/>
              <a:cs typeface="+mn-cs"/>
            </a:rPr>
            <a:t>　　　　　　　　　　　　　　　　　　　　　　　　　　　</a:t>
          </a:r>
          <a:r>
            <a:rPr kumimoji="1" lang="ja-JP" altLang="en-US" sz="1100">
              <a:solidFill>
                <a:schemeClr val="dk1"/>
              </a:solidFill>
              <a:latin typeface="HG丸ｺﾞｼｯｸM-PRO" panose="020F0600000000000000" pitchFamily="50" charset="-128"/>
              <a:ea typeface="HG丸ｺﾞｼｯｸM-PRO" panose="020F0600000000000000" pitchFamily="50" charset="-128"/>
              <a:cs typeface="+mn-cs"/>
            </a:rPr>
            <a:t>　　　　　　　</a:t>
          </a:r>
          <a:r>
            <a:rPr kumimoji="1" lang="ja-JP" altLang="ja-JP" sz="1100">
              <a:solidFill>
                <a:schemeClr val="dk1"/>
              </a:solidFill>
              <a:latin typeface="HG丸ｺﾞｼｯｸM-PRO" panose="020F0600000000000000" pitchFamily="50" charset="-128"/>
              <a:ea typeface="HG丸ｺﾞｼｯｸM-PRO" panose="020F0600000000000000" pitchFamily="50" charset="-128"/>
              <a:cs typeface="+mn-cs"/>
            </a:rPr>
            <a:t>　　稼働</a:t>
          </a:r>
          <a:r>
            <a:rPr kumimoji="1" lang="ja-JP" altLang="en-US" sz="1100">
              <a:solidFill>
                <a:schemeClr val="dk1"/>
              </a:solidFill>
              <a:latin typeface="HG丸ｺﾞｼｯｸM-PRO" panose="020F0600000000000000" pitchFamily="50" charset="-128"/>
              <a:ea typeface="HG丸ｺﾞｼｯｸM-PRO" panose="020F0600000000000000" pitchFamily="50" charset="-128"/>
              <a:cs typeface="+mn-cs"/>
            </a:rPr>
            <a:t>６</a:t>
          </a:r>
          <a:r>
            <a:rPr kumimoji="1" lang="ja-JP" altLang="ja-JP" sz="1100">
              <a:solidFill>
                <a:schemeClr val="dk1"/>
              </a:solidFill>
              <a:latin typeface="HG丸ｺﾞｼｯｸM-PRO" panose="020F0600000000000000" pitchFamily="50" charset="-128"/>
              <a:ea typeface="HG丸ｺﾞｼｯｸM-PRO" panose="020F0600000000000000" pitchFamily="50" charset="-128"/>
              <a:cs typeface="+mn-cs"/>
            </a:rPr>
            <a:t>時間超こえる時は少なくとも</a:t>
          </a:r>
          <a:r>
            <a:rPr kumimoji="1" lang="ja-JP" altLang="ja-JP" sz="1100" u="sng">
              <a:solidFill>
                <a:schemeClr val="dk1"/>
              </a:solidFill>
              <a:latin typeface="HG丸ｺﾞｼｯｸM-PRO" panose="020F0600000000000000" pitchFamily="50" charset="-128"/>
              <a:ea typeface="HG丸ｺﾞｼｯｸM-PRO" panose="020F0600000000000000" pitchFamily="50" charset="-128"/>
              <a:cs typeface="+mn-cs"/>
            </a:rPr>
            <a:t>休憩</a:t>
          </a:r>
          <a:r>
            <a:rPr kumimoji="1" lang="ja-JP" altLang="en-US" sz="1100" u="sng">
              <a:solidFill>
                <a:schemeClr val="dk1"/>
              </a:solidFill>
              <a:latin typeface="HG丸ｺﾞｼｯｸM-PRO" panose="020F0600000000000000" pitchFamily="50" charset="-128"/>
              <a:ea typeface="HG丸ｺﾞｼｯｸM-PRO" panose="020F0600000000000000" pitchFamily="50" charset="-128"/>
              <a:cs typeface="+mn-cs"/>
            </a:rPr>
            <a:t>４５</a:t>
          </a:r>
          <a:r>
            <a:rPr kumimoji="1" lang="ja-JP" altLang="ja-JP" sz="1100" u="sng">
              <a:solidFill>
                <a:schemeClr val="dk1"/>
              </a:solidFill>
              <a:latin typeface="HG丸ｺﾞｼｯｸM-PRO" panose="020F0600000000000000" pitchFamily="50" charset="-128"/>
              <a:ea typeface="HG丸ｺﾞｼｯｸM-PRO" panose="020F0600000000000000" pitchFamily="50" charset="-128"/>
              <a:cs typeface="+mn-cs"/>
            </a:rPr>
            <a:t>分</a:t>
          </a:r>
          <a:r>
            <a:rPr kumimoji="1" lang="ja-JP" altLang="en-US" sz="1100" u="sng">
              <a:solidFill>
                <a:schemeClr val="dk1"/>
              </a:solidFill>
              <a:latin typeface="HG丸ｺﾞｼｯｸM-PRO" panose="020F0600000000000000" pitchFamily="50" charset="-128"/>
              <a:ea typeface="HG丸ｺﾞｼｯｸM-PRO" panose="020F0600000000000000" pitchFamily="50" charset="-128"/>
              <a:cs typeface="+mn-cs"/>
            </a:rPr>
            <a:t>以上</a:t>
          </a:r>
          <a:r>
            <a:rPr kumimoji="1" lang="ja-JP" altLang="en-US" sz="1100">
              <a:solidFill>
                <a:schemeClr val="dk1"/>
              </a:solidFill>
              <a:latin typeface="HG丸ｺﾞｼｯｸM-PRO" panose="020F0600000000000000" pitchFamily="50" charset="-128"/>
              <a:ea typeface="HG丸ｺﾞｼｯｸM-PRO" panose="020F0600000000000000" pitchFamily="50" charset="-128"/>
              <a:cs typeface="+mn-cs"/>
            </a:rPr>
            <a:t>の休憩が</a:t>
          </a:r>
          <a:r>
            <a:rPr kumimoji="1" lang="ja-JP" altLang="en-US" sz="1100">
              <a:solidFill>
                <a:sysClr val="windowText" lastClr="000000"/>
              </a:solidFill>
              <a:latin typeface="HG丸ｺﾞｼｯｸM-PRO" panose="020F0600000000000000" pitchFamily="50" charset="-128"/>
              <a:ea typeface="HG丸ｺﾞｼｯｸM-PRO" panose="020F0600000000000000" pitchFamily="50" charset="-128"/>
              <a:cs typeface="+mn-cs"/>
            </a:rPr>
            <a:t>必</a:t>
          </a:r>
          <a:r>
            <a:rPr kumimoji="1" lang="ja-JP" altLang="en-US" sz="1100">
              <a:solidFill>
                <a:schemeClr val="dk1"/>
              </a:solidFill>
              <a:latin typeface="HG丸ｺﾞｼｯｸM-PRO" panose="020F0600000000000000" pitchFamily="50" charset="-128"/>
              <a:ea typeface="HG丸ｺﾞｼｯｸM-PRO" panose="020F0600000000000000" pitchFamily="50" charset="-128"/>
              <a:cs typeface="+mn-cs"/>
            </a:rPr>
            <a:t>要　　　　　　　　　　　　　　　　　稼働８</a:t>
          </a:r>
          <a:r>
            <a:rPr kumimoji="1" lang="ja-JP" altLang="ja-JP" sz="1100">
              <a:solidFill>
                <a:schemeClr val="dk1"/>
              </a:solidFill>
              <a:latin typeface="HG丸ｺﾞｼｯｸM-PRO" panose="020F0600000000000000" pitchFamily="50" charset="-128"/>
              <a:ea typeface="HG丸ｺﾞｼｯｸM-PRO" panose="020F0600000000000000" pitchFamily="50" charset="-128"/>
              <a:cs typeface="+mn-cs"/>
            </a:rPr>
            <a:t>時間超える時は少なくとも</a:t>
          </a:r>
          <a:r>
            <a:rPr kumimoji="1" lang="ja-JP" altLang="ja-JP" sz="1100" u="sng">
              <a:solidFill>
                <a:schemeClr val="dk1"/>
              </a:solidFill>
              <a:latin typeface="HG丸ｺﾞｼｯｸM-PRO" panose="020F0600000000000000" pitchFamily="50" charset="-128"/>
              <a:ea typeface="HG丸ｺﾞｼｯｸM-PRO" panose="020F0600000000000000" pitchFamily="50" charset="-128"/>
              <a:cs typeface="+mn-cs"/>
            </a:rPr>
            <a:t>休憩</a:t>
          </a:r>
          <a:r>
            <a:rPr kumimoji="1" lang="ja-JP" altLang="en-US" sz="1100" u="sng">
              <a:solidFill>
                <a:schemeClr val="dk1"/>
              </a:solidFill>
              <a:latin typeface="HG丸ｺﾞｼｯｸM-PRO" panose="020F0600000000000000" pitchFamily="50" charset="-128"/>
              <a:ea typeface="HG丸ｺﾞｼｯｸM-PRO" panose="020F0600000000000000" pitchFamily="50" charset="-128"/>
              <a:cs typeface="+mn-cs"/>
            </a:rPr>
            <a:t>１</a:t>
          </a:r>
          <a:r>
            <a:rPr kumimoji="1" lang="ja-JP" altLang="ja-JP" sz="1100" u="sng">
              <a:solidFill>
                <a:schemeClr val="dk1"/>
              </a:solidFill>
              <a:latin typeface="HG丸ｺﾞｼｯｸM-PRO" panose="020F0600000000000000" pitchFamily="50" charset="-128"/>
              <a:ea typeface="HG丸ｺﾞｼｯｸM-PRO" panose="020F0600000000000000" pitchFamily="50" charset="-128"/>
              <a:cs typeface="+mn-cs"/>
            </a:rPr>
            <a:t>時間以上</a:t>
          </a:r>
          <a:r>
            <a:rPr kumimoji="1" lang="ja-JP" altLang="ja-JP" sz="1100">
              <a:solidFill>
                <a:schemeClr val="dk1"/>
              </a:solidFill>
              <a:latin typeface="HG丸ｺﾞｼｯｸM-PRO" panose="020F0600000000000000" pitchFamily="50" charset="-128"/>
              <a:ea typeface="HG丸ｺﾞｼｯｸM-PRO" panose="020F0600000000000000" pitchFamily="50" charset="-128"/>
              <a:cs typeface="+mn-cs"/>
            </a:rPr>
            <a:t>の休憩が必要　</a:t>
          </a:r>
          <a:r>
            <a:rPr kumimoji="1" lang="ja-JP" altLang="en-US" sz="1100">
              <a:solidFill>
                <a:schemeClr val="dk1"/>
              </a:solidFill>
              <a:latin typeface="HG丸ｺﾞｼｯｸM-PRO" panose="020F0600000000000000" pitchFamily="50" charset="-128"/>
              <a:ea typeface="HG丸ｺﾞｼｯｸM-PRO" panose="020F0600000000000000" pitchFamily="50" charset="-128"/>
              <a:cs typeface="+mn-cs"/>
            </a:rPr>
            <a:t>　　　　　</a:t>
          </a:r>
          <a:endParaRPr kumimoji="1" lang="en-US" altLang="ja-JP" sz="1100">
            <a:solidFill>
              <a:schemeClr val="dk1"/>
            </a:solidFill>
            <a:latin typeface="HG丸ｺﾞｼｯｸM-PRO" panose="020F0600000000000000" pitchFamily="50" charset="-128"/>
            <a:ea typeface="HG丸ｺﾞｼｯｸM-PRO" panose="020F0600000000000000" pitchFamily="50" charset="-128"/>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b="1">
              <a:solidFill>
                <a:srgbClr val="FF0000"/>
              </a:solidFill>
              <a:latin typeface="HG丸ｺﾞｼｯｸM-PRO" panose="020F0600000000000000" pitchFamily="50" charset="-128"/>
              <a:ea typeface="HG丸ｺﾞｼｯｸM-PRO" panose="020F0600000000000000" pitchFamily="50" charset="-128"/>
              <a:cs typeface="+mn-cs"/>
            </a:rPr>
            <a:t>※ </a:t>
          </a:r>
          <a:r>
            <a:rPr kumimoji="1" lang="ja-JP" altLang="en-US" sz="1100" b="1">
              <a:solidFill>
                <a:srgbClr val="FF0000"/>
              </a:solidFill>
              <a:latin typeface="HG丸ｺﾞｼｯｸM-PRO" panose="020F0600000000000000" pitchFamily="50" charset="-128"/>
              <a:ea typeface="HG丸ｺﾞｼｯｸM-PRO" panose="020F0600000000000000" pitchFamily="50" charset="-128"/>
              <a:cs typeface="+mn-cs"/>
            </a:rPr>
            <a:t>緊急対応や</a:t>
          </a:r>
          <a:r>
            <a:rPr kumimoji="1" lang="ja-JP" altLang="en-US" sz="1100" b="1" u="none">
              <a:solidFill>
                <a:srgbClr val="FF0000"/>
              </a:solidFill>
              <a:latin typeface="HG丸ｺﾞｼｯｸM-PRO" panose="020F0600000000000000" pitchFamily="50" charset="-128"/>
              <a:ea typeface="HG丸ｺﾞｼｯｸM-PRO" panose="020F0600000000000000" pitchFamily="50" charset="-128"/>
              <a:cs typeface="+mn-cs"/>
            </a:rPr>
            <a:t>規定</a:t>
          </a:r>
          <a:r>
            <a:rPr kumimoji="1" lang="ja-JP" altLang="en-US" sz="1100" b="1">
              <a:solidFill>
                <a:srgbClr val="FF0000"/>
              </a:solidFill>
              <a:latin typeface="HG丸ｺﾞｼｯｸM-PRO" panose="020F0600000000000000" pitchFamily="50" charset="-128"/>
              <a:ea typeface="HG丸ｺﾞｼｯｸM-PRO" panose="020F0600000000000000" pitchFamily="50" charset="-128"/>
              <a:cs typeface="+mn-cs"/>
            </a:rPr>
            <a:t>以外の時間に取得した場合は、勤怠状況にご記入ください。　                                 </a:t>
          </a:r>
          <a:r>
            <a:rPr kumimoji="1" lang="ja-JP" altLang="en-US" sz="1100">
              <a:solidFill>
                <a:schemeClr val="dk1"/>
              </a:solidFill>
              <a:latin typeface="HG丸ｺﾞｼｯｸM-PRO" panose="020F0600000000000000" pitchFamily="50" charset="-128"/>
              <a:ea typeface="HG丸ｺﾞｼｯｸM-PRO" panose="020F0600000000000000" pitchFamily="50" charset="-128"/>
              <a:cs typeface="+mn-cs"/>
            </a:rPr>
            <a:t>　　　　　　　　　　</a:t>
          </a:r>
          <a:endParaRPr lang="ja-JP" altLang="ja-JP">
            <a:latin typeface="HG丸ｺﾞｼｯｸM-PRO" panose="020F0600000000000000" pitchFamily="50" charset="-128"/>
            <a:ea typeface="HG丸ｺﾞｼｯｸM-PRO" panose="020F0600000000000000" pitchFamily="50" charset="-128"/>
          </a:endParaRPr>
        </a:p>
        <a:p>
          <a:r>
            <a:rPr kumimoji="1" lang="ja-JP" altLang="en-US" sz="1100">
              <a:latin typeface="HG丸ｺﾞｼｯｸM-PRO" panose="020F0600000000000000" pitchFamily="50" charset="-128"/>
              <a:ea typeface="HG丸ｺﾞｼｯｸM-PRO" panose="020F0600000000000000" pitchFamily="50" charset="-128"/>
            </a:rPr>
            <a:t>                          </a:t>
          </a:r>
          <a:endParaRPr kumimoji="1" lang="ja-JP" altLang="en-US" sz="1100">
            <a:solidFill>
              <a:srgbClr val="FF0000"/>
            </a:solidFill>
            <a:latin typeface="HG丸ｺﾞｼｯｸM-PRO" panose="020F0600000000000000" pitchFamily="50" charset="-128"/>
            <a:ea typeface="HG丸ｺﾞｼｯｸM-PRO" panose="020F0600000000000000" pitchFamily="50" charset="-128"/>
          </a:endParaRP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47625</xdr:colOff>
          <xdr:row>54</xdr:row>
          <xdr:rowOff>47625</xdr:rowOff>
        </xdr:from>
        <xdr:to>
          <xdr:col>26</xdr:col>
          <xdr:colOff>28575</xdr:colOff>
          <xdr:row>54</xdr:row>
          <xdr:rowOff>257175</xdr:rowOff>
        </xdr:to>
        <xdr:sp macro="" textlink="">
          <xdr:nvSpPr>
            <xdr:cNvPr id="19458" name="Check Box 2" hidden="1">
              <a:extLst>
                <a:ext uri="{63B3BB69-23CF-44E3-9099-C40C66FF867C}">
                  <a14:compatExt spid="_x0000_s19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法定時間外を割増精算の対象とする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53</xdr:row>
          <xdr:rowOff>9525</xdr:rowOff>
        </xdr:from>
        <xdr:to>
          <xdr:col>7</xdr:col>
          <xdr:colOff>114300</xdr:colOff>
          <xdr:row>54</xdr:row>
          <xdr:rowOff>266700</xdr:rowOff>
        </xdr:to>
        <xdr:sp macro="" textlink="">
          <xdr:nvSpPr>
            <xdr:cNvPr id="19473" name="Group Box 17" hidden="1">
              <a:extLst>
                <a:ext uri="{63B3BB69-23CF-44E3-9099-C40C66FF867C}">
                  <a14:compatExt spid="_x0000_s1947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就業単位</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46</xdr:col>
          <xdr:colOff>57150</xdr:colOff>
          <xdr:row>7</xdr:row>
          <xdr:rowOff>95250</xdr:rowOff>
        </xdr:from>
        <xdr:to>
          <xdr:col>49</xdr:col>
          <xdr:colOff>114300</xdr:colOff>
          <xdr:row>9</xdr:row>
          <xdr:rowOff>66675</xdr:rowOff>
        </xdr:to>
        <xdr:sp macro="" textlink="">
          <xdr:nvSpPr>
            <xdr:cNvPr id="19481" name="Button 25" hidden="1">
              <a:extLst>
                <a:ext uri="{63B3BB69-23CF-44E3-9099-C40C66FF867C}">
                  <a14:compatExt spid="_x0000_s194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LoadFile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46</xdr:col>
          <xdr:colOff>57150</xdr:colOff>
          <xdr:row>10</xdr:row>
          <xdr:rowOff>9525</xdr:rowOff>
        </xdr:from>
        <xdr:to>
          <xdr:col>49</xdr:col>
          <xdr:colOff>114300</xdr:colOff>
          <xdr:row>11</xdr:row>
          <xdr:rowOff>152400</xdr:rowOff>
        </xdr:to>
        <xdr:sp macro="" textlink="">
          <xdr:nvSpPr>
            <xdr:cNvPr id="19482" name="Button 26" hidden="1">
              <a:extLst>
                <a:ext uri="{63B3BB69-23CF-44E3-9099-C40C66FF867C}">
                  <a14:compatExt spid="_x0000_s194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ReadData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54</xdr:row>
          <xdr:rowOff>38100</xdr:rowOff>
        </xdr:from>
        <xdr:to>
          <xdr:col>2</xdr:col>
          <xdr:colOff>209550</xdr:colOff>
          <xdr:row>54</xdr:row>
          <xdr:rowOff>247650</xdr:rowOff>
        </xdr:to>
        <xdr:sp macro="" textlink="">
          <xdr:nvSpPr>
            <xdr:cNvPr id="19471" name="Option Button 15" hidden="1">
              <a:extLst>
                <a:ext uri="{63B3BB69-23CF-44E3-9099-C40C66FF867C}">
                  <a14:compatExt spid="_x0000_s19471"/>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１５分</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54</xdr:row>
          <xdr:rowOff>38100</xdr:rowOff>
        </xdr:from>
        <xdr:to>
          <xdr:col>7</xdr:col>
          <xdr:colOff>28575</xdr:colOff>
          <xdr:row>54</xdr:row>
          <xdr:rowOff>247650</xdr:rowOff>
        </xdr:to>
        <xdr:sp macro="" textlink="">
          <xdr:nvSpPr>
            <xdr:cNvPr id="19472" name="Option Button 16" hidden="1">
              <a:extLst>
                <a:ext uri="{63B3BB69-23CF-44E3-9099-C40C66FF867C}">
                  <a14:compatExt spid="_x0000_s19472"/>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３０分</a:t>
              </a:r>
            </a:p>
          </xdr:txBody>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19</xdr:col>
      <xdr:colOff>91327</xdr:colOff>
      <xdr:row>1</xdr:row>
      <xdr:rowOff>63314</xdr:rowOff>
    </xdr:from>
    <xdr:to>
      <xdr:col>52</xdr:col>
      <xdr:colOff>306915</xdr:colOff>
      <xdr:row>6</xdr:row>
      <xdr:rowOff>179917</xdr:rowOff>
    </xdr:to>
    <xdr:sp macro="" textlink="">
      <xdr:nvSpPr>
        <xdr:cNvPr id="2" name="Text Box 2"/>
        <xdr:cNvSpPr txBox="1">
          <a:spLocks noChangeArrowheads="1"/>
        </xdr:cNvSpPr>
      </xdr:nvSpPr>
      <xdr:spPr bwMode="auto">
        <a:xfrm>
          <a:off x="8970744" y="222064"/>
          <a:ext cx="5390838" cy="1301936"/>
        </a:xfrm>
        <a:prstGeom prst="rect">
          <a:avLst/>
        </a:prstGeom>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27432" tIns="18288" rIns="0" bIns="18288" anchor="ctr" upright="1"/>
        <a:lstStyle/>
        <a:p>
          <a:pPr algn="l" rtl="0">
            <a:defRPr sz="1000"/>
          </a:pPr>
          <a:r>
            <a:rPr lang="ja-JP" altLang="en-US"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当実費精算書は、「稼働実績内訳書」または「派遣先管理台帳（タイムシート）」に添付すること。</a:t>
          </a:r>
          <a:endParaRPr lang="en-US" altLang="ja-JP"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a:p>
          <a:pPr algn="l" rtl="0">
            <a:defRPr sz="1000"/>
          </a:pPr>
          <a:r>
            <a:rPr lang="ja-JP" altLang="en-US"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（実費が発生してない場合は不要）</a:t>
          </a:r>
        </a:p>
      </xdr:txBody>
    </xdr:sp>
    <xdr:clientData fPrintsWithSheet="0"/>
  </xdr:twoCellAnchor>
  <xdr:twoCellAnchor>
    <xdr:from>
      <xdr:col>18</xdr:col>
      <xdr:colOff>63497</xdr:colOff>
      <xdr:row>24</xdr:row>
      <xdr:rowOff>21171</xdr:rowOff>
    </xdr:from>
    <xdr:to>
      <xdr:col>18</xdr:col>
      <xdr:colOff>402164</xdr:colOff>
      <xdr:row>24</xdr:row>
      <xdr:rowOff>359833</xdr:rowOff>
    </xdr:to>
    <xdr:sp macro="" textlink="">
      <xdr:nvSpPr>
        <xdr:cNvPr id="3" name="テキスト ボックス 2"/>
        <xdr:cNvSpPr txBox="1"/>
      </xdr:nvSpPr>
      <xdr:spPr>
        <a:xfrm>
          <a:off x="8483597" y="7126821"/>
          <a:ext cx="338667" cy="33866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a:latin typeface="ＭＳ ゴシック" panose="020B0609070205080204" pitchFamily="49" charset="-128"/>
              <a:ea typeface="ＭＳ ゴシック" panose="020B0609070205080204" pitchFamily="49" charset="-128"/>
            </a:rPr>
            <a:t>印</a:t>
          </a:r>
        </a:p>
      </xdr:txBody>
    </xdr:sp>
    <xdr:clientData/>
  </xdr:twoCellAnchor>
  <xdr:twoCellAnchor editAs="absolute">
    <xdr:from>
      <xdr:col>19</xdr:col>
      <xdr:colOff>80744</xdr:colOff>
      <xdr:row>7</xdr:row>
      <xdr:rowOff>73898</xdr:rowOff>
    </xdr:from>
    <xdr:to>
      <xdr:col>52</xdr:col>
      <xdr:colOff>296332</xdr:colOff>
      <xdr:row>14</xdr:row>
      <xdr:rowOff>31750</xdr:rowOff>
    </xdr:to>
    <xdr:sp macro="" textlink="">
      <xdr:nvSpPr>
        <xdr:cNvPr id="4" name="Text Box 2"/>
        <xdr:cNvSpPr txBox="1">
          <a:spLocks noChangeArrowheads="1"/>
        </xdr:cNvSpPr>
      </xdr:nvSpPr>
      <xdr:spPr bwMode="auto">
        <a:xfrm>
          <a:off x="8960161" y="1629648"/>
          <a:ext cx="5390838" cy="1725269"/>
        </a:xfrm>
        <a:prstGeom prst="rect">
          <a:avLst/>
        </a:prstGeom>
        <a:ln>
          <a:headEnd/>
          <a:tailEnd/>
        </a:ln>
      </xdr:spPr>
      <xdr:style>
        <a:lnRef idx="0">
          <a:schemeClr val="accent1"/>
        </a:lnRef>
        <a:fillRef idx="3">
          <a:schemeClr val="accent1"/>
        </a:fillRef>
        <a:effectRef idx="3">
          <a:schemeClr val="accent1"/>
        </a:effectRef>
        <a:fontRef idx="minor">
          <a:schemeClr val="lt1"/>
        </a:fontRef>
      </xdr:style>
      <xdr:txBody>
        <a:bodyPr vertOverflow="clip" wrap="square" lIns="27432" tIns="18288" rIns="0" bIns="18288" anchor="ctr" upright="1"/>
        <a:lstStyle/>
        <a:p>
          <a:pPr algn="l" rtl="0">
            <a:defRPr sz="1000"/>
          </a:pPr>
          <a:r>
            <a:rPr lang="en-US" altLang="ja-JP"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1</a:t>
          </a:r>
          <a:r>
            <a:rPr lang="ja-JP" altLang="en-US"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ページ目：担当者欄、合計欄、確認欄</a:t>
          </a:r>
          <a:endParaRPr lang="en-US" altLang="ja-JP"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a:p>
          <a:pPr algn="l" rtl="0">
            <a:defRPr sz="1000"/>
          </a:pPr>
          <a:r>
            <a:rPr lang="en-US" altLang="ja-JP"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2</a:t>
          </a:r>
          <a:r>
            <a:rPr lang="ja-JP" altLang="en-US"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頁目以降：明細行</a:t>
          </a:r>
          <a:endParaRPr lang="en-US" altLang="ja-JP"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a:p>
          <a:pPr algn="l" rtl="0">
            <a:defRPr sz="1000"/>
          </a:pPr>
          <a:r>
            <a:rPr lang="ja-JP" altLang="en-US"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　＊状況に応じて改ページ枠の調整をして下さい。</a:t>
          </a:r>
          <a:endParaRPr lang="en-US" altLang="ja-JP" sz="1600" b="1" i="0" u="none" strike="noStrike" baseline="0">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twoCellAnchor editAs="oneCell">
    <xdr:from>
      <xdr:col>17</xdr:col>
      <xdr:colOff>412751</xdr:colOff>
      <xdr:row>23</xdr:row>
      <xdr:rowOff>380999</xdr:rowOff>
    </xdr:from>
    <xdr:to>
      <xdr:col>18</xdr:col>
      <xdr:colOff>230718</xdr:colOff>
      <xdr:row>25</xdr:row>
      <xdr:rowOff>14812</xdr:rowOff>
    </xdr:to>
    <xdr:pic>
      <xdr:nvPicPr>
        <xdr:cNvPr id="6" name="Picture 5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98" t="-798"/>
        <a:stretch>
          <a:fillRect/>
        </a:stretch>
      </xdr:blipFill>
      <xdr:spPr bwMode="auto">
        <a:xfrm>
          <a:off x="8255001" y="7133166"/>
          <a:ext cx="400050" cy="3958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253999</xdr:colOff>
      <xdr:row>5</xdr:row>
      <xdr:rowOff>105833</xdr:rowOff>
    </xdr:from>
    <xdr:to>
      <xdr:col>16</xdr:col>
      <xdr:colOff>196825</xdr:colOff>
      <xdr:row>7</xdr:row>
      <xdr:rowOff>137558</xdr:rowOff>
    </xdr:to>
    <xdr:pic>
      <xdr:nvPicPr>
        <xdr:cNvPr id="7" name="Picture 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04" t="-704"/>
        <a:stretch>
          <a:fillRect/>
        </a:stretch>
      </xdr:blipFill>
      <xdr:spPr bwMode="auto">
        <a:xfrm>
          <a:off x="7006166" y="1238250"/>
          <a:ext cx="450826" cy="455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571500</xdr:colOff>
      <xdr:row>0</xdr:row>
      <xdr:rowOff>19050</xdr:rowOff>
    </xdr:from>
    <xdr:to>
      <xdr:col>8</xdr:col>
      <xdr:colOff>19050</xdr:colOff>
      <xdr:row>2</xdr:row>
      <xdr:rowOff>161925</xdr:rowOff>
    </xdr:to>
    <xdr:sp macro="" textlink="">
      <xdr:nvSpPr>
        <xdr:cNvPr id="15361" name="テキスト 1"/>
        <xdr:cNvSpPr txBox="1">
          <a:spLocks noChangeArrowheads="1"/>
        </xdr:cNvSpPr>
      </xdr:nvSpPr>
      <xdr:spPr bwMode="auto">
        <a:xfrm>
          <a:off x="4962525" y="19050"/>
          <a:ext cx="742950" cy="923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sng" strike="noStrike">
              <a:solidFill>
                <a:srgbClr val="000000"/>
              </a:solidFill>
              <a:latin typeface="ＭＳ 明朝"/>
              <a:ea typeface="ＭＳ 明朝"/>
            </a:rPr>
            <a:t>部　　長</a:t>
          </a:r>
        </a:p>
      </xdr:txBody>
    </xdr:sp>
    <xdr:clientData/>
  </xdr:twoCellAnchor>
  <xdr:twoCellAnchor>
    <xdr:from>
      <xdr:col>8</xdr:col>
      <xdr:colOff>19050</xdr:colOff>
      <xdr:row>0</xdr:row>
      <xdr:rowOff>19050</xdr:rowOff>
    </xdr:from>
    <xdr:to>
      <xdr:col>9</xdr:col>
      <xdr:colOff>238125</xdr:colOff>
      <xdr:row>2</xdr:row>
      <xdr:rowOff>161925</xdr:rowOff>
    </xdr:to>
    <xdr:sp macro="" textlink="">
      <xdr:nvSpPr>
        <xdr:cNvPr id="15362" name="テキスト 2"/>
        <xdr:cNvSpPr txBox="1">
          <a:spLocks noChangeArrowheads="1"/>
        </xdr:cNvSpPr>
      </xdr:nvSpPr>
      <xdr:spPr bwMode="auto">
        <a:xfrm>
          <a:off x="5705475" y="19050"/>
          <a:ext cx="742950" cy="923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strike="noStrike">
              <a:solidFill>
                <a:srgbClr val="000000"/>
              </a:solidFill>
              <a:latin typeface="ＭＳ 明朝"/>
              <a:ea typeface="ＭＳ 明朝"/>
            </a:rPr>
            <a:t>Ｇ　　Ｍ</a:t>
          </a:r>
        </a:p>
      </xdr:txBody>
    </xdr:sp>
    <xdr:clientData/>
  </xdr:twoCellAnchor>
  <xdr:twoCellAnchor>
    <xdr:from>
      <xdr:col>8</xdr:col>
      <xdr:colOff>57150</xdr:colOff>
      <xdr:row>0</xdr:row>
      <xdr:rowOff>190500</xdr:rowOff>
    </xdr:from>
    <xdr:to>
      <xdr:col>9</xdr:col>
      <xdr:colOff>228600</xdr:colOff>
      <xdr:row>0</xdr:row>
      <xdr:rowOff>190500</xdr:rowOff>
    </xdr:to>
    <xdr:sp macro="" textlink="">
      <xdr:nvSpPr>
        <xdr:cNvPr id="15367" name="Line 3"/>
        <xdr:cNvSpPr>
          <a:spLocks noChangeShapeType="1"/>
        </xdr:cNvSpPr>
      </xdr:nvSpPr>
      <xdr:spPr bwMode="auto">
        <a:xfrm>
          <a:off x="5743575" y="190500"/>
          <a:ext cx="695325" cy="0"/>
        </a:xfrm>
        <a:prstGeom prst="line">
          <a:avLst/>
        </a:prstGeom>
        <a:noFill/>
        <a:ln w="9525">
          <a:solidFill>
            <a:srgbClr val="000000"/>
          </a:solidFill>
          <a:round/>
          <a:headEnd/>
          <a:tailEnd/>
        </a:ln>
      </xdr:spPr>
    </xdr:sp>
    <xdr:clientData/>
  </xdr:twoCellAnchor>
  <xdr:twoCellAnchor>
    <xdr:from>
      <xdr:col>9</xdr:col>
      <xdr:colOff>238125</xdr:colOff>
      <xdr:row>0</xdr:row>
      <xdr:rowOff>19050</xdr:rowOff>
    </xdr:from>
    <xdr:to>
      <xdr:col>10</xdr:col>
      <xdr:colOff>295275</xdr:colOff>
      <xdr:row>2</xdr:row>
      <xdr:rowOff>161925</xdr:rowOff>
    </xdr:to>
    <xdr:sp macro="" textlink="">
      <xdr:nvSpPr>
        <xdr:cNvPr id="15364" name="テキスト 4"/>
        <xdr:cNvSpPr txBox="1">
          <a:spLocks noChangeArrowheads="1"/>
        </xdr:cNvSpPr>
      </xdr:nvSpPr>
      <xdr:spPr bwMode="auto">
        <a:xfrm>
          <a:off x="6448425" y="19050"/>
          <a:ext cx="742950" cy="923925"/>
        </a:xfrm>
        <a:prstGeom prst="rect">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0">
            <a:defRPr sz="1000"/>
          </a:pPr>
          <a:r>
            <a:rPr lang="ja-JP" altLang="en-US" sz="1100" b="0" i="0" u="sng" strike="noStrike">
              <a:solidFill>
                <a:srgbClr val="000000"/>
              </a:solidFill>
              <a:latin typeface="ＭＳ 明朝"/>
              <a:ea typeface="ＭＳ 明朝"/>
            </a:rPr>
            <a:t>Ｐ　　Ｍ</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142875</xdr:colOff>
      <xdr:row>0</xdr:row>
      <xdr:rowOff>66675</xdr:rowOff>
    </xdr:from>
    <xdr:to>
      <xdr:col>7</xdr:col>
      <xdr:colOff>180975</xdr:colOff>
      <xdr:row>2</xdr:row>
      <xdr:rowOff>828675</xdr:rowOff>
    </xdr:to>
    <xdr:sp macro="" textlink="">
      <xdr:nvSpPr>
        <xdr:cNvPr id="6145" name="Text Box 1"/>
        <xdr:cNvSpPr txBox="1">
          <a:spLocks noChangeArrowheads="1"/>
        </xdr:cNvSpPr>
      </xdr:nvSpPr>
      <xdr:spPr bwMode="auto">
        <a:xfrm>
          <a:off x="142875" y="66675"/>
          <a:ext cx="4591050" cy="148590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右下の表より勤務時間を計算します。</a:t>
          </a:r>
        </a:p>
        <a:p>
          <a:pPr algn="l" rtl="0">
            <a:defRPr sz="1000"/>
          </a:pPr>
          <a:r>
            <a:rPr lang="ja-JP" altLang="en-US" sz="1100" b="0" i="0" strike="noStrike">
              <a:solidFill>
                <a:srgbClr val="000000"/>
              </a:solidFill>
              <a:latin typeface="ＭＳ Ｐゴシック"/>
              <a:ea typeface="ＭＳ Ｐゴシック"/>
            </a:rPr>
            <a:t>タイムテーブルを変更したい場合には右の色分けにしたがって塗りつぶして下さい。</a:t>
          </a:r>
          <a:r>
            <a:rPr lang="en-US" altLang="ja-JP" sz="1100" b="0" i="0" strike="noStrike">
              <a:solidFill>
                <a:srgbClr val="000000"/>
              </a:solidFill>
              <a:latin typeface="ＭＳ Ｐゴシック"/>
              <a:ea typeface="ＭＳ Ｐゴシック"/>
            </a:rPr>
            <a:t>1</a:t>
          </a:r>
          <a:r>
            <a:rPr lang="ja-JP" altLang="en-US" sz="1100" b="0" i="0" strike="noStrike">
              <a:solidFill>
                <a:srgbClr val="000000"/>
              </a:solidFill>
              <a:latin typeface="ＭＳ Ｐゴシック"/>
              <a:ea typeface="ＭＳ Ｐゴシック"/>
            </a:rPr>
            <a:t>メモリは５分です。</a:t>
          </a:r>
        </a:p>
        <a:p>
          <a:pPr algn="l" rtl="0">
            <a:defRPr sz="1000"/>
          </a:pPr>
          <a:r>
            <a:rPr lang="ja-JP" altLang="en-US" sz="1100" b="0" i="0" strike="noStrike">
              <a:solidFill>
                <a:srgbClr val="000000"/>
              </a:solidFill>
              <a:latin typeface="ＭＳ Ｐゴシック"/>
              <a:ea typeface="ＭＳ Ｐゴシック"/>
            </a:rPr>
            <a:t>なお、休出の際は通常勤務時間を残業時間に読み替え、法定休出の際は通常勤務時間を法定休出時間に、深夜残業を法定休出深夜残業時間に読み替えます。半休等の勤務状況によって作業開始時間、終了時間の初期値を変える場合やタイムテーブルを変更したい場合には</a:t>
          </a:r>
          <a:r>
            <a:rPr lang="en-US" altLang="ja-JP" sz="1100" b="0" i="0" strike="noStrike">
              <a:solidFill>
                <a:srgbClr val="000000"/>
              </a:solidFill>
              <a:latin typeface="ＭＳ Ｐゴシック"/>
              <a:ea typeface="ＭＳ Ｐゴシック"/>
            </a:rPr>
            <a:t>FB</a:t>
          </a:r>
          <a:r>
            <a:rPr lang="ja-JP" altLang="en-US" sz="1100" b="0" i="0" strike="noStrike">
              <a:solidFill>
                <a:srgbClr val="000000"/>
              </a:solidFill>
              <a:latin typeface="ＭＳ Ｐゴシック"/>
              <a:ea typeface="ＭＳ Ｐゴシック"/>
            </a:rPr>
            <a:t>：</a:t>
          </a:r>
          <a:r>
            <a:rPr lang="en-US" altLang="ja-JP" sz="1100" b="0" i="0" strike="noStrike">
              <a:solidFill>
                <a:srgbClr val="000000"/>
              </a:solidFill>
              <a:latin typeface="ＭＳ Ｐゴシック"/>
              <a:ea typeface="ＭＳ Ｐゴシック"/>
            </a:rPr>
            <a:t>FB</a:t>
          </a:r>
          <a:r>
            <a:rPr lang="ja-JP" altLang="en-US" sz="1100" b="0" i="0" strike="noStrike">
              <a:solidFill>
                <a:srgbClr val="000000"/>
              </a:solidFill>
              <a:latin typeface="ＭＳ Ｐゴシック"/>
              <a:ea typeface="ＭＳ Ｐゴシック"/>
            </a:rPr>
            <a:t>より右の設定値を変更して下さい。</a:t>
          </a:r>
        </a:p>
      </xdr:txBody>
    </xdr:sp>
    <xdr:clientData/>
  </xdr:twoCellAnchor>
  <xdr:twoCellAnchor>
    <xdr:from>
      <xdr:col>157</xdr:col>
      <xdr:colOff>0</xdr:colOff>
      <xdr:row>0</xdr:row>
      <xdr:rowOff>76200</xdr:rowOff>
    </xdr:from>
    <xdr:to>
      <xdr:col>165</xdr:col>
      <xdr:colOff>447675</xdr:colOff>
      <xdr:row>2</xdr:row>
      <xdr:rowOff>1209675</xdr:rowOff>
    </xdr:to>
    <xdr:sp macro="" textlink="">
      <xdr:nvSpPr>
        <xdr:cNvPr id="6147" name="Text Box 3"/>
        <xdr:cNvSpPr txBox="1">
          <a:spLocks noChangeArrowheads="1"/>
        </xdr:cNvSpPr>
      </xdr:nvSpPr>
      <xdr:spPr bwMode="auto">
        <a:xfrm>
          <a:off x="18507075" y="76200"/>
          <a:ext cx="7610475" cy="1857375"/>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1">
            <a:defRPr sz="1000"/>
          </a:pPr>
          <a:r>
            <a:rPr lang="ja-JP" altLang="en-US" sz="1400" b="0" i="0" strike="noStrike">
              <a:solidFill>
                <a:srgbClr val="000000"/>
              </a:solidFill>
              <a:latin typeface="ＭＳ Ｐゴシック"/>
              <a:ea typeface="ＭＳ Ｐゴシック"/>
            </a:rPr>
            <a:t>勤務状況によって作業開始終了時間の初期値を変更</a:t>
          </a:r>
          <a:endParaRPr lang="ja-JP" altLang="en-US" sz="1100" b="0" i="0" strike="noStrike">
            <a:solidFill>
              <a:srgbClr val="000000"/>
            </a:solidFill>
            <a:latin typeface="ＭＳ Ｐゴシック"/>
            <a:ea typeface="ＭＳ Ｐゴシック"/>
          </a:endParaRPr>
        </a:p>
        <a:p>
          <a:pPr algn="l" rtl="1">
            <a:defRPr sz="1000"/>
          </a:pPr>
          <a:r>
            <a:rPr lang="ja-JP" altLang="en-US" sz="1100" b="0" i="0" strike="noStrike">
              <a:solidFill>
                <a:srgbClr val="000000"/>
              </a:solidFill>
              <a:latin typeface="ＭＳ Ｐゴシック"/>
              <a:ea typeface="ＭＳ Ｐゴシック"/>
            </a:rPr>
            <a:t>タイムテーブル名の行の変更したい勤務状況の列に作業開始時間、終了時間の初期値を記入して下さい。</a:t>
          </a:r>
        </a:p>
        <a:p>
          <a:pPr algn="l" rtl="1">
            <a:defRPr sz="1000"/>
          </a:pPr>
          <a:endParaRPr lang="ja-JP" altLang="en-US" sz="1100" b="0" i="0" strike="noStrike">
            <a:solidFill>
              <a:srgbClr val="000000"/>
            </a:solidFill>
            <a:latin typeface="ＭＳ Ｐゴシック"/>
            <a:ea typeface="ＭＳ Ｐゴシック"/>
          </a:endParaRPr>
        </a:p>
        <a:p>
          <a:pPr algn="l" rtl="1">
            <a:defRPr sz="1000"/>
          </a:pPr>
          <a:r>
            <a:rPr lang="ja-JP" altLang="en-US" sz="1400" b="0" i="0" strike="noStrike">
              <a:solidFill>
                <a:srgbClr val="000000"/>
              </a:solidFill>
              <a:latin typeface="ＭＳ Ｐゴシック"/>
              <a:ea typeface="ＭＳ Ｐゴシック"/>
            </a:rPr>
            <a:t>勤務状況によってタイムテーブルを変更</a:t>
          </a:r>
          <a:endParaRPr lang="ja-JP" altLang="en-US" sz="1100" b="0" i="0" strike="noStrike">
            <a:solidFill>
              <a:srgbClr val="000000"/>
            </a:solidFill>
            <a:latin typeface="ＭＳ Ｐゴシック"/>
            <a:ea typeface="ＭＳ Ｐゴシック"/>
          </a:endParaRPr>
        </a:p>
        <a:p>
          <a:pPr algn="l" rtl="1">
            <a:defRPr sz="1000"/>
          </a:pPr>
          <a:r>
            <a:rPr lang="ja-JP" altLang="en-US" sz="1100" b="0" i="0" strike="noStrike">
              <a:solidFill>
                <a:srgbClr val="000000"/>
              </a:solidFill>
              <a:latin typeface="ＭＳ Ｐゴシック"/>
              <a:ea typeface="ＭＳ Ｐゴシック"/>
            </a:rPr>
            <a:t>勤務状況によってタイムテーブル自体を変更したい場合には作業開始時間を空欄にし作業終了時間の欄にタイムテーブル名を設定してください。</a:t>
          </a:r>
        </a:p>
        <a:p>
          <a:pPr algn="l" rtl="1">
            <a:defRPr sz="1000"/>
          </a:pPr>
          <a:r>
            <a:rPr lang="ja-JP" altLang="en-US" sz="1100" b="0" i="0" strike="noStrike">
              <a:solidFill>
                <a:srgbClr val="FF0000"/>
              </a:solidFill>
              <a:latin typeface="ＭＳ Ｐゴシック"/>
              <a:ea typeface="ＭＳ Ｐゴシック"/>
            </a:rPr>
            <a:t>この代替えタイムテーブルを設定した場合、休出、法定休出による時間区分の読み替えをおこないません。</a:t>
          </a:r>
          <a:r>
            <a:rPr lang="en-US" altLang="ja-JP" sz="1100" b="0" i="0" strike="noStrike">
              <a:solidFill>
                <a:srgbClr val="FF0000"/>
              </a:solidFill>
              <a:latin typeface="ＭＳ Ｐゴシック"/>
              <a:ea typeface="ＭＳ Ｐゴシック"/>
            </a:rPr>
            <a:t>(</a:t>
          </a:r>
          <a:r>
            <a:rPr lang="ja-JP" altLang="en-US" sz="1100" b="0" i="0" strike="noStrike">
              <a:solidFill>
                <a:srgbClr val="FF0000"/>
              </a:solidFill>
              <a:latin typeface="ＭＳ Ｐゴシック"/>
              <a:ea typeface="ＭＳ Ｐゴシック"/>
            </a:rPr>
            <a:t>代替えテーブル以外の場合には休出の際は通常勤務時間を残業時間に読み替え、法定休出の際は通常勤務時間を法定休出時間に、深夜残業を法定休出深夜残業時間に読み替えます。</a:t>
          </a:r>
          <a:r>
            <a:rPr lang="en-US" altLang="ja-JP" sz="1100" b="0" i="0" strike="noStrike">
              <a:solidFill>
                <a:srgbClr val="FF0000"/>
              </a:solidFill>
              <a:latin typeface="ＭＳ Ｐゴシック"/>
              <a:ea typeface="ＭＳ Ｐゴシック"/>
            </a:rPr>
            <a:t>)</a:t>
          </a:r>
        </a:p>
      </xdr:txBody>
    </xdr:sp>
    <xdr:clientData/>
  </xdr:twoCellAnchor>
  <xdr:twoCellAnchor>
    <xdr:from>
      <xdr:col>0</xdr:col>
      <xdr:colOff>1619250</xdr:colOff>
      <xdr:row>2</xdr:row>
      <xdr:rowOff>885825</xdr:rowOff>
    </xdr:from>
    <xdr:to>
      <xdr:col>7</xdr:col>
      <xdr:colOff>180975</xdr:colOff>
      <xdr:row>2</xdr:row>
      <xdr:rowOff>1095375</xdr:rowOff>
    </xdr:to>
    <xdr:sp macro="" textlink="">
      <xdr:nvSpPr>
        <xdr:cNvPr id="6150" name="Text Box 6">
          <a:hlinkClick xmlns:r="http://schemas.openxmlformats.org/officeDocument/2006/relationships" r:id="rId1" tgtFrame="_parent"/>
        </xdr:cNvPr>
        <xdr:cNvSpPr txBox="1">
          <a:spLocks noChangeArrowheads="1"/>
        </xdr:cNvSpPr>
      </xdr:nvSpPr>
      <xdr:spPr bwMode="auto">
        <a:xfrm>
          <a:off x="1619250" y="1609725"/>
          <a:ext cx="3114675" cy="2095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1">
            <a:defRPr sz="1000"/>
          </a:pPr>
          <a:r>
            <a:rPr lang="ja-JP" altLang="en-US" sz="1100" b="0" i="0" strike="noStrike">
              <a:solidFill>
                <a:srgbClr val="000000"/>
              </a:solidFill>
              <a:latin typeface="ＭＳ Ｐゴシック"/>
              <a:ea typeface="ＭＳ Ｐゴシック"/>
            </a:rPr>
            <a:t>勤務状況毎の詳細設定はここをクリック</a:t>
          </a:r>
        </a:p>
      </xdr:txBody>
    </xdr:sp>
    <xdr:clientData/>
  </xdr:twoCellAnchor>
  <xdr:twoCellAnchor>
    <xdr:from>
      <xdr:col>172</xdr:col>
      <xdr:colOff>76200</xdr:colOff>
      <xdr:row>0</xdr:row>
      <xdr:rowOff>66675</xdr:rowOff>
    </xdr:from>
    <xdr:to>
      <xdr:col>178</xdr:col>
      <xdr:colOff>609600</xdr:colOff>
      <xdr:row>2</xdr:row>
      <xdr:rowOff>828675</xdr:rowOff>
    </xdr:to>
    <xdr:sp macro="" textlink="">
      <xdr:nvSpPr>
        <xdr:cNvPr id="6155" name="Text Box 11"/>
        <xdr:cNvSpPr txBox="1">
          <a:spLocks noChangeArrowheads="1"/>
        </xdr:cNvSpPr>
      </xdr:nvSpPr>
      <xdr:spPr bwMode="auto">
        <a:xfrm>
          <a:off x="31632525" y="66675"/>
          <a:ext cx="4648200" cy="148590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勤務開始終了時間の候補の修正用。</a:t>
          </a:r>
        </a:p>
        <a:p>
          <a:pPr algn="l" rtl="0">
            <a:defRPr sz="1000"/>
          </a:pPr>
          <a:r>
            <a:rPr lang="ja-JP" altLang="en-US" sz="1100" b="0" i="0" strike="noStrike">
              <a:solidFill>
                <a:srgbClr val="000000"/>
              </a:solidFill>
              <a:latin typeface="ＭＳ Ｐゴシック"/>
              <a:ea typeface="ＭＳ Ｐゴシック"/>
            </a:rPr>
            <a:t>勤務開始終了時間が自動計算されますが、候補を修正したい場合にはしたのセルに記入してください。</a:t>
          </a:r>
        </a:p>
        <a:p>
          <a:pPr algn="l" rtl="0">
            <a:defRPr sz="1000"/>
          </a:pPr>
          <a:r>
            <a:rPr lang="ja-JP" altLang="en-US" sz="1100" b="0" i="0" strike="noStrike">
              <a:solidFill>
                <a:srgbClr val="000000"/>
              </a:solidFill>
              <a:latin typeface="ＭＳ Ｐゴシック"/>
              <a:ea typeface="ＭＳ Ｐゴシック"/>
            </a:rPr>
            <a:t>追加（上）に記述した時間は勤務開始終了時間に追加され、削除（下）に記述した時間は候補から削除されます。</a:t>
          </a:r>
        </a:p>
        <a:p>
          <a:pPr algn="l" rtl="0">
            <a:defRPr sz="1000"/>
          </a:pPr>
          <a:r>
            <a:rPr lang="ja-JP" altLang="en-US" sz="1100" b="0" i="0" strike="noStrike">
              <a:solidFill>
                <a:srgbClr val="000000"/>
              </a:solidFill>
              <a:latin typeface="ＭＳ Ｐゴシック"/>
              <a:ea typeface="ＭＳ Ｐゴシック"/>
            </a:rPr>
            <a:t>記入例　</a:t>
          </a:r>
          <a:r>
            <a:rPr lang="en-US" altLang="ja-JP" sz="1100" b="0" i="0" strike="noStrike">
              <a:solidFill>
                <a:srgbClr val="000000"/>
              </a:solidFill>
              <a:latin typeface="ＭＳ Ｐゴシック"/>
              <a:ea typeface="ＭＳ Ｐゴシック"/>
            </a:rPr>
            <a:t>11:20</a:t>
          </a:r>
        </a:p>
        <a:p>
          <a:pPr algn="l" rtl="0">
            <a:defRPr sz="1000"/>
          </a:pPr>
          <a:r>
            <a:rPr lang="en-US" altLang="ja-JP" sz="1100" b="0" i="0" strike="noStrike">
              <a:solidFill>
                <a:srgbClr val="000000"/>
              </a:solidFill>
              <a:latin typeface="ＭＳ Ｐゴシック"/>
              <a:ea typeface="ＭＳ Ｐゴシック"/>
            </a:rPr>
            <a:t>※</a:t>
          </a:r>
          <a:r>
            <a:rPr lang="ja-JP" altLang="en-US" sz="1100" b="0" i="0" strike="noStrike">
              <a:solidFill>
                <a:srgbClr val="000000"/>
              </a:solidFill>
              <a:latin typeface="ＭＳ Ｐゴシック"/>
              <a:ea typeface="ＭＳ Ｐゴシック"/>
            </a:rPr>
            <a:t>設定は５分単位</a:t>
          </a:r>
        </a:p>
      </xdr:txBody>
    </xdr:sp>
    <xdr:clientData/>
  </xdr:twoCellAnchor>
  <xdr:twoCellAnchor>
    <xdr:from>
      <xdr:col>0</xdr:col>
      <xdr:colOff>1619250</xdr:colOff>
      <xdr:row>2</xdr:row>
      <xdr:rowOff>1123950</xdr:rowOff>
    </xdr:from>
    <xdr:to>
      <xdr:col>7</xdr:col>
      <xdr:colOff>180975</xdr:colOff>
      <xdr:row>2</xdr:row>
      <xdr:rowOff>1343025</xdr:rowOff>
    </xdr:to>
    <xdr:sp macro="" textlink="">
      <xdr:nvSpPr>
        <xdr:cNvPr id="6156" name="Text Box 12">
          <a:hlinkClick xmlns:r="http://schemas.openxmlformats.org/officeDocument/2006/relationships" r:id="rId2"/>
        </xdr:cNvPr>
        <xdr:cNvSpPr txBox="1">
          <a:spLocks noChangeArrowheads="1"/>
        </xdr:cNvSpPr>
      </xdr:nvSpPr>
      <xdr:spPr bwMode="auto">
        <a:xfrm>
          <a:off x="1619250" y="1847850"/>
          <a:ext cx="3114675" cy="21907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1">
            <a:defRPr sz="1000"/>
          </a:pPr>
          <a:r>
            <a:rPr lang="ja-JP" altLang="en-US" sz="1100" b="0" i="0" strike="noStrike">
              <a:solidFill>
                <a:srgbClr val="000000"/>
              </a:solidFill>
              <a:latin typeface="ＭＳ Ｐゴシック"/>
              <a:ea typeface="ＭＳ Ｐゴシック"/>
            </a:rPr>
            <a:t>勤務開始終了時間候補の修正はここをクリック</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n16g24\tools\temp\9999912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20_BP\600_&#26908;&#21454;&#12539;&#25903;&#25173;\&#26989;&#21209;&#32066;&#20102;&#22577;&#21578;&#26360;&#65288;&#27096;&#24335;&#65289;\&#9733;BP&#29992;%20&#26989;&#21209;&#32066;&#20102;&#12395;&#38306;&#12431;&#12427;&#22577;&#21578;&#26360;Ver9.10_&#23455;&#36027;&#31934;&#31639;&#26360;&#25913;&#20462;&#65288;&#65305;&#26376;&#65374;&#6528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Jinjiserver\JINJI1ST\&#20849;&#36890;\&#21220;&#21209;&#22577;&#21578;&#26360;\2005&#24180;03&#26376;\&#26032;&#21220;&#21209;&#22577;&#21578;&#26360;(2)Ver(1).2.6.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22823;&#26441;/Local%20Settings/Temporary%20Internet%20Files/Content.IE5/X0KAB2IZ/DOCUME~1/jgoza/LOCALS~1/Temp/&#65314;&#65328;&#29992;&#12288;&#26989;&#21209;&#23436;&#20102;&#22577;&#21578;&#26360;Ver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20_BP\600_&#26908;&#21454;&#12539;&#25903;&#25173;\&#26989;&#21209;&#32066;&#20102;&#22577;&#21578;&#26360;&#65288;&#27096;&#24335;&#65289;\&#9733;BP&#29992;%20&#26989;&#21209;&#32066;&#20102;&#12395;&#38306;&#12431;&#12427;&#22577;&#21578;&#26360;Ver7.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Sheet"/>
      <sheetName val="Module5"/>
      <sheetName val="勤報"/>
      <sheetName val="Dialog1"/>
      <sheetName val="説明"/>
      <sheetName val="Sheet2"/>
      <sheetName val="Dialog2"/>
      <sheetName val="勤報DDE"/>
      <sheetName val="CONST"/>
      <sheetName val="Module1"/>
      <sheetName val="Module2"/>
      <sheetName val="Module3"/>
      <sheetName val="Module4"/>
      <sheetName val="Module10"/>
      <sheetName val="Module6"/>
      <sheetName val="Dialog3"/>
      <sheetName val="Module7"/>
      <sheetName val="200904"/>
      <sheetName val="業務完了報告書(原紙)"/>
      <sheetName val="業務完了報告書（請負）"/>
      <sheetName val="業務完了報告書（請負)マクロ"/>
    </sheetNames>
    <sheetDataSet>
      <sheetData sheetId="0"/>
      <sheetData sheetId="1" refreshError="1"/>
      <sheetData sheetId="2" refreshError="1">
        <row r="4">
          <cell r="J4" t="str">
            <v>計</v>
          </cell>
          <cell r="L4" t="str">
            <v>8888</v>
          </cell>
          <cell r="AA4" t="str">
            <v>上司コメント</v>
          </cell>
        </row>
        <row r="5">
          <cell r="E5">
            <v>1</v>
          </cell>
          <cell r="F5" t="str">
            <v/>
          </cell>
          <cell r="G5" t="str">
            <v/>
          </cell>
          <cell r="J5" t="str">
            <v/>
          </cell>
          <cell r="L5" t="str">
            <v/>
          </cell>
          <cell r="W5">
            <v>0</v>
          </cell>
        </row>
        <row r="6">
          <cell r="C6">
            <v>0.36805555555555558</v>
          </cell>
          <cell r="E6">
            <v>1</v>
          </cell>
          <cell r="F6" t="str">
            <v/>
          </cell>
          <cell r="G6" t="str">
            <v/>
          </cell>
          <cell r="J6" t="str">
            <v/>
          </cell>
          <cell r="L6" t="str">
            <v/>
          </cell>
          <cell r="W6">
            <v>0</v>
          </cell>
        </row>
        <row r="7">
          <cell r="C7">
            <v>0.36805555555555558</v>
          </cell>
          <cell r="E7">
            <v>1</v>
          </cell>
          <cell r="F7" t="str">
            <v/>
          </cell>
          <cell r="G7" t="str">
            <v/>
          </cell>
          <cell r="J7" t="str">
            <v/>
          </cell>
          <cell r="L7" t="str">
            <v/>
          </cell>
          <cell r="W7">
            <v>0</v>
          </cell>
        </row>
        <row r="8">
          <cell r="C8">
            <v>0.36805555555555558</v>
          </cell>
          <cell r="E8">
            <v>1</v>
          </cell>
          <cell r="F8" t="str">
            <v/>
          </cell>
          <cell r="G8" t="str">
            <v/>
          </cell>
          <cell r="J8" t="str">
            <v/>
          </cell>
          <cell r="L8" t="str">
            <v/>
          </cell>
          <cell r="W8">
            <v>0</v>
          </cell>
        </row>
        <row r="9">
          <cell r="C9">
            <v>0.36805555555555558</v>
          </cell>
          <cell r="E9">
            <v>1</v>
          </cell>
          <cell r="F9" t="str">
            <v/>
          </cell>
          <cell r="G9" t="str">
            <v/>
          </cell>
          <cell r="J9" t="str">
            <v/>
          </cell>
          <cell r="L9" t="str">
            <v/>
          </cell>
          <cell r="W9">
            <v>0</v>
          </cell>
        </row>
        <row r="10">
          <cell r="C10">
            <v>0.36805555555555558</v>
          </cell>
          <cell r="E10">
            <v>1</v>
          </cell>
          <cell r="F10" t="str">
            <v/>
          </cell>
          <cell r="G10" t="str">
            <v/>
          </cell>
          <cell r="J10" t="str">
            <v/>
          </cell>
          <cell r="L10" t="str">
            <v/>
          </cell>
          <cell r="W10">
            <v>0</v>
          </cell>
        </row>
        <row r="11">
          <cell r="E11">
            <v>1</v>
          </cell>
          <cell r="F11" t="str">
            <v/>
          </cell>
          <cell r="G11" t="str">
            <v/>
          </cell>
          <cell r="J11" t="str">
            <v/>
          </cell>
          <cell r="L11" t="str">
            <v/>
          </cell>
          <cell r="W11">
            <v>0</v>
          </cell>
        </row>
        <row r="12">
          <cell r="E12">
            <v>1</v>
          </cell>
          <cell r="F12" t="str">
            <v/>
          </cell>
          <cell r="G12" t="str">
            <v/>
          </cell>
          <cell r="J12" t="str">
            <v/>
          </cell>
          <cell r="L12" t="str">
            <v/>
          </cell>
          <cell r="W12">
            <v>0</v>
          </cell>
        </row>
        <row r="13">
          <cell r="C13">
            <v>0.36805555555555558</v>
          </cell>
          <cell r="E13">
            <v>1</v>
          </cell>
          <cell r="F13" t="str">
            <v/>
          </cell>
          <cell r="G13" t="str">
            <v/>
          </cell>
          <cell r="J13" t="str">
            <v/>
          </cell>
          <cell r="L13" t="str">
            <v/>
          </cell>
          <cell r="W13">
            <v>0</v>
          </cell>
        </row>
        <row r="14">
          <cell r="E14">
            <v>1</v>
          </cell>
          <cell r="F14" t="str">
            <v/>
          </cell>
          <cell r="G14" t="str">
            <v/>
          </cell>
          <cell r="J14" t="str">
            <v/>
          </cell>
          <cell r="L14" t="str">
            <v/>
          </cell>
          <cell r="W14">
            <v>0</v>
          </cell>
        </row>
        <row r="15">
          <cell r="C15">
            <v>0.36805555555555558</v>
          </cell>
          <cell r="E15">
            <v>1</v>
          </cell>
          <cell r="F15" t="str">
            <v/>
          </cell>
          <cell r="G15" t="str">
            <v/>
          </cell>
          <cell r="J15" t="str">
            <v/>
          </cell>
          <cell r="L15" t="str">
            <v/>
          </cell>
          <cell r="W15">
            <v>0</v>
          </cell>
        </row>
        <row r="16">
          <cell r="C16">
            <v>0.36805555555555558</v>
          </cell>
          <cell r="E16">
            <v>1</v>
          </cell>
          <cell r="F16" t="str">
            <v/>
          </cell>
          <cell r="G16" t="str">
            <v/>
          </cell>
          <cell r="J16" t="str">
            <v/>
          </cell>
          <cell r="L16" t="str">
            <v/>
          </cell>
          <cell r="W16">
            <v>0</v>
          </cell>
        </row>
        <row r="17">
          <cell r="C17">
            <v>0.36805555555555558</v>
          </cell>
          <cell r="E17">
            <v>1</v>
          </cell>
          <cell r="F17" t="str">
            <v/>
          </cell>
          <cell r="G17" t="str">
            <v/>
          </cell>
          <cell r="J17" t="str">
            <v/>
          </cell>
          <cell r="L17" t="str">
            <v/>
          </cell>
          <cell r="W17">
            <v>0</v>
          </cell>
        </row>
        <row r="18">
          <cell r="E18">
            <v>1</v>
          </cell>
          <cell r="F18" t="str">
            <v/>
          </cell>
          <cell r="G18" t="str">
            <v/>
          </cell>
          <cell r="J18" t="str">
            <v/>
          </cell>
          <cell r="L18" t="str">
            <v/>
          </cell>
          <cell r="W18">
            <v>0</v>
          </cell>
        </row>
        <row r="19">
          <cell r="E19">
            <v>1</v>
          </cell>
          <cell r="F19" t="str">
            <v/>
          </cell>
          <cell r="G19" t="str">
            <v/>
          </cell>
          <cell r="J19" t="str">
            <v/>
          </cell>
          <cell r="L19" t="str">
            <v/>
          </cell>
          <cell r="W19">
            <v>0</v>
          </cell>
        </row>
        <row r="20">
          <cell r="C20">
            <v>0.36805555555555558</v>
          </cell>
          <cell r="E20">
            <v>1</v>
          </cell>
          <cell r="F20" t="str">
            <v/>
          </cell>
          <cell r="G20" t="str">
            <v/>
          </cell>
          <cell r="J20" t="str">
            <v/>
          </cell>
          <cell r="L20" t="str">
            <v/>
          </cell>
          <cell r="W20">
            <v>0</v>
          </cell>
        </row>
        <row r="21">
          <cell r="C21">
            <v>0.36805555555555558</v>
          </cell>
          <cell r="E21">
            <v>1</v>
          </cell>
          <cell r="F21" t="str">
            <v/>
          </cell>
          <cell r="G21" t="str">
            <v/>
          </cell>
          <cell r="J21" t="str">
            <v/>
          </cell>
          <cell r="L21" t="str">
            <v/>
          </cell>
          <cell r="W21">
            <v>0</v>
          </cell>
        </row>
        <row r="22">
          <cell r="C22">
            <v>0.36805555555555558</v>
          </cell>
          <cell r="E22">
            <v>1</v>
          </cell>
          <cell r="F22" t="str">
            <v/>
          </cell>
          <cell r="G22" t="str">
            <v/>
          </cell>
          <cell r="J22" t="str">
            <v/>
          </cell>
          <cell r="L22" t="str">
            <v/>
          </cell>
          <cell r="W22">
            <v>0</v>
          </cell>
        </row>
        <row r="23">
          <cell r="C23">
            <v>0.36805555555555558</v>
          </cell>
          <cell r="E23">
            <v>1</v>
          </cell>
          <cell r="F23" t="str">
            <v/>
          </cell>
          <cell r="G23" t="str">
            <v/>
          </cell>
          <cell r="J23" t="str">
            <v/>
          </cell>
          <cell r="L23" t="str">
            <v/>
          </cell>
          <cell r="W23">
            <v>0</v>
          </cell>
        </row>
        <row r="24">
          <cell r="C24">
            <v>0.36805555555555558</v>
          </cell>
          <cell r="E24">
            <v>1</v>
          </cell>
          <cell r="F24" t="str">
            <v/>
          </cell>
          <cell r="G24" t="str">
            <v/>
          </cell>
          <cell r="J24" t="str">
            <v/>
          </cell>
          <cell r="L24" t="str">
            <v/>
          </cell>
          <cell r="W24">
            <v>0</v>
          </cell>
        </row>
        <row r="25">
          <cell r="E25">
            <v>1</v>
          </cell>
          <cell r="F25" t="str">
            <v/>
          </cell>
          <cell r="G25" t="str">
            <v/>
          </cell>
          <cell r="J25" t="str">
            <v/>
          </cell>
          <cell r="L25" t="str">
            <v/>
          </cell>
          <cell r="W25">
            <v>0</v>
          </cell>
        </row>
        <row r="26">
          <cell r="E26">
            <v>1</v>
          </cell>
          <cell r="F26" t="str">
            <v/>
          </cell>
          <cell r="G26" t="str">
            <v/>
          </cell>
          <cell r="J26" t="str">
            <v/>
          </cell>
          <cell r="L26" t="str">
            <v/>
          </cell>
          <cell r="W26">
            <v>0</v>
          </cell>
        </row>
        <row r="27">
          <cell r="C27">
            <v>0.36805555555555558</v>
          </cell>
          <cell r="E27">
            <v>1</v>
          </cell>
          <cell r="F27" t="str">
            <v/>
          </cell>
          <cell r="G27" t="str">
            <v/>
          </cell>
          <cell r="J27" t="str">
            <v/>
          </cell>
          <cell r="L27" t="str">
            <v/>
          </cell>
          <cell r="W27">
            <v>0</v>
          </cell>
        </row>
        <row r="28">
          <cell r="C28">
            <v>0.36805555555555558</v>
          </cell>
          <cell r="E28">
            <v>1</v>
          </cell>
          <cell r="F28" t="str">
            <v/>
          </cell>
          <cell r="G28" t="str">
            <v/>
          </cell>
          <cell r="J28" t="str">
            <v/>
          </cell>
          <cell r="L28" t="str">
            <v/>
          </cell>
          <cell r="W28">
            <v>0</v>
          </cell>
        </row>
        <row r="29">
          <cell r="C29">
            <v>0.36805555555555558</v>
          </cell>
          <cell r="E29">
            <v>1</v>
          </cell>
          <cell r="F29" t="str">
            <v/>
          </cell>
          <cell r="G29" t="str">
            <v/>
          </cell>
          <cell r="J29" t="str">
            <v/>
          </cell>
          <cell r="L29" t="str">
            <v/>
          </cell>
          <cell r="W29">
            <v>0</v>
          </cell>
        </row>
        <row r="30">
          <cell r="C30">
            <v>0.36805555555555558</v>
          </cell>
          <cell r="E30">
            <v>1</v>
          </cell>
          <cell r="F30" t="str">
            <v/>
          </cell>
          <cell r="G30" t="str">
            <v/>
          </cell>
          <cell r="J30" t="str">
            <v/>
          </cell>
          <cell r="L30" t="str">
            <v/>
          </cell>
          <cell r="W30">
            <v>0</v>
          </cell>
        </row>
        <row r="31">
          <cell r="C31">
            <v>0.36805555555555558</v>
          </cell>
          <cell r="E31">
            <v>1</v>
          </cell>
          <cell r="F31" t="str">
            <v/>
          </cell>
          <cell r="G31" t="str">
            <v/>
          </cell>
          <cell r="J31" t="str">
            <v/>
          </cell>
          <cell r="L31" t="str">
            <v/>
          </cell>
          <cell r="W31">
            <v>0</v>
          </cell>
        </row>
        <row r="32">
          <cell r="E32">
            <v>1</v>
          </cell>
          <cell r="F32" t="str">
            <v/>
          </cell>
          <cell r="G32" t="str">
            <v/>
          </cell>
          <cell r="J32" t="str">
            <v/>
          </cell>
          <cell r="L32" t="str">
            <v/>
          </cell>
          <cell r="W32">
            <v>0</v>
          </cell>
        </row>
        <row r="33">
          <cell r="E33">
            <v>1</v>
          </cell>
          <cell r="F33" t="str">
            <v/>
          </cell>
          <cell r="G33" t="str">
            <v/>
          </cell>
          <cell r="J33" t="str">
            <v/>
          </cell>
          <cell r="L33" t="str">
            <v/>
          </cell>
          <cell r="W33">
            <v>0</v>
          </cell>
        </row>
        <row r="34">
          <cell r="C34">
            <v>0.36805555555555558</v>
          </cell>
          <cell r="E34">
            <v>1</v>
          </cell>
          <cell r="F34" t="str">
            <v/>
          </cell>
          <cell r="G34" t="str">
            <v/>
          </cell>
          <cell r="J34" t="str">
            <v/>
          </cell>
          <cell r="L34" t="str">
            <v/>
          </cell>
          <cell r="W34">
            <v>0</v>
          </cell>
        </row>
        <row r="35">
          <cell r="C35">
            <v>0.36805555555555558</v>
          </cell>
          <cell r="E35">
            <v>1</v>
          </cell>
          <cell r="F35" t="str">
            <v/>
          </cell>
          <cell r="G35" t="str">
            <v/>
          </cell>
          <cell r="J35" t="str">
            <v/>
          </cell>
          <cell r="L35" t="str">
            <v/>
          </cell>
          <cell r="W35">
            <v>0</v>
          </cell>
        </row>
      </sheetData>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入力シート"/>
      <sheetName val="計算シート"/>
      <sheetName val="業務完了報告書"/>
      <sheetName val="稼働実績内訳書"/>
      <sheetName val="派遣先管理台帳（タイムシート）"/>
      <sheetName val="交通費請求書兼精算書"/>
      <sheetName val="実費精算書"/>
      <sheetName val="タイムテーブル"/>
      <sheetName val="詳細設定"/>
      <sheetName val="C-SUM"/>
      <sheetName val="FAQ"/>
      <sheetName val="変更履歴"/>
    </sheetNames>
    <sheetDataSet>
      <sheetData sheetId="0">
        <row r="8">
          <cell r="N8">
            <v>2017</v>
          </cell>
          <cell r="P8">
            <v>9</v>
          </cell>
        </row>
        <row r="14">
          <cell r="AF14">
            <v>0</v>
          </cell>
          <cell r="AG14">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終了確認"/>
      <sheetName val="年月氏名入力"/>
      <sheetName val="条件入力"/>
      <sheetName val="勤務状況入力"/>
      <sheetName val="勤務表１"/>
      <sheetName val="Module2"/>
      <sheetName val="基数"/>
      <sheetName val="タイムテーブル"/>
      <sheetName val="祭日"/>
      <sheetName val="ヴァージョン情報"/>
      <sheetName val="勤報"/>
      <sheetName val="Data_Sheet"/>
    </sheetNames>
    <sheetDataSet>
      <sheetData sheetId="0" refreshError="1"/>
      <sheetData sheetId="1" refreshError="1"/>
      <sheetData sheetId="2" refreshError="1"/>
      <sheetData sheetId="3" refreshError="1"/>
      <sheetData sheetId="4" refreshError="1">
        <row r="9">
          <cell r="C9" t="str">
            <v>099999</v>
          </cell>
        </row>
        <row r="10">
          <cell r="C10" t="str">
            <v>通信　太郎</v>
          </cell>
        </row>
      </sheetData>
      <sheetData sheetId="5" refreshError="1"/>
      <sheetData sheetId="6"/>
      <sheetData sheetId="7" refreshError="1"/>
      <sheetData sheetId="8"/>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業務完了報告書（請負）"/>
      <sheetName val="交通費請求書兼精算書（請負）"/>
      <sheetName val="祭日"/>
    </sheetNames>
    <sheetDataSet>
      <sheetData sheetId="0"/>
      <sheetData sheetId="1"/>
      <sheetData sheetId="2">
        <row r="5">
          <cell r="D5">
            <v>39448</v>
          </cell>
        </row>
        <row r="6">
          <cell r="D6">
            <v>39449</v>
          </cell>
        </row>
        <row r="7">
          <cell r="D7">
            <v>39450</v>
          </cell>
        </row>
        <row r="8">
          <cell r="D8">
            <v>39461</v>
          </cell>
        </row>
        <row r="9">
          <cell r="D9">
            <v>39489</v>
          </cell>
        </row>
        <row r="10">
          <cell r="D10">
            <v>39527</v>
          </cell>
        </row>
        <row r="11">
          <cell r="D11">
            <v>39567</v>
          </cell>
        </row>
        <row r="12">
          <cell r="D12">
            <v>39571</v>
          </cell>
        </row>
        <row r="13">
          <cell r="D13">
            <v>39572</v>
          </cell>
        </row>
        <row r="14">
          <cell r="D14">
            <v>39573</v>
          </cell>
        </row>
        <row r="15">
          <cell r="D15">
            <v>39650</v>
          </cell>
        </row>
        <row r="16">
          <cell r="D16">
            <v>39706</v>
          </cell>
        </row>
        <row r="17">
          <cell r="D17">
            <v>39714</v>
          </cell>
        </row>
        <row r="18">
          <cell r="D18">
            <v>39734</v>
          </cell>
        </row>
        <row r="19">
          <cell r="D19">
            <v>39755</v>
          </cell>
        </row>
        <row r="20">
          <cell r="D20">
            <v>39776</v>
          </cell>
        </row>
        <row r="21">
          <cell r="D21">
            <v>39805</v>
          </cell>
        </row>
        <row r="22">
          <cell r="D22">
            <v>39811</v>
          </cell>
        </row>
        <row r="23">
          <cell r="D23">
            <v>39812</v>
          </cell>
        </row>
        <row r="24">
          <cell r="D24">
            <v>39813</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勤務報告書"/>
      <sheetName val="計算シート"/>
      <sheetName val="提出用紙"/>
      <sheetName val="業務完了報告書（印刷用）"/>
      <sheetName val="派遣先管理台帳（タイムシート）"/>
      <sheetName val="交通費請求書兼精算書（印刷用）"/>
      <sheetName val="交通費請求書兼精算書"/>
      <sheetName val="勤務報告書 (様式のみ 手書き用）"/>
      <sheetName val="タイムテーブル"/>
      <sheetName val="詳細設定"/>
      <sheetName val="C-SUM"/>
      <sheetName val="FAQ"/>
      <sheetName val="変更履歴"/>
    </sheetNames>
    <sheetDataSet>
      <sheetData sheetId="0">
        <row r="14">
          <cell r="AF14">
            <v>0</v>
          </cell>
          <cell r="AG14">
            <v>0</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2.vml"/><Relationship Id="rId21" Type="http://schemas.openxmlformats.org/officeDocument/2006/relationships/image" Target="../media/image16.emf"/><Relationship Id="rId34" Type="http://schemas.openxmlformats.org/officeDocument/2006/relationships/control" Target="../activeX/activeX23.xml"/><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33" Type="http://schemas.openxmlformats.org/officeDocument/2006/relationships/image" Target="../media/image22.emf"/><Relationship Id="rId38"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2.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ntrol" Target="../activeX/activeX22.xml"/><Relationship Id="rId37" Type="http://schemas.openxmlformats.org/officeDocument/2006/relationships/image" Target="../media/image24.emf"/><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36" Type="http://schemas.openxmlformats.org/officeDocument/2006/relationships/control" Target="../activeX/activeX24.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 Id="rId35" Type="http://schemas.openxmlformats.org/officeDocument/2006/relationships/image" Target="../media/image23.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omments" Target="../comments3.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hyperlink" Target="mailto:bp-keiyaku@dts.co.jp"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E67"/>
  <sheetViews>
    <sheetView showGridLines="0" tabSelected="1" zoomScale="70" zoomScaleNormal="70" workbookViewId="0">
      <pane ySplit="12" topLeftCell="A13" activePane="bottomLeft" state="frozen"/>
      <selection pane="bottomLeft"/>
    </sheetView>
  </sheetViews>
  <sheetFormatPr defaultRowHeight="14.25"/>
  <cols>
    <col min="1" max="1" width="5.625" style="45" customWidth="1"/>
    <col min="2" max="2" width="3.5" style="45" customWidth="1"/>
    <col min="3" max="3" width="9.375" style="53" customWidth="1"/>
    <col min="4" max="4" width="8.625" style="45" customWidth="1" collapsed="1"/>
    <col min="5" max="5" width="8.125" style="50" customWidth="1" collapsed="1"/>
    <col min="6" max="6" width="8.75" style="203" customWidth="1"/>
    <col min="7" max="7" width="7.5" style="45" customWidth="1"/>
    <col min="8" max="8" width="7.875" style="45" customWidth="1"/>
    <col min="9" max="9" width="7.75" style="45" customWidth="1"/>
    <col min="10" max="10" width="8.125" style="45" customWidth="1"/>
    <col min="11" max="11" width="8.25" style="45" customWidth="1"/>
    <col min="12" max="12" width="8.125" style="45" customWidth="1"/>
    <col min="13" max="13" width="0.75" style="45" hidden="1" customWidth="1"/>
    <col min="14" max="14" width="12.25" style="45" customWidth="1"/>
    <col min="15" max="15" width="11" style="45" customWidth="1"/>
    <col min="16" max="16" width="10.625" style="45" customWidth="1"/>
    <col min="17" max="17" width="8.125" style="45" customWidth="1" collapsed="1"/>
    <col min="18" max="18" width="8.625" style="45" bestFit="1" customWidth="1"/>
    <col min="19" max="19" width="8.625" style="45" customWidth="1" collapsed="1"/>
    <col min="20" max="20" width="8.625" style="45" customWidth="1"/>
    <col min="21" max="21" width="9.25" style="45" customWidth="1"/>
    <col min="22" max="23" width="9.5" style="45" customWidth="1"/>
    <col min="24" max="24" width="2" style="45" customWidth="1"/>
    <col min="25" max="25" width="1.875" customWidth="1"/>
    <col min="26" max="26" width="4.25" customWidth="1"/>
    <col min="27" max="27" width="9.375" bestFit="1" customWidth="1"/>
    <col min="30" max="30" width="9.625" customWidth="1"/>
    <col min="31" max="31" width="8.875" hidden="1" customWidth="1"/>
    <col min="32" max="32" width="9.25" hidden="1" customWidth="1"/>
    <col min="33" max="37" width="8.875" hidden="1" customWidth="1"/>
    <col min="38" max="38" width="9.75" hidden="1" customWidth="1"/>
    <col min="39" max="39" width="8.875" hidden="1" customWidth="1"/>
    <col min="40" max="40" width="16.375" customWidth="1"/>
  </cols>
  <sheetData>
    <row r="1" spans="1:83" ht="33.75" customHeight="1" thickBot="1">
      <c r="A1" s="44"/>
      <c r="B1" s="44"/>
      <c r="C1" s="462"/>
      <c r="D1" s="463"/>
      <c r="E1" s="464"/>
      <c r="F1" s="465"/>
      <c r="G1" s="44"/>
      <c r="H1" s="44"/>
      <c r="I1" s="44"/>
      <c r="J1" s="44"/>
      <c r="K1" s="44"/>
      <c r="L1" s="44"/>
      <c r="M1" s="44"/>
      <c r="N1" s="44"/>
      <c r="O1" s="44"/>
      <c r="P1" s="44"/>
      <c r="Q1" s="44"/>
      <c r="R1" s="44"/>
      <c r="S1" s="44"/>
      <c r="T1" s="44"/>
      <c r="U1" s="44"/>
      <c r="V1" s="44"/>
      <c r="W1" s="44"/>
      <c r="X1" s="44"/>
      <c r="Y1" s="306"/>
      <c r="Z1" s="340"/>
      <c r="AA1" s="817" t="s">
        <v>792</v>
      </c>
      <c r="AB1" s="818"/>
      <c r="AC1" s="818"/>
      <c r="AD1" s="818"/>
      <c r="AE1" s="818"/>
      <c r="AF1" s="818"/>
      <c r="AG1" s="818"/>
      <c r="AH1" s="818"/>
      <c r="AI1" s="818"/>
      <c r="AJ1" s="818"/>
      <c r="AK1" s="818"/>
      <c r="AL1" s="818"/>
      <c r="AM1" s="818"/>
      <c r="AN1" s="819"/>
    </row>
    <row r="2" spans="1:83">
      <c r="A2" s="44"/>
      <c r="B2" s="44"/>
      <c r="C2" s="462"/>
      <c r="D2" s="463"/>
      <c r="E2" s="464"/>
      <c r="F2" s="465"/>
      <c r="G2" s="44"/>
      <c r="H2" s="44"/>
      <c r="I2" s="44"/>
      <c r="J2" s="44"/>
      <c r="K2" s="44"/>
      <c r="L2" s="44"/>
      <c r="M2" s="44"/>
      <c r="N2" s="44"/>
      <c r="O2" s="44"/>
      <c r="P2" s="44"/>
      <c r="Q2" s="44"/>
      <c r="R2" s="44"/>
      <c r="S2" s="44"/>
      <c r="T2" s="308"/>
      <c r="U2" s="44"/>
      <c r="V2" s="44"/>
      <c r="W2" s="44"/>
      <c r="X2" s="44"/>
      <c r="Y2" s="306"/>
      <c r="Z2" s="306"/>
      <c r="AA2" s="820" t="s">
        <v>742</v>
      </c>
      <c r="AB2" s="821"/>
      <c r="AC2" s="821"/>
      <c r="AD2" s="821"/>
      <c r="AE2" s="821"/>
      <c r="AF2" s="821"/>
      <c r="AG2" s="821"/>
      <c r="AH2" s="821"/>
      <c r="AI2" s="821"/>
      <c r="AJ2" s="821"/>
      <c r="AK2" s="821"/>
      <c r="AL2" s="821"/>
      <c r="AM2" s="821"/>
      <c r="AN2" s="822"/>
    </row>
    <row r="3" spans="1:83">
      <c r="A3" s="44"/>
      <c r="B3" s="44"/>
      <c r="C3" s="466"/>
      <c r="D3" s="463"/>
      <c r="E3" s="464"/>
      <c r="F3" s="465"/>
      <c r="G3" s="44"/>
      <c r="H3" s="44"/>
      <c r="I3" s="44"/>
      <c r="J3" s="44"/>
      <c r="K3" s="44"/>
      <c r="L3" s="44"/>
      <c r="M3" s="44"/>
      <c r="N3" s="44"/>
      <c r="O3" s="44"/>
      <c r="P3" s="44"/>
      <c r="Q3" s="44"/>
      <c r="R3" s="44"/>
      <c r="S3" s="44"/>
      <c r="T3" s="44"/>
      <c r="U3" s="44"/>
      <c r="V3" s="44"/>
      <c r="W3" s="44"/>
      <c r="X3" s="44"/>
      <c r="Y3" s="306"/>
      <c r="Z3" s="306"/>
      <c r="AA3" s="820" t="s">
        <v>744</v>
      </c>
      <c r="AB3" s="821"/>
      <c r="AC3" s="821"/>
      <c r="AD3" s="821"/>
      <c r="AE3" s="821"/>
      <c r="AF3" s="821"/>
      <c r="AG3" s="821"/>
      <c r="AH3" s="821"/>
      <c r="AI3" s="821"/>
      <c r="AJ3" s="821"/>
      <c r="AK3" s="821"/>
      <c r="AL3" s="821"/>
      <c r="AM3" s="821"/>
      <c r="AN3" s="822"/>
    </row>
    <row r="4" spans="1:83" ht="15" thickBot="1">
      <c r="A4" s="44"/>
      <c r="B4" s="44"/>
      <c r="C4" s="462"/>
      <c r="D4" s="463"/>
      <c r="E4" s="464"/>
      <c r="F4" s="465"/>
      <c r="G4" s="44"/>
      <c r="H4" s="44"/>
      <c r="I4" s="44"/>
      <c r="J4" s="44"/>
      <c r="K4" s="44"/>
      <c r="L4" s="44"/>
      <c r="M4" s="44"/>
      <c r="N4" s="44"/>
      <c r="O4" s="44"/>
      <c r="P4" s="44"/>
      <c r="Q4" s="44"/>
      <c r="R4" s="44"/>
      <c r="S4" s="44"/>
      <c r="T4" s="44"/>
      <c r="U4" s="44"/>
      <c r="V4" s="44"/>
      <c r="W4" s="44"/>
      <c r="X4" s="44"/>
      <c r="Y4" s="306"/>
      <c r="Z4" s="306"/>
      <c r="AA4" s="823" t="s">
        <v>743</v>
      </c>
      <c r="AB4" s="824"/>
      <c r="AC4" s="824"/>
      <c r="AD4" s="824"/>
      <c r="AE4" s="824"/>
      <c r="AF4" s="824"/>
      <c r="AG4" s="824"/>
      <c r="AH4" s="824"/>
      <c r="AI4" s="824"/>
      <c r="AJ4" s="824"/>
      <c r="AK4" s="824"/>
      <c r="AL4" s="824"/>
      <c r="AM4" s="824"/>
      <c r="AN4" s="825"/>
    </row>
    <row r="5" spans="1:83" ht="19.5" customHeight="1">
      <c r="A5" s="44"/>
      <c r="B5" s="44"/>
      <c r="C5" s="467"/>
      <c r="D5" s="463"/>
      <c r="E5" s="464"/>
      <c r="F5" s="465"/>
      <c r="G5" s="44"/>
      <c r="H5" s="44"/>
      <c r="I5" s="44"/>
      <c r="J5" s="44"/>
      <c r="K5" s="44"/>
      <c r="L5" s="44"/>
      <c r="M5" s="44"/>
      <c r="N5" s="44"/>
      <c r="O5" s="44"/>
      <c r="P5" s="44"/>
      <c r="Q5" s="44"/>
      <c r="R5" s="44"/>
      <c r="S5" s="44"/>
      <c r="T5" s="44"/>
      <c r="U5" s="44"/>
      <c r="V5" s="44"/>
      <c r="W5" s="44"/>
      <c r="X5" s="44"/>
      <c r="Y5" s="306"/>
      <c r="Z5" s="306"/>
      <c r="AA5" s="306"/>
    </row>
    <row r="6" spans="1:83" ht="27.75" customHeight="1">
      <c r="A6" s="44"/>
      <c r="B6" s="864" t="s">
        <v>542</v>
      </c>
      <c r="C6" s="865"/>
      <c r="D6" s="871" t="s">
        <v>801</v>
      </c>
      <c r="E6" s="872"/>
      <c r="F6" s="872"/>
      <c r="G6" s="872"/>
      <c r="H6" s="873"/>
      <c r="I6" s="44"/>
      <c r="J6" s="44"/>
      <c r="K6" s="44"/>
      <c r="L6" s="44"/>
      <c r="M6" s="44"/>
      <c r="N6" s="44"/>
      <c r="O6" s="44"/>
      <c r="P6" s="44"/>
      <c r="Q6" s="306"/>
      <c r="R6" s="44"/>
      <c r="S6" s="527"/>
      <c r="T6" s="528"/>
      <c r="U6" s="528"/>
      <c r="V6" s="318"/>
      <c r="W6" s="318"/>
      <c r="X6" s="44"/>
      <c r="Y6" s="306"/>
      <c r="Z6" s="306"/>
      <c r="AA6" s="306"/>
    </row>
    <row r="7" spans="1:83" ht="27.75" customHeight="1">
      <c r="A7" s="44"/>
      <c r="B7" s="864" t="s">
        <v>538</v>
      </c>
      <c r="C7" s="865"/>
      <c r="D7" s="874">
        <v>83500059</v>
      </c>
      <c r="E7" s="875"/>
      <c r="F7" s="875"/>
      <c r="G7" s="875"/>
      <c r="H7" s="876"/>
      <c r="I7" s="48"/>
      <c r="J7" s="48"/>
      <c r="K7" s="48"/>
      <c r="L7" s="48"/>
      <c r="M7" s="48"/>
      <c r="N7" s="44"/>
      <c r="O7" s="44"/>
      <c r="P7" s="44"/>
      <c r="Q7" s="306"/>
      <c r="R7" s="44"/>
      <c r="S7" s="529"/>
      <c r="T7" s="529"/>
      <c r="U7" s="530"/>
      <c r="V7" s="318"/>
      <c r="W7" s="318"/>
      <c r="X7" s="44"/>
      <c r="Y7" s="306"/>
      <c r="Z7" s="306"/>
      <c r="AA7" s="306"/>
    </row>
    <row r="8" spans="1:83" ht="27.75" customHeight="1">
      <c r="A8" s="44"/>
      <c r="B8" s="864" t="s">
        <v>541</v>
      </c>
      <c r="C8" s="865"/>
      <c r="D8" s="877" t="s">
        <v>810</v>
      </c>
      <c r="E8" s="878"/>
      <c r="F8" s="878"/>
      <c r="G8" s="878"/>
      <c r="H8" s="879"/>
      <c r="I8" s="206"/>
      <c r="J8" s="206"/>
      <c r="K8" s="224"/>
      <c r="L8" s="224"/>
      <c r="M8" s="225"/>
      <c r="N8" s="226">
        <f>YEAR(計算シート!T2)</f>
        <v>2021</v>
      </c>
      <c r="O8" s="227" t="s">
        <v>387</v>
      </c>
      <c r="P8" s="207">
        <f>MONTH(計算シート!T2)</f>
        <v>1</v>
      </c>
      <c r="Q8" s="306"/>
      <c r="R8" s="208"/>
      <c r="S8" s="531"/>
      <c r="T8" s="531"/>
      <c r="U8" s="531"/>
      <c r="V8" s="318"/>
      <c r="W8" s="318"/>
      <c r="X8" s="44"/>
      <c r="Y8" s="306"/>
      <c r="Z8" s="306"/>
      <c r="AA8" s="306"/>
    </row>
    <row r="9" spans="1:83" ht="19.5" customHeight="1">
      <c r="A9" s="44"/>
      <c r="B9" s="44"/>
      <c r="C9" s="46"/>
      <c r="D9" s="47"/>
      <c r="E9" s="44"/>
      <c r="F9" s="205"/>
      <c r="G9" s="206"/>
      <c r="H9" s="206"/>
      <c r="I9" s="206"/>
      <c r="J9" s="206"/>
      <c r="K9" s="206"/>
      <c r="L9" s="209"/>
      <c r="M9" s="210"/>
      <c r="N9" s="211"/>
      <c r="O9" s="49"/>
      <c r="P9" s="49"/>
      <c r="Q9" s="306"/>
      <c r="R9" s="208"/>
      <c r="S9" s="532"/>
      <c r="T9" s="533"/>
      <c r="U9" s="532"/>
      <c r="V9" s="318"/>
      <c r="W9" s="318"/>
      <c r="X9" s="44"/>
      <c r="Y9" s="306"/>
      <c r="Z9" s="306"/>
      <c r="AA9" s="306"/>
    </row>
    <row r="10" spans="1:83" ht="17.25">
      <c r="A10" s="44"/>
      <c r="B10" s="810" t="str">
        <f>IF(C47=COUNTA(C13:C43)-COUNTBLANK(D13:D43),"","※出勤日数が異常です。")</f>
        <v/>
      </c>
      <c r="C10" s="309"/>
      <c r="D10" s="204"/>
      <c r="E10" s="310"/>
      <c r="F10" s="311"/>
      <c r="G10" s="312"/>
      <c r="H10" s="312"/>
      <c r="I10" s="312"/>
      <c r="J10" s="312"/>
      <c r="K10" s="312"/>
      <c r="L10" s="312"/>
      <c r="M10" s="312"/>
      <c r="N10" s="310"/>
      <c r="O10" s="313"/>
      <c r="P10" s="313"/>
      <c r="Q10" s="314"/>
      <c r="R10" s="314"/>
      <c r="S10" s="315"/>
      <c r="T10" s="312"/>
      <c r="U10" s="49"/>
      <c r="V10" s="44"/>
      <c r="W10" s="44"/>
      <c r="X10" s="44"/>
      <c r="Y10" s="306"/>
      <c r="Z10" s="306"/>
      <c r="AA10" s="306"/>
      <c r="AE10" t="s">
        <v>426</v>
      </c>
    </row>
    <row r="11" spans="1:83" ht="38.25" customHeight="1">
      <c r="A11" s="43"/>
      <c r="B11" s="846" t="s">
        <v>288</v>
      </c>
      <c r="C11" s="847"/>
      <c r="D11" s="212" t="s">
        <v>661</v>
      </c>
      <c r="E11" s="212"/>
      <c r="F11" s="861" t="s">
        <v>662</v>
      </c>
      <c r="G11" s="862"/>
      <c r="H11" s="862"/>
      <c r="I11" s="862"/>
      <c r="J11" s="862"/>
      <c r="K11" s="863"/>
      <c r="L11" s="500" t="s">
        <v>521</v>
      </c>
      <c r="M11" s="501"/>
      <c r="N11" s="502" t="s">
        <v>289</v>
      </c>
      <c r="O11" s="503"/>
      <c r="P11" s="504" t="s">
        <v>290</v>
      </c>
      <c r="Q11" s="213" t="s">
        <v>131</v>
      </c>
      <c r="R11" s="51"/>
      <c r="S11" s="51"/>
      <c r="T11" s="52"/>
      <c r="U11" s="214"/>
      <c r="V11" s="869"/>
      <c r="W11" s="866"/>
      <c r="X11" s="43"/>
      <c r="Y11" s="306"/>
      <c r="Z11" s="306"/>
      <c r="AA11" s="306"/>
      <c r="AE11" s="335" t="str">
        <f>getWorkNumInInputCheck(Q12)</f>
        <v>3521-05434</v>
      </c>
      <c r="AF11" s="335" t="str">
        <f>getWorkNumInInputCheck(R12)</f>
        <v/>
      </c>
      <c r="AG11" s="335" t="str">
        <f>getWorkNumInInputCheck(S12)</f>
        <v/>
      </c>
      <c r="AH11" s="335" t="str">
        <f>getWorkNumInInputCheck(T12)</f>
        <v/>
      </c>
      <c r="AI11" s="335" t="str">
        <f>getWorkNumInInputCheck(U12)</f>
        <v/>
      </c>
    </row>
    <row r="12" spans="1:83" ht="31.5" customHeight="1">
      <c r="A12" s="43"/>
      <c r="B12" s="848"/>
      <c r="C12" s="849"/>
      <c r="D12" s="215" t="s">
        <v>132</v>
      </c>
      <c r="E12" s="216" t="s">
        <v>291</v>
      </c>
      <c r="F12" s="525" t="s">
        <v>660</v>
      </c>
      <c r="G12" s="526"/>
      <c r="H12" s="526"/>
      <c r="I12" s="526"/>
      <c r="J12" s="526"/>
      <c r="K12" s="526"/>
      <c r="L12" s="505" t="s">
        <v>522</v>
      </c>
      <c r="M12" s="506"/>
      <c r="N12" s="507" t="s">
        <v>292</v>
      </c>
      <c r="O12" s="508" t="s">
        <v>293</v>
      </c>
      <c r="P12" s="509" t="s">
        <v>294</v>
      </c>
      <c r="Q12" s="429" t="s">
        <v>811</v>
      </c>
      <c r="R12" s="430"/>
      <c r="S12" s="430"/>
      <c r="T12" s="430"/>
      <c r="U12" s="472"/>
      <c r="V12" s="870"/>
      <c r="W12" s="867"/>
      <c r="X12" s="43"/>
      <c r="Y12" s="306"/>
      <c r="Z12" s="306"/>
      <c r="AA12" s="306"/>
    </row>
    <row r="13" spans="1:83" ht="33.75" customHeight="1">
      <c r="A13" s="44"/>
      <c r="B13" s="217"/>
      <c r="C13" s="218">
        <f>DATE(年,月,1)</f>
        <v>44197</v>
      </c>
      <c r="D13" s="228" t="str">
        <f>IF(計算シート!C13&lt;&gt;"",計算シート!C13,"")</f>
        <v/>
      </c>
      <c r="E13" s="228" t="str">
        <f>IF(計算シート!D13&lt;&gt;"",計算シート!D13,"")</f>
        <v/>
      </c>
      <c r="F13" s="229" t="str">
        <f>IF(計算シート!E13&lt;&gt;"",計算シート!E13,"")</f>
        <v/>
      </c>
      <c r="G13" s="230" t="str">
        <f>IF(計算シート!F13&lt;&gt;"",計算シート!F13,"")</f>
        <v/>
      </c>
      <c r="H13" s="230"/>
      <c r="I13" s="230"/>
      <c r="J13" s="230"/>
      <c r="K13" s="230"/>
      <c r="L13" s="510" t="str">
        <f>IF(計算シート!CZ13&gt;0, 計算シート!CZ13, "")</f>
        <v/>
      </c>
      <c r="M13" s="511"/>
      <c r="N13" s="512" t="str">
        <f>IF(時間外表示=0,IF(計算シート!AI13&gt;0,計算シート!AI13,""),"")</f>
        <v/>
      </c>
      <c r="O13" s="513" t="str">
        <f>IF(時間外表示=0,IF(計算シート!AK13&gt;0,計算シート!AK13,""),"")</f>
        <v/>
      </c>
      <c r="P13" s="514" t="str">
        <f>IF(深夜時間表示=0,IF(計算シート!L13&gt;0,計算シート!L13,""),"")</f>
        <v/>
      </c>
      <c r="Q13" s="721" t="str">
        <f>計算シート!M13</f>
        <v/>
      </c>
      <c r="R13" s="722" t="str">
        <f>計算シート!N13</f>
        <v/>
      </c>
      <c r="S13" s="722" t="str">
        <f>計算シート!O13</f>
        <v/>
      </c>
      <c r="T13" s="722" t="str">
        <f>計算シート!P13</f>
        <v/>
      </c>
      <c r="U13" s="723" t="str">
        <f>IF(計算シート!CS13&lt;&gt;"",計算シート!CS13,"")</f>
        <v/>
      </c>
      <c r="V13" s="812" t="str">
        <f>'派遣先管理台帳（タイムシート）'!Q22</f>
        <v/>
      </c>
      <c r="W13" s="811" t="str">
        <f>'派遣先管理台帳（タイムシート）'!AU22</f>
        <v/>
      </c>
      <c r="X13" s="44"/>
      <c r="Y13" s="306"/>
      <c r="Z13" s="306"/>
      <c r="AA13" s="306"/>
      <c r="CE13">
        <v>1</v>
      </c>
    </row>
    <row r="14" spans="1:83" ht="33.75" customHeight="1">
      <c r="A14" s="44"/>
      <c r="B14" s="217"/>
      <c r="C14" s="218">
        <f>DATE(年,月,2)</f>
        <v>44198</v>
      </c>
      <c r="D14" s="228" t="str">
        <f>IF(計算シート!C14&lt;&gt;"",計算シート!C14,"")</f>
        <v/>
      </c>
      <c r="E14" s="228" t="str">
        <f>IF(計算シート!D14&lt;&gt;"",計算シート!D14,"")</f>
        <v/>
      </c>
      <c r="F14" s="229" t="str">
        <f>IF(計算シート!E14&lt;&gt;"",計算シート!E14,"")</f>
        <v/>
      </c>
      <c r="G14" s="230" t="str">
        <f>IF(計算シート!F14&lt;&gt;"",計算シート!F14,"")</f>
        <v/>
      </c>
      <c r="H14" s="230"/>
      <c r="I14" s="230"/>
      <c r="J14" s="230"/>
      <c r="K14" s="230"/>
      <c r="L14" s="515" t="str">
        <f>IF(計算シート!CZ14&gt;0, 計算シート!CZ14, "")</f>
        <v/>
      </c>
      <c r="M14" s="511"/>
      <c r="N14" s="516" t="str">
        <f>IF(時間外表示=0,IF(計算シート!AI14&gt;0,計算シート!AI14,""),"")</f>
        <v/>
      </c>
      <c r="O14" s="513" t="str">
        <f>IF(時間外表示=0,IF(計算シート!AK14&gt;0,計算シート!AK14,""),"")</f>
        <v/>
      </c>
      <c r="P14" s="514" t="str">
        <f>IF(深夜時間表示=0,IF(計算シート!L14&gt;0,計算シート!L14,""),"")</f>
        <v/>
      </c>
      <c r="Q14" s="721" t="str">
        <f>計算シート!M14</f>
        <v/>
      </c>
      <c r="R14" s="722" t="str">
        <f>計算シート!N14</f>
        <v/>
      </c>
      <c r="S14" s="722" t="str">
        <f>計算シート!O14</f>
        <v/>
      </c>
      <c r="T14" s="722" t="str">
        <f>計算シート!P14</f>
        <v/>
      </c>
      <c r="U14" s="723" t="str">
        <f>IF(計算シート!CS14&lt;&gt;"",計算シート!CS14,"")</f>
        <v/>
      </c>
      <c r="V14" s="812" t="str">
        <f>'派遣先管理台帳（タイムシート）'!Q23</f>
        <v/>
      </c>
      <c r="W14" s="811" t="str">
        <f>'派遣先管理台帳（タイムシート）'!AU23</f>
        <v/>
      </c>
      <c r="X14" s="44"/>
      <c r="Y14" s="306"/>
      <c r="Z14" s="306"/>
      <c r="AA14" s="306"/>
      <c r="AE14" s="162">
        <v>1</v>
      </c>
      <c r="AF14" s="162">
        <v>0</v>
      </c>
      <c r="AG14" s="162">
        <v>0</v>
      </c>
    </row>
    <row r="15" spans="1:83" ht="33.75" customHeight="1">
      <c r="A15" s="44"/>
      <c r="B15" s="217"/>
      <c r="C15" s="218">
        <f>DATE(年,月,3)</f>
        <v>44199</v>
      </c>
      <c r="D15" s="228" t="str">
        <f>IF(計算シート!C15&lt;&gt;"",計算シート!C15,"")</f>
        <v/>
      </c>
      <c r="E15" s="228" t="str">
        <f>IF(計算シート!D15&lt;&gt;"",計算シート!D15,"")</f>
        <v/>
      </c>
      <c r="F15" s="229" t="str">
        <f>IF(計算シート!E15&lt;&gt;"",計算シート!E15,"")</f>
        <v/>
      </c>
      <c r="G15" s="230" t="str">
        <f>IF(計算シート!F15&lt;&gt;"",計算シート!F15,"")</f>
        <v/>
      </c>
      <c r="H15" s="230"/>
      <c r="I15" s="230"/>
      <c r="J15" s="230"/>
      <c r="K15" s="230"/>
      <c r="L15" s="515" t="str">
        <f>IF(計算シート!CZ15&gt;0, 計算シート!CZ15, "")</f>
        <v/>
      </c>
      <c r="M15" s="511"/>
      <c r="N15" s="516" t="str">
        <f>IF(時間外表示=0,IF(計算シート!AI15&gt;0,計算シート!AI15,""),"")</f>
        <v/>
      </c>
      <c r="O15" s="513" t="str">
        <f>IF(時間外表示=0,IF(計算シート!AK15&gt;0,計算シート!AK15,""),"")</f>
        <v/>
      </c>
      <c r="P15" s="514" t="str">
        <f>IF(深夜時間表示=0,IF(計算シート!L15&gt;0,計算シート!L15,""),"")</f>
        <v/>
      </c>
      <c r="Q15" s="721" t="str">
        <f>計算シート!M15</f>
        <v/>
      </c>
      <c r="R15" s="722" t="str">
        <f>計算シート!N15</f>
        <v/>
      </c>
      <c r="S15" s="722" t="str">
        <f>計算シート!O15</f>
        <v/>
      </c>
      <c r="T15" s="722" t="str">
        <f>計算シート!P15</f>
        <v/>
      </c>
      <c r="U15" s="723" t="str">
        <f>IF(計算シート!CS15&lt;&gt;"",計算シート!CS15,"")</f>
        <v/>
      </c>
      <c r="V15" s="812" t="str">
        <f>'派遣先管理台帳（タイムシート）'!Q24</f>
        <v/>
      </c>
      <c r="W15" s="811" t="str">
        <f>'派遣先管理台帳（タイムシート）'!AU24</f>
        <v/>
      </c>
      <c r="X15" s="44"/>
      <c r="Y15" s="306"/>
      <c r="Z15" s="306"/>
      <c r="AA15" s="306"/>
    </row>
    <row r="16" spans="1:83" ht="33.75" customHeight="1">
      <c r="A16" s="44"/>
      <c r="B16" s="217"/>
      <c r="C16" s="218">
        <f>DATE(年,月,4)</f>
        <v>44200</v>
      </c>
      <c r="D16" s="228" t="str">
        <f>IF(計算シート!C16&lt;&gt;"",計算シート!C16,"")</f>
        <v>9:30</v>
      </c>
      <c r="E16" s="228" t="str">
        <f>IF(計算シート!D16&lt;&gt;"",計算シート!D16,"")</f>
        <v>18:15</v>
      </c>
      <c r="F16" s="229" t="str">
        <f>IF(計算シート!E16&lt;&gt;"",計算シート!E16,"")</f>
        <v>休出</v>
      </c>
      <c r="G16" s="230" t="str">
        <f>IF(計算シート!F16&lt;&gt;"",計算シート!F16,"")</f>
        <v/>
      </c>
      <c r="H16" s="230"/>
      <c r="I16" s="230"/>
      <c r="J16" s="230"/>
      <c r="K16" s="230"/>
      <c r="L16" s="515" t="str">
        <f>IF(計算シート!CZ16&gt;0, 計算シート!CZ16, "")</f>
        <v/>
      </c>
      <c r="M16" s="511"/>
      <c r="N16" s="516">
        <f>IF(時間外表示=0,IF(計算シート!AI16&gt;0,計算シート!AI16,""),"")</f>
        <v>465</v>
      </c>
      <c r="O16" s="513" t="str">
        <f>IF(時間外表示=0,IF(計算シート!AK16&gt;0,計算シート!AK16,""),"")</f>
        <v/>
      </c>
      <c r="P16" s="514" t="str">
        <f>IF(深夜時間表示=0,IF(計算シート!L16&gt;0,計算シート!L16,""),"")</f>
        <v/>
      </c>
      <c r="Q16" s="721">
        <f>計算シート!M16</f>
        <v>0.32291666666666669</v>
      </c>
      <c r="R16" s="722" t="str">
        <f>計算シート!N16</f>
        <v/>
      </c>
      <c r="S16" s="722" t="str">
        <f>計算シート!O16</f>
        <v/>
      </c>
      <c r="T16" s="722" t="str">
        <f>計算シート!P16</f>
        <v/>
      </c>
      <c r="U16" s="723" t="str">
        <f>IF(計算シート!CS16&lt;&gt;"",計算シート!CS16,"")</f>
        <v/>
      </c>
      <c r="V16" s="812">
        <f>'派遣先管理台帳（タイムシート）'!Q25</f>
        <v>4.166666666666663E-2</v>
      </c>
      <c r="W16" s="811" t="str">
        <f>'派遣先管理台帳（タイムシート）'!AU25</f>
        <v/>
      </c>
      <c r="X16" s="44"/>
      <c r="Y16" s="306"/>
      <c r="Z16" s="524"/>
      <c r="AA16" s="868"/>
      <c r="AB16" s="703"/>
      <c r="AC16" s="704"/>
      <c r="AD16" s="704"/>
      <c r="AE16" s="704"/>
      <c r="AF16" s="704"/>
      <c r="AG16" s="704"/>
      <c r="AH16" s="704"/>
      <c r="AI16" s="704"/>
      <c r="AJ16" s="704"/>
      <c r="AK16" s="704"/>
      <c r="AL16" s="704"/>
      <c r="AM16" s="704"/>
      <c r="AN16" s="704"/>
      <c r="AO16" s="7"/>
    </row>
    <row r="17" spans="1:41" ht="33.75" customHeight="1">
      <c r="A17" s="44"/>
      <c r="B17" s="217"/>
      <c r="C17" s="218">
        <f>DATE(年,月,5)</f>
        <v>44201</v>
      </c>
      <c r="D17" s="228" t="str">
        <f>IF(計算シート!C17&lt;&gt;"",計算シート!C17,"")</f>
        <v>10:00</v>
      </c>
      <c r="E17" s="228" t="str">
        <f>IF(計算シート!D17&lt;&gt;"",計算シート!D17,"")</f>
        <v>19:30</v>
      </c>
      <c r="F17" s="229" t="str">
        <f>IF(計算シート!E17&lt;&gt;"",計算シート!E17,"")</f>
        <v/>
      </c>
      <c r="G17" s="230" t="str">
        <f>IF(計算シート!F17&lt;&gt;"",計算シート!F17,"")</f>
        <v/>
      </c>
      <c r="H17" s="230"/>
      <c r="I17" s="230"/>
      <c r="J17" s="230"/>
      <c r="K17" s="230"/>
      <c r="L17" s="515" t="str">
        <f>IF(計算シート!CZ17&gt;0, 計算シート!CZ17, "")</f>
        <v/>
      </c>
      <c r="M17" s="511"/>
      <c r="N17" s="516">
        <f>IF(時間外表示=0,IF(計算シート!AI17&gt;0,計算シート!AI17,""),"")</f>
        <v>45</v>
      </c>
      <c r="O17" s="513" t="str">
        <f>IF(時間外表示=0,IF(計算シート!AK17&gt;0,計算シート!AK17,""),"")</f>
        <v/>
      </c>
      <c r="P17" s="514" t="str">
        <f>IF(深夜時間表示=0,IF(計算シート!L17&gt;0,計算シート!L17,""),"")</f>
        <v/>
      </c>
      <c r="Q17" s="721">
        <f>計算シート!M17</f>
        <v>0.33333333333333331</v>
      </c>
      <c r="R17" s="722" t="str">
        <f>計算シート!N17</f>
        <v/>
      </c>
      <c r="S17" s="722" t="str">
        <f>計算シート!O17</f>
        <v/>
      </c>
      <c r="T17" s="722" t="str">
        <f>計算シート!P17</f>
        <v/>
      </c>
      <c r="U17" s="723" t="str">
        <f>IF(計算シート!CS17&lt;&gt;"",計算シート!CS17,"")</f>
        <v/>
      </c>
      <c r="V17" s="812">
        <f>'派遣先管理台帳（タイムシート）'!Q26</f>
        <v>6.25E-2</v>
      </c>
      <c r="W17" s="811" t="str">
        <f>'派遣先管理台帳（タイムシート）'!AU26</f>
        <v/>
      </c>
      <c r="X17" s="44"/>
      <c r="Y17" s="306"/>
      <c r="Z17" s="524"/>
      <c r="AA17" s="868"/>
      <c r="AB17" s="315"/>
      <c r="AC17" s="758"/>
      <c r="AD17" s="759"/>
      <c r="AE17" s="524"/>
      <c r="AF17" s="315"/>
      <c r="AG17" s="315"/>
      <c r="AH17" s="705"/>
      <c r="AI17" s="524"/>
      <c r="AJ17" s="706"/>
      <c r="AK17" s="524"/>
      <c r="AL17" s="524"/>
      <c r="AM17" s="524"/>
      <c r="AN17" s="707"/>
      <c r="AO17" s="7"/>
    </row>
    <row r="18" spans="1:41" ht="33.75" customHeight="1">
      <c r="A18" s="44"/>
      <c r="B18" s="217"/>
      <c r="C18" s="218">
        <f>DATE(年,月,6)</f>
        <v>44202</v>
      </c>
      <c r="D18" s="228" t="str">
        <f>IF(計算シート!C18&lt;&gt;"",計算シート!C18,"")</f>
        <v>9:30</v>
      </c>
      <c r="E18" s="228" t="str">
        <f>IF(計算シート!D18&lt;&gt;"",計算シート!D18,"")</f>
        <v>18:15</v>
      </c>
      <c r="F18" s="229" t="str">
        <f>IF(計算シート!E18&lt;&gt;"",計算シート!E18,"")</f>
        <v/>
      </c>
      <c r="G18" s="230" t="str">
        <f>IF(計算シート!F18&lt;&gt;"",計算シート!F18,"")</f>
        <v/>
      </c>
      <c r="H18" s="230"/>
      <c r="I18" s="230"/>
      <c r="J18" s="230"/>
      <c r="K18" s="230"/>
      <c r="L18" s="515" t="str">
        <f>IF(計算シート!CZ18&gt;0, 計算シート!CZ18, "")</f>
        <v/>
      </c>
      <c r="M18" s="511"/>
      <c r="N18" s="516" t="str">
        <f>IF(時間外表示=0,IF(計算シート!AI18&gt;0,計算シート!AI18,""),"")</f>
        <v/>
      </c>
      <c r="O18" s="513" t="str">
        <f>IF(時間外表示=0,IF(計算シート!AK18&gt;0,計算シート!AK18,""),"")</f>
        <v/>
      </c>
      <c r="P18" s="514" t="str">
        <f>IF(深夜時間表示=0,IF(計算シート!L18&gt;0,計算シート!L18,""),"")</f>
        <v/>
      </c>
      <c r="Q18" s="721">
        <f>計算シート!M18</f>
        <v>0.32291666666666669</v>
      </c>
      <c r="R18" s="722" t="str">
        <f>計算シート!N18</f>
        <v/>
      </c>
      <c r="S18" s="722" t="str">
        <f>計算シート!O18</f>
        <v/>
      </c>
      <c r="T18" s="722" t="str">
        <f>計算シート!P18</f>
        <v/>
      </c>
      <c r="U18" s="723" t="str">
        <f>IF(計算シート!CS18&lt;&gt;"",計算シート!CS18,"")</f>
        <v/>
      </c>
      <c r="V18" s="812">
        <f>'派遣先管理台帳（タイムシート）'!Q27</f>
        <v>4.166666666666663E-2</v>
      </c>
      <c r="W18" s="811" t="str">
        <f>'派遣先管理台帳（タイムシート）'!AU27</f>
        <v/>
      </c>
      <c r="X18" s="44"/>
      <c r="Y18" s="306"/>
      <c r="Z18" s="524"/>
      <c r="AA18" s="7"/>
      <c r="AB18" s="7"/>
      <c r="AC18" s="760"/>
      <c r="AD18" s="760"/>
      <c r="AE18" s="7">
        <v>1</v>
      </c>
      <c r="AF18" s="7"/>
      <c r="AG18" s="7"/>
      <c r="AH18" s="7"/>
      <c r="AI18" s="7"/>
      <c r="AJ18" s="7"/>
      <c r="AK18" s="7"/>
      <c r="AL18" s="7"/>
      <c r="AM18" s="7"/>
      <c r="AN18" s="7"/>
      <c r="AO18" s="7"/>
    </row>
    <row r="19" spans="1:41" ht="33.75" customHeight="1">
      <c r="A19" s="44"/>
      <c r="B19" s="217"/>
      <c r="C19" s="218">
        <f>DATE(年,月,7)</f>
        <v>44203</v>
      </c>
      <c r="D19" s="228" t="str">
        <f>IF(計算シート!C19&lt;&gt;"",計算シート!C19,"")</f>
        <v>9:30</v>
      </c>
      <c r="E19" s="228" t="str">
        <f>IF(計算シート!D19&lt;&gt;"",計算シート!D19,"")</f>
        <v>20:45</v>
      </c>
      <c r="F19" s="229" t="str">
        <f>IF(計算シート!E19&lt;&gt;"",計算シート!E19,"")</f>
        <v/>
      </c>
      <c r="G19" s="230" t="str">
        <f>IF(計算シート!F19&lt;&gt;"",計算シート!F19,"")</f>
        <v/>
      </c>
      <c r="H19" s="230"/>
      <c r="I19" s="230"/>
      <c r="J19" s="230"/>
      <c r="K19" s="230"/>
      <c r="L19" s="515" t="str">
        <f>IF(計算シート!CZ19&gt;0, 計算シート!CZ19, "")</f>
        <v/>
      </c>
      <c r="M19" s="511"/>
      <c r="N19" s="516">
        <f>IF(時間外表示=0,IF(計算シート!AI19&gt;0,計算シート!AI19,""),"")</f>
        <v>120</v>
      </c>
      <c r="O19" s="513" t="str">
        <f>IF(時間外表示=0,IF(計算シート!AK19&gt;0,計算シート!AK19,""),"")</f>
        <v/>
      </c>
      <c r="P19" s="514" t="str">
        <f>IF(深夜時間表示=0,IF(計算シート!L19&gt;0,計算シート!L19,""),"")</f>
        <v/>
      </c>
      <c r="Q19" s="721">
        <f>計算シート!M19</f>
        <v>0.40625</v>
      </c>
      <c r="R19" s="722" t="str">
        <f>計算シート!N19</f>
        <v/>
      </c>
      <c r="S19" s="722" t="str">
        <f>計算シート!O19</f>
        <v/>
      </c>
      <c r="T19" s="722" t="str">
        <f>計算シート!P19</f>
        <v/>
      </c>
      <c r="U19" s="723" t="str">
        <f>IF(計算シート!CS19&lt;&gt;"",計算シート!CS19,"")</f>
        <v/>
      </c>
      <c r="V19" s="812">
        <f>'派遣先管理台帳（タイムシート）'!Q28</f>
        <v>6.2500000000000056E-2</v>
      </c>
      <c r="W19" s="811" t="str">
        <f>'派遣先管理台帳（タイムシート）'!AU28</f>
        <v/>
      </c>
      <c r="X19" s="44"/>
      <c r="Y19" s="306"/>
      <c r="Z19" s="524"/>
      <c r="AA19" s="7"/>
      <c r="AB19" s="7"/>
      <c r="AC19" s="760"/>
      <c r="AD19" s="760"/>
      <c r="AE19" s="7">
        <v>1</v>
      </c>
      <c r="AF19" s="7"/>
      <c r="AG19" s="7"/>
      <c r="AH19" s="7"/>
      <c r="AI19" s="7"/>
      <c r="AJ19" s="7"/>
      <c r="AK19" s="7"/>
      <c r="AL19" s="7"/>
      <c r="AM19" s="7"/>
      <c r="AN19" s="7"/>
      <c r="AO19" s="7"/>
    </row>
    <row r="20" spans="1:41" ht="33.75" customHeight="1">
      <c r="A20" s="44"/>
      <c r="B20" s="217"/>
      <c r="C20" s="218">
        <f>DATE(年,月,8)</f>
        <v>44204</v>
      </c>
      <c r="D20" s="228" t="str">
        <f>IF(計算シート!C20&lt;&gt;"",計算シート!C20,"")</f>
        <v>9:30</v>
      </c>
      <c r="E20" s="228" t="str">
        <f>IF(計算シート!D20&lt;&gt;"",計算シート!D20,"")</f>
        <v>20:45</v>
      </c>
      <c r="F20" s="229" t="str">
        <f>IF(計算シート!E20&lt;&gt;"",計算シート!E20,"")</f>
        <v/>
      </c>
      <c r="G20" s="230" t="str">
        <f>IF(計算シート!F20&lt;&gt;"",計算シート!F20,"")</f>
        <v/>
      </c>
      <c r="H20" s="230"/>
      <c r="I20" s="230"/>
      <c r="J20" s="230"/>
      <c r="K20" s="230"/>
      <c r="L20" s="515" t="str">
        <f>IF(計算シート!CZ20&gt;0, 計算シート!CZ20, "")</f>
        <v/>
      </c>
      <c r="M20" s="511"/>
      <c r="N20" s="516">
        <f>IF(時間外表示=0,IF(計算シート!AI20&gt;0,計算シート!AI20,""),"")</f>
        <v>120</v>
      </c>
      <c r="O20" s="513" t="str">
        <f>IF(時間外表示=0,IF(計算シート!AK20&gt;0,計算シート!AK20,""),"")</f>
        <v/>
      </c>
      <c r="P20" s="514" t="str">
        <f>IF(深夜時間表示=0,IF(計算シート!L20&gt;0,計算シート!L20,""),"")</f>
        <v/>
      </c>
      <c r="Q20" s="721">
        <f>計算シート!M20</f>
        <v>0.40625</v>
      </c>
      <c r="R20" s="722" t="str">
        <f>計算シート!N20</f>
        <v/>
      </c>
      <c r="S20" s="722" t="str">
        <f>計算シート!O20</f>
        <v/>
      </c>
      <c r="T20" s="722" t="str">
        <f>計算シート!P20</f>
        <v/>
      </c>
      <c r="U20" s="723" t="str">
        <f>IF(計算シート!CS20&lt;&gt;"",計算シート!CS20,"")</f>
        <v/>
      </c>
      <c r="V20" s="812">
        <f>'派遣先管理台帳（タイムシート）'!Q29</f>
        <v>6.2500000000000056E-2</v>
      </c>
      <c r="W20" s="811" t="str">
        <f>'派遣先管理台帳（タイムシート）'!AU29</f>
        <v/>
      </c>
      <c r="X20" s="44"/>
      <c r="Y20" s="306"/>
      <c r="Z20" s="524"/>
      <c r="AA20" s="7"/>
      <c r="AB20" s="7"/>
      <c r="AC20" s="760"/>
      <c r="AD20" s="760"/>
      <c r="AE20" s="7">
        <v>1</v>
      </c>
      <c r="AF20" s="7"/>
      <c r="AG20" s="7"/>
      <c r="AH20" s="7"/>
      <c r="AI20" s="7"/>
      <c r="AJ20" s="7"/>
      <c r="AK20" s="7"/>
      <c r="AL20" s="7"/>
      <c r="AM20" s="7"/>
      <c r="AN20" s="7"/>
      <c r="AO20" s="7"/>
    </row>
    <row r="21" spans="1:41" ht="33.75" customHeight="1">
      <c r="A21" s="44"/>
      <c r="B21" s="217"/>
      <c r="C21" s="218">
        <f>DATE(年,月,9)</f>
        <v>44205</v>
      </c>
      <c r="D21" s="228" t="str">
        <f>IF(計算シート!C21&lt;&gt;"",計算シート!C21,"")</f>
        <v/>
      </c>
      <c r="E21" s="228" t="str">
        <f>IF(計算シート!D21&lt;&gt;"",計算シート!D21,"")</f>
        <v/>
      </c>
      <c r="F21" s="229" t="str">
        <f>IF(計算シート!E21&lt;&gt;"",計算シート!E21,"")</f>
        <v/>
      </c>
      <c r="G21" s="230" t="str">
        <f>IF(計算シート!F21&lt;&gt;"",計算シート!F21,"")</f>
        <v/>
      </c>
      <c r="H21" s="230"/>
      <c r="I21" s="230"/>
      <c r="J21" s="230"/>
      <c r="K21" s="230"/>
      <c r="L21" s="515" t="str">
        <f>IF(計算シート!CZ21&gt;0, 計算シート!CZ21, "")</f>
        <v/>
      </c>
      <c r="M21" s="511"/>
      <c r="N21" s="516" t="str">
        <f>IF(時間外表示=0,IF(計算シート!AI21&gt;0,計算シート!AI21,""),"")</f>
        <v/>
      </c>
      <c r="O21" s="513" t="str">
        <f>IF(時間外表示=0,IF(計算シート!AK21&gt;0,計算シート!AK21,""),"")</f>
        <v/>
      </c>
      <c r="P21" s="514" t="str">
        <f>IF(深夜時間表示=0,IF(計算シート!L21&gt;0,計算シート!L21,""),"")</f>
        <v/>
      </c>
      <c r="Q21" s="721" t="str">
        <f>計算シート!M21</f>
        <v/>
      </c>
      <c r="R21" s="722" t="str">
        <f>計算シート!N21</f>
        <v/>
      </c>
      <c r="S21" s="722" t="str">
        <f>計算シート!O21</f>
        <v/>
      </c>
      <c r="T21" s="722" t="str">
        <f>計算シート!P21</f>
        <v/>
      </c>
      <c r="U21" s="723" t="str">
        <f>IF(計算シート!CS21&lt;&gt;"",計算シート!CS21,"")</f>
        <v/>
      </c>
      <c r="V21" s="812" t="str">
        <f>'派遣先管理台帳（タイムシート）'!Q30</f>
        <v/>
      </c>
      <c r="W21" s="811" t="str">
        <f>'派遣先管理台帳（タイムシート）'!AU30</f>
        <v/>
      </c>
      <c r="X21" s="44"/>
      <c r="Y21" s="306"/>
      <c r="Z21" s="524"/>
      <c r="AA21" s="7"/>
      <c r="AB21" s="7"/>
      <c r="AC21" s="760"/>
      <c r="AD21" s="760"/>
      <c r="AE21" s="7">
        <v>1</v>
      </c>
      <c r="AF21" s="7"/>
      <c r="AG21" s="7"/>
      <c r="AH21" s="7"/>
      <c r="AI21" s="7"/>
      <c r="AJ21" s="7"/>
      <c r="AK21" s="7"/>
      <c r="AL21" s="7"/>
      <c r="AM21" s="7"/>
      <c r="AN21" s="7"/>
      <c r="AO21" s="7"/>
    </row>
    <row r="22" spans="1:41" ht="33.75" customHeight="1">
      <c r="A22" s="44"/>
      <c r="B22" s="219"/>
      <c r="C22" s="218">
        <f>DATE(年,月,10)</f>
        <v>44206</v>
      </c>
      <c r="D22" s="228" t="str">
        <f>IF(計算シート!C22&lt;&gt;"",計算シート!C22,"")</f>
        <v/>
      </c>
      <c r="E22" s="228" t="str">
        <f>IF(計算シート!D22&lt;&gt;"",計算シート!D22,"")</f>
        <v/>
      </c>
      <c r="F22" s="229" t="str">
        <f>IF(計算シート!E22&lt;&gt;"",計算シート!E22,"")</f>
        <v/>
      </c>
      <c r="G22" s="230" t="str">
        <f>IF(計算シート!F22&lt;&gt;"",計算シート!F22,"")</f>
        <v/>
      </c>
      <c r="H22" s="230"/>
      <c r="I22" s="230"/>
      <c r="J22" s="230"/>
      <c r="K22" s="230"/>
      <c r="L22" s="515" t="str">
        <f>IF(計算シート!CZ22&gt;0, 計算シート!CZ22, "")</f>
        <v/>
      </c>
      <c r="M22" s="511"/>
      <c r="N22" s="516" t="str">
        <f>IF(時間外表示=0,IF(計算シート!AI22&gt;0,計算シート!AI22,""),"")</f>
        <v/>
      </c>
      <c r="O22" s="513" t="str">
        <f>IF(時間外表示=0,IF(計算シート!AK22&gt;0,計算シート!AK22,""),"")</f>
        <v/>
      </c>
      <c r="P22" s="514" t="str">
        <f>IF(深夜時間表示=0,IF(計算シート!L22&gt;0,計算シート!L22,""),"")</f>
        <v/>
      </c>
      <c r="Q22" s="721" t="str">
        <f>計算シート!M22</f>
        <v/>
      </c>
      <c r="R22" s="722" t="str">
        <f>計算シート!N22</f>
        <v/>
      </c>
      <c r="S22" s="722" t="str">
        <f>計算シート!O22</f>
        <v/>
      </c>
      <c r="T22" s="722" t="str">
        <f>計算シート!P22</f>
        <v/>
      </c>
      <c r="U22" s="723" t="str">
        <f>IF(計算シート!CS22&lt;&gt;"",計算シート!CS22,"")</f>
        <v/>
      </c>
      <c r="V22" s="812" t="str">
        <f>'派遣先管理台帳（タイムシート）'!Q31</f>
        <v/>
      </c>
      <c r="W22" s="811" t="str">
        <f>'派遣先管理台帳（タイムシート）'!AU31</f>
        <v/>
      </c>
      <c r="X22" s="44"/>
      <c r="Y22" s="306"/>
      <c r="Z22" s="524"/>
      <c r="AA22" s="708"/>
      <c r="AB22" s="523" t="s">
        <v>32</v>
      </c>
      <c r="AC22" s="761"/>
      <c r="AD22" s="762"/>
      <c r="AE22" s="524">
        <v>1</v>
      </c>
      <c r="AF22" s="709"/>
      <c r="AG22" s="709"/>
      <c r="AH22" s="709"/>
      <c r="AI22" s="524"/>
      <c r="AJ22" s="706"/>
      <c r="AK22" s="524"/>
      <c r="AL22" s="524"/>
      <c r="AM22" s="524"/>
      <c r="AN22" s="524"/>
      <c r="AO22" s="7"/>
    </row>
    <row r="23" spans="1:41" ht="33.75" customHeight="1">
      <c r="A23" s="44"/>
      <c r="B23" s="219"/>
      <c r="C23" s="218">
        <f>DATE(年,月,11)</f>
        <v>44207</v>
      </c>
      <c r="D23" s="228" t="str">
        <f>IF(計算シート!C23&lt;&gt;"",計算シート!C23,"")</f>
        <v/>
      </c>
      <c r="E23" s="228" t="str">
        <f>IF(計算シート!D23&lt;&gt;"",計算シート!D23,"")</f>
        <v/>
      </c>
      <c r="F23" s="229" t="str">
        <f>IF(計算シート!E23&lt;&gt;"",計算シート!E23,"")</f>
        <v/>
      </c>
      <c r="G23" s="230" t="str">
        <f>IF(計算シート!F23&lt;&gt;"",計算シート!F23,"")</f>
        <v/>
      </c>
      <c r="H23" s="230"/>
      <c r="I23" s="230"/>
      <c r="J23" s="230"/>
      <c r="K23" s="230"/>
      <c r="L23" s="515" t="str">
        <f>IF(計算シート!CZ23&gt;0, 計算シート!CZ23, "")</f>
        <v/>
      </c>
      <c r="M23" s="511"/>
      <c r="N23" s="516" t="str">
        <f>IF(時間外表示=0,IF(計算シート!AI23&gt;0,計算シート!AI23,""),"")</f>
        <v/>
      </c>
      <c r="O23" s="513" t="str">
        <f>IF(時間外表示=0,IF(計算シート!AK23&gt;0,計算シート!AK23,""),"")</f>
        <v/>
      </c>
      <c r="P23" s="514" t="str">
        <f>IF(深夜時間表示=0,IF(計算シート!L23&gt;0,計算シート!L23,""),"")</f>
        <v/>
      </c>
      <c r="Q23" s="721" t="str">
        <f>計算シート!M23</f>
        <v/>
      </c>
      <c r="R23" s="722" t="str">
        <f>計算シート!N23</f>
        <v/>
      </c>
      <c r="S23" s="722" t="str">
        <f>計算シート!O23</f>
        <v/>
      </c>
      <c r="T23" s="722" t="str">
        <f>計算シート!P23</f>
        <v/>
      </c>
      <c r="U23" s="723" t="str">
        <f>IF(計算シート!CS23&lt;&gt;"",計算シート!CS23,"")</f>
        <v/>
      </c>
      <c r="V23" s="812" t="str">
        <f>'派遣先管理台帳（タイムシート）'!Q32</f>
        <v/>
      </c>
      <c r="W23" s="811" t="str">
        <f>'派遣先管理台帳（タイムシート）'!AU32</f>
        <v/>
      </c>
      <c r="X23" s="44"/>
      <c r="Y23" s="306"/>
      <c r="Z23" s="524"/>
      <c r="AA23" s="708"/>
      <c r="AB23" s="523" t="s">
        <v>32</v>
      </c>
      <c r="AC23" s="761">
        <v>0</v>
      </c>
      <c r="AD23" s="762" t="s">
        <v>751</v>
      </c>
      <c r="AE23" s="524">
        <v>1</v>
      </c>
      <c r="AF23" s="709"/>
      <c r="AG23" s="709"/>
      <c r="AH23" s="709"/>
      <c r="AI23" s="524"/>
      <c r="AJ23" s="706"/>
      <c r="AK23" s="524"/>
      <c r="AL23" s="524"/>
      <c r="AM23" s="524"/>
      <c r="AN23" s="524"/>
      <c r="AO23" s="7"/>
    </row>
    <row r="24" spans="1:41" ht="33.75" customHeight="1">
      <c r="A24" s="44"/>
      <c r="B24" s="219"/>
      <c r="C24" s="218">
        <f>DATE(年,月,12)</f>
        <v>44208</v>
      </c>
      <c r="D24" s="228" t="str">
        <f>IF(計算シート!C24&lt;&gt;"",計算シート!C24,"")</f>
        <v>9:30</v>
      </c>
      <c r="E24" s="228" t="str">
        <f>IF(計算シート!D24&lt;&gt;"",計算シート!D24,"")</f>
        <v>18:15</v>
      </c>
      <c r="F24" s="229" t="str">
        <f>IF(計算シート!E24&lt;&gt;"",計算シート!E24,"")</f>
        <v/>
      </c>
      <c r="G24" s="230" t="str">
        <f>IF(計算シート!F24&lt;&gt;"",計算シート!F24,"")</f>
        <v/>
      </c>
      <c r="H24" s="230"/>
      <c r="I24" s="230"/>
      <c r="J24" s="230"/>
      <c r="K24" s="230"/>
      <c r="L24" s="515" t="str">
        <f>IF(計算シート!CZ24&gt;0, 計算シート!CZ24, "")</f>
        <v/>
      </c>
      <c r="M24" s="511"/>
      <c r="N24" s="516" t="str">
        <f>IF(時間外表示=0,IF(計算シート!AI24&gt;0,計算シート!AI24,""),"")</f>
        <v/>
      </c>
      <c r="O24" s="513" t="str">
        <f>IF(時間外表示=0,IF(計算シート!AK24&gt;0,計算シート!AK24,""),"")</f>
        <v/>
      </c>
      <c r="P24" s="514" t="str">
        <f>IF(深夜時間表示=0,IF(計算シート!L24&gt;0,計算シート!L24,""),"")</f>
        <v/>
      </c>
      <c r="Q24" s="721">
        <f>計算シート!M24</f>
        <v>0.32291666666666669</v>
      </c>
      <c r="R24" s="722" t="str">
        <f>計算シート!N24</f>
        <v/>
      </c>
      <c r="S24" s="722" t="str">
        <f>計算シート!O24</f>
        <v/>
      </c>
      <c r="T24" s="722" t="str">
        <f>計算シート!P24</f>
        <v/>
      </c>
      <c r="U24" s="723" t="str">
        <f>IF(計算シート!CS24&lt;&gt;"",計算シート!CS24,"")</f>
        <v/>
      </c>
      <c r="V24" s="812">
        <f>'派遣先管理台帳（タイムシート）'!Q33</f>
        <v>4.166666666666663E-2</v>
      </c>
      <c r="W24" s="811" t="str">
        <f>'派遣先管理台帳（タイムシート）'!AU33</f>
        <v/>
      </c>
      <c r="X24" s="44"/>
      <c r="Y24" s="306"/>
      <c r="Z24" s="524"/>
      <c r="AA24" s="708"/>
      <c r="AB24" s="523" t="s">
        <v>32</v>
      </c>
      <c r="AC24" s="761">
        <v>0</v>
      </c>
      <c r="AD24" s="762" t="s">
        <v>751</v>
      </c>
      <c r="AE24" s="524">
        <v>1</v>
      </c>
      <c r="AF24" s="709"/>
      <c r="AG24" s="709"/>
      <c r="AH24" s="709"/>
      <c r="AI24" s="524"/>
      <c r="AJ24" s="706"/>
      <c r="AK24" s="524"/>
      <c r="AL24" s="524"/>
      <c r="AM24" s="524"/>
      <c r="AN24" s="524"/>
      <c r="AO24" s="7"/>
    </row>
    <row r="25" spans="1:41" ht="33.75" customHeight="1">
      <c r="A25" s="44"/>
      <c r="B25" s="219"/>
      <c r="C25" s="218">
        <f>DATE(年,月,13)</f>
        <v>44209</v>
      </c>
      <c r="D25" s="228" t="str">
        <f>IF(計算シート!C25&lt;&gt;"",計算シート!C25,"")</f>
        <v>9:30</v>
      </c>
      <c r="E25" s="228" t="str">
        <f>IF(計算シート!D25&lt;&gt;"",計算シート!D25,"")</f>
        <v>18:15</v>
      </c>
      <c r="F25" s="229" t="str">
        <f>IF(計算シート!E25&lt;&gt;"",計算シート!E25,"")</f>
        <v/>
      </c>
      <c r="G25" s="230" t="str">
        <f>IF(計算シート!F25&lt;&gt;"",計算シート!F25,"")</f>
        <v/>
      </c>
      <c r="H25" s="230"/>
      <c r="I25" s="230"/>
      <c r="J25" s="230"/>
      <c r="K25" s="230"/>
      <c r="L25" s="515" t="str">
        <f>IF(計算シート!CZ25&gt;0, 計算シート!CZ25, "")</f>
        <v/>
      </c>
      <c r="M25" s="511"/>
      <c r="N25" s="516" t="str">
        <f>IF(時間外表示=0,IF(計算シート!AI25&gt;0,計算シート!AI25,""),"")</f>
        <v/>
      </c>
      <c r="O25" s="513" t="str">
        <f>IF(時間外表示=0,IF(計算シート!AK25&gt;0,計算シート!AK25,""),"")</f>
        <v/>
      </c>
      <c r="P25" s="514" t="str">
        <f>IF(深夜時間表示=0,IF(計算シート!L25&gt;0,計算シート!L25,""),"")</f>
        <v/>
      </c>
      <c r="Q25" s="721">
        <f>計算シート!M25</f>
        <v>0.32291666666666669</v>
      </c>
      <c r="R25" s="722" t="str">
        <f>計算シート!N25</f>
        <v/>
      </c>
      <c r="S25" s="722" t="str">
        <f>計算シート!O25</f>
        <v/>
      </c>
      <c r="T25" s="722" t="str">
        <f>計算シート!P25</f>
        <v/>
      </c>
      <c r="U25" s="723" t="str">
        <f>IF(計算シート!CS25&lt;&gt;"",計算シート!CS25,"")</f>
        <v/>
      </c>
      <c r="V25" s="812">
        <f>'派遣先管理台帳（タイムシート）'!Q34</f>
        <v>4.166666666666663E-2</v>
      </c>
      <c r="W25" s="811" t="str">
        <f>'派遣先管理台帳（タイムシート）'!AU34</f>
        <v/>
      </c>
      <c r="X25" s="44"/>
      <c r="Y25" s="306"/>
      <c r="Z25" s="524"/>
      <c r="AA25" s="708"/>
      <c r="AB25" s="523" t="s">
        <v>32</v>
      </c>
      <c r="AC25" s="761">
        <v>0</v>
      </c>
      <c r="AD25" s="762" t="s">
        <v>751</v>
      </c>
      <c r="AE25" s="524">
        <v>1</v>
      </c>
      <c r="AF25" s="709"/>
      <c r="AG25" s="709"/>
      <c r="AH25" s="709"/>
      <c r="AI25" s="524"/>
      <c r="AJ25" s="706"/>
      <c r="AK25" s="524"/>
      <c r="AL25" s="524"/>
      <c r="AM25" s="524"/>
      <c r="AN25" s="524"/>
      <c r="AO25" s="7"/>
    </row>
    <row r="26" spans="1:41" ht="33.75" customHeight="1">
      <c r="A26" s="44"/>
      <c r="B26" s="219"/>
      <c r="C26" s="218">
        <f>DATE(年,月,14)</f>
        <v>44210</v>
      </c>
      <c r="D26" s="228" t="str">
        <f>IF(計算シート!C26&lt;&gt;"",計算シート!C26,"")</f>
        <v>9:30</v>
      </c>
      <c r="E26" s="228" t="str">
        <f>IF(計算シート!D26&lt;&gt;"",計算シート!D26,"")</f>
        <v>19:30</v>
      </c>
      <c r="F26" s="229" t="str">
        <f>IF(計算シート!E26&lt;&gt;"",計算シート!E26,"")</f>
        <v/>
      </c>
      <c r="G26" s="230" t="str">
        <f>IF(計算シート!F26&lt;&gt;"",計算シート!F26,"")</f>
        <v/>
      </c>
      <c r="H26" s="230"/>
      <c r="I26" s="230"/>
      <c r="J26" s="230"/>
      <c r="K26" s="230"/>
      <c r="L26" s="515" t="str">
        <f>IF(計算シート!CZ26&gt;0, 計算シート!CZ26, "")</f>
        <v/>
      </c>
      <c r="M26" s="511"/>
      <c r="N26" s="516">
        <f>IF(時間外表示=0,IF(計算シート!AI26&gt;0,計算シート!AI26,""),"")</f>
        <v>45</v>
      </c>
      <c r="O26" s="513" t="str">
        <f>IF(時間外表示=0,IF(計算シート!AK26&gt;0,計算シート!AK26,""),"")</f>
        <v/>
      </c>
      <c r="P26" s="514" t="str">
        <f>IF(深夜時間表示=0,IF(計算シート!L26&gt;0,計算シート!L26,""),"")</f>
        <v/>
      </c>
      <c r="Q26" s="721">
        <f>計算シート!M26</f>
        <v>0.35416666666666669</v>
      </c>
      <c r="R26" s="722" t="str">
        <f>計算シート!N26</f>
        <v/>
      </c>
      <c r="S26" s="722" t="str">
        <f>計算シート!O26</f>
        <v/>
      </c>
      <c r="T26" s="722" t="str">
        <f>計算シート!P26</f>
        <v/>
      </c>
      <c r="U26" s="723" t="str">
        <f>IF(計算シート!CS26&lt;&gt;"",計算シート!CS26,"")</f>
        <v/>
      </c>
      <c r="V26" s="812">
        <f>'派遣先管理台帳（タイムシート）'!Q35</f>
        <v>6.25E-2</v>
      </c>
      <c r="W26" s="811" t="str">
        <f>'派遣先管理台帳（タイムシート）'!AU35</f>
        <v/>
      </c>
      <c r="X26" s="44"/>
      <c r="Y26" s="306"/>
      <c r="Z26" s="524"/>
      <c r="AA26" s="708"/>
      <c r="AB26" s="523" t="s">
        <v>32</v>
      </c>
      <c r="AC26" s="761">
        <v>0</v>
      </c>
      <c r="AD26" s="762" t="s">
        <v>751</v>
      </c>
      <c r="AE26" s="524">
        <v>1</v>
      </c>
      <c r="AF26" s="709"/>
      <c r="AG26" s="709"/>
      <c r="AH26" s="709"/>
      <c r="AI26" s="524"/>
      <c r="AJ26" s="706"/>
      <c r="AK26" s="524"/>
      <c r="AL26" s="524"/>
      <c r="AM26" s="524"/>
      <c r="AN26" s="524"/>
      <c r="AO26" s="7"/>
    </row>
    <row r="27" spans="1:41" ht="33.75" customHeight="1">
      <c r="A27" s="44"/>
      <c r="B27" s="219"/>
      <c r="C27" s="218">
        <f>DATE(年,月,15)</f>
        <v>44211</v>
      </c>
      <c r="D27" s="228" t="str">
        <f>IF(計算シート!C27&lt;&gt;"",計算シート!C27,"")</f>
        <v>9:30</v>
      </c>
      <c r="E27" s="228" t="str">
        <f>IF(計算シート!D27&lt;&gt;"",計算シート!D27,"")</f>
        <v>16:30</v>
      </c>
      <c r="F27" s="229" t="str">
        <f>IF(計算シート!E27&lt;&gt;"",計算シート!E27,"")</f>
        <v/>
      </c>
      <c r="G27" s="230" t="str">
        <f>IF(計算シート!F27&lt;&gt;"",計算シート!F27,"")</f>
        <v/>
      </c>
      <c r="H27" s="230"/>
      <c r="I27" s="230"/>
      <c r="J27" s="230"/>
      <c r="K27" s="230"/>
      <c r="L27" s="515" t="str">
        <f>IF(計算シート!CZ27&gt;0, 計算シート!CZ27, "")</f>
        <v/>
      </c>
      <c r="M27" s="511"/>
      <c r="N27" s="516" t="str">
        <f>IF(時間外表示=0,IF(計算シート!AI27&gt;0,計算シート!AI27,""),"")</f>
        <v/>
      </c>
      <c r="O27" s="513" t="str">
        <f>IF(時間外表示=0,IF(計算シート!AK27&gt;0,計算シート!AK27,""),"")</f>
        <v/>
      </c>
      <c r="P27" s="514" t="str">
        <f>IF(深夜時間表示=0,IF(計算シート!L27&gt;0,計算シート!L27,""),"")</f>
        <v/>
      </c>
      <c r="Q27" s="721">
        <f>計算シート!M27</f>
        <v>0.25</v>
      </c>
      <c r="R27" s="722" t="str">
        <f>計算シート!N27</f>
        <v/>
      </c>
      <c r="S27" s="722" t="str">
        <f>計算シート!O27</f>
        <v/>
      </c>
      <c r="T27" s="722" t="str">
        <f>計算シート!P27</f>
        <v/>
      </c>
      <c r="U27" s="723" t="str">
        <f>IF(計算シート!CS27&lt;&gt;"",計算シート!CS27,"")</f>
        <v/>
      </c>
      <c r="V27" s="812">
        <f>'派遣先管理台帳（タイムシート）'!Q36</f>
        <v>4.1666666666666685E-2</v>
      </c>
      <c r="W27" s="811" t="str">
        <f>'派遣先管理台帳（タイムシート）'!AU36</f>
        <v/>
      </c>
      <c r="X27" s="44"/>
      <c r="Y27" s="306"/>
      <c r="Z27" s="524"/>
      <c r="AA27" s="708"/>
      <c r="AB27" s="523"/>
      <c r="AC27" s="761"/>
      <c r="AD27" s="762"/>
      <c r="AE27" s="524">
        <v>0</v>
      </c>
      <c r="AF27" s="709"/>
      <c r="AG27" s="709"/>
      <c r="AH27" s="709"/>
      <c r="AI27" s="524"/>
      <c r="AJ27" s="706"/>
      <c r="AK27" s="524"/>
      <c r="AL27" s="524"/>
      <c r="AM27" s="524"/>
      <c r="AN27" s="524"/>
      <c r="AO27" s="7"/>
    </row>
    <row r="28" spans="1:41" ht="33.75" customHeight="1">
      <c r="A28" s="44"/>
      <c r="B28" s="219"/>
      <c r="C28" s="218">
        <f>DATE(年,月,16)</f>
        <v>44212</v>
      </c>
      <c r="D28" s="228" t="str">
        <f>IF(計算シート!C28&lt;&gt;"",計算シート!C28,"")</f>
        <v/>
      </c>
      <c r="E28" s="228" t="str">
        <f>IF(計算シート!D28&lt;&gt;"",計算シート!D28,"")</f>
        <v/>
      </c>
      <c r="F28" s="229" t="str">
        <f>IF(計算シート!E28&lt;&gt;"",計算シート!E28,"")</f>
        <v/>
      </c>
      <c r="G28" s="230" t="str">
        <f>IF(計算シート!F28&lt;&gt;"",計算シート!F28,"")</f>
        <v/>
      </c>
      <c r="H28" s="230"/>
      <c r="I28" s="230"/>
      <c r="J28" s="230"/>
      <c r="K28" s="230"/>
      <c r="L28" s="515" t="str">
        <f>IF(計算シート!CZ28&gt;0, 計算シート!CZ28, "")</f>
        <v/>
      </c>
      <c r="M28" s="511"/>
      <c r="N28" s="516" t="str">
        <f>IF(時間外表示=0,IF(計算シート!AI28&gt;0,計算シート!AI28,""),"")</f>
        <v/>
      </c>
      <c r="O28" s="513" t="str">
        <f>IF(時間外表示=0,IF(計算シート!AK28&gt;0,計算シート!AK28,""),"")</f>
        <v/>
      </c>
      <c r="P28" s="514" t="str">
        <f>IF(深夜時間表示=0,IF(計算シート!L28&gt;0,計算シート!L28,""),"")</f>
        <v/>
      </c>
      <c r="Q28" s="721" t="str">
        <f>計算シート!M28</f>
        <v/>
      </c>
      <c r="R28" s="722" t="str">
        <f>計算シート!N28</f>
        <v/>
      </c>
      <c r="S28" s="722" t="str">
        <f>計算シート!O28</f>
        <v/>
      </c>
      <c r="T28" s="722" t="str">
        <f>計算シート!P28</f>
        <v/>
      </c>
      <c r="U28" s="723" t="str">
        <f>IF(計算シート!CS28&lt;&gt;"",計算シート!CS28,"")</f>
        <v/>
      </c>
      <c r="V28" s="812" t="str">
        <f>'派遣先管理台帳（タイムシート）'!Q37</f>
        <v/>
      </c>
      <c r="W28" s="811" t="str">
        <f>'派遣先管理台帳（タイムシート）'!AU37</f>
        <v/>
      </c>
      <c r="X28" s="44"/>
      <c r="Y28" s="306"/>
      <c r="Z28" s="524"/>
      <c r="AA28" s="708"/>
      <c r="AB28" s="523" t="s">
        <v>32</v>
      </c>
      <c r="AC28" s="761"/>
      <c r="AD28" s="762"/>
      <c r="AE28" s="524">
        <v>0</v>
      </c>
      <c r="AF28" s="709"/>
      <c r="AG28" s="709"/>
      <c r="AH28" s="709"/>
      <c r="AI28" s="524"/>
      <c r="AJ28" s="706"/>
      <c r="AK28" s="524"/>
      <c r="AL28" s="524"/>
      <c r="AM28" s="524"/>
      <c r="AN28" s="524"/>
      <c r="AO28" s="7"/>
    </row>
    <row r="29" spans="1:41" ht="33.75" customHeight="1">
      <c r="A29" s="44"/>
      <c r="B29" s="219"/>
      <c r="C29" s="218">
        <f>DATE(年,月,17)</f>
        <v>44213</v>
      </c>
      <c r="D29" s="228" t="str">
        <f>IF(計算シート!C29&lt;&gt;"",計算シート!C29,"")</f>
        <v/>
      </c>
      <c r="E29" s="228" t="str">
        <f>IF(計算シート!D29&lt;&gt;"",計算シート!D29,"")</f>
        <v/>
      </c>
      <c r="F29" s="229" t="str">
        <f>IF(計算シート!E29&lt;&gt;"",計算シート!E29,"")</f>
        <v/>
      </c>
      <c r="G29" s="230" t="str">
        <f>IF(計算シート!F29&lt;&gt;"",計算シート!F29,"")</f>
        <v/>
      </c>
      <c r="H29" s="230"/>
      <c r="I29" s="230"/>
      <c r="J29" s="230"/>
      <c r="K29" s="230"/>
      <c r="L29" s="515" t="str">
        <f>IF(計算シート!CZ29&gt;0, 計算シート!CZ29, "")</f>
        <v/>
      </c>
      <c r="M29" s="511"/>
      <c r="N29" s="516" t="str">
        <f>IF(時間外表示=0,IF(計算シート!AI29&gt;0,計算シート!AI29,""),"")</f>
        <v/>
      </c>
      <c r="O29" s="513" t="str">
        <f>IF(時間外表示=0,IF(計算シート!AK29&gt;0,計算シート!AK29,""),"")</f>
        <v/>
      </c>
      <c r="P29" s="514" t="str">
        <f>IF(深夜時間表示=0,IF(計算シート!L29&gt;0,計算シート!L29,""),"")</f>
        <v/>
      </c>
      <c r="Q29" s="721" t="str">
        <f>計算シート!M29</f>
        <v/>
      </c>
      <c r="R29" s="722" t="str">
        <f>計算シート!N29</f>
        <v/>
      </c>
      <c r="S29" s="722" t="str">
        <f>計算シート!O29</f>
        <v/>
      </c>
      <c r="T29" s="722" t="str">
        <f>計算シート!P29</f>
        <v/>
      </c>
      <c r="U29" s="723" t="str">
        <f>IF(計算シート!CS29&lt;&gt;"",計算シート!CS29,"")</f>
        <v/>
      </c>
      <c r="V29" s="812" t="str">
        <f>'派遣先管理台帳（タイムシート）'!Q38</f>
        <v/>
      </c>
      <c r="W29" s="811" t="str">
        <f>'派遣先管理台帳（タイムシート）'!AU38</f>
        <v/>
      </c>
      <c r="X29" s="44"/>
      <c r="Y29" s="306"/>
      <c r="Z29" s="524"/>
      <c r="AA29" s="708"/>
      <c r="AB29" s="523"/>
      <c r="AC29" s="761"/>
      <c r="AD29" s="762"/>
      <c r="AE29" s="524">
        <v>0</v>
      </c>
      <c r="AF29" s="709"/>
      <c r="AG29" s="709"/>
      <c r="AH29" s="709"/>
      <c r="AI29" s="524"/>
      <c r="AJ29" s="706"/>
      <c r="AK29" s="524"/>
      <c r="AL29" s="524"/>
      <c r="AM29" s="524"/>
      <c r="AN29" s="524"/>
      <c r="AO29" s="7"/>
    </row>
    <row r="30" spans="1:41" ht="33.75" customHeight="1">
      <c r="A30" s="44"/>
      <c r="B30" s="219"/>
      <c r="C30" s="218">
        <f>DATE(年,月,18)</f>
        <v>44214</v>
      </c>
      <c r="D30" s="228" t="str">
        <f>IF(計算シート!C30&lt;&gt;"",計算シート!C30,"")</f>
        <v>9:30</v>
      </c>
      <c r="E30" s="228" t="str">
        <f>IF(計算シート!D30&lt;&gt;"",計算シート!D30,"")</f>
        <v>18:15</v>
      </c>
      <c r="F30" s="229" t="str">
        <f>IF(計算シート!E30&lt;&gt;"",計算シート!E30,"")</f>
        <v/>
      </c>
      <c r="G30" s="230" t="str">
        <f>IF(計算シート!F30&lt;&gt;"",計算シート!F30,"")</f>
        <v/>
      </c>
      <c r="H30" s="230"/>
      <c r="I30" s="230"/>
      <c r="J30" s="230"/>
      <c r="K30" s="230"/>
      <c r="L30" s="515" t="str">
        <f>IF(計算シート!CZ30&gt;0, 計算シート!CZ30, "")</f>
        <v/>
      </c>
      <c r="M30" s="511"/>
      <c r="N30" s="516" t="str">
        <f>IF(時間外表示=0,IF(計算シート!AI30&gt;0,計算シート!AI30,""),"")</f>
        <v/>
      </c>
      <c r="O30" s="513" t="str">
        <f>IF(時間外表示=0,IF(計算シート!AK30&gt;0,計算シート!AK30,""),"")</f>
        <v/>
      </c>
      <c r="P30" s="514" t="str">
        <f>IF(深夜時間表示=0,IF(計算シート!L30&gt;0,計算シート!L30,""),"")</f>
        <v/>
      </c>
      <c r="Q30" s="721">
        <f>計算シート!M30</f>
        <v>0.32291666666666669</v>
      </c>
      <c r="R30" s="722" t="str">
        <f>計算シート!N30</f>
        <v/>
      </c>
      <c r="S30" s="722" t="str">
        <f>計算シート!O30</f>
        <v/>
      </c>
      <c r="T30" s="722" t="str">
        <f>計算シート!P30</f>
        <v/>
      </c>
      <c r="U30" s="723" t="str">
        <f>IF(計算シート!CS30&lt;&gt;"",計算シート!CS30,"")</f>
        <v/>
      </c>
      <c r="V30" s="812">
        <f>'派遣先管理台帳（タイムシート）'!Q39</f>
        <v>4.166666666666663E-2</v>
      </c>
      <c r="W30" s="811" t="str">
        <f>'派遣先管理台帳（タイムシート）'!AU39</f>
        <v/>
      </c>
      <c r="X30" s="44"/>
      <c r="Y30" s="306"/>
      <c r="Z30" s="524"/>
      <c r="AA30" s="524"/>
      <c r="AB30" s="7"/>
      <c r="AC30" s="760"/>
      <c r="AD30" s="760"/>
      <c r="AE30" s="7" t="s">
        <v>388</v>
      </c>
      <c r="AF30" s="710" t="str">
        <f>MMToHMM(SUM(AF1:AF29))</f>
        <v>0:00</v>
      </c>
      <c r="AG30" s="710">
        <f>SUM(AG1:AG29)</f>
        <v>0</v>
      </c>
      <c r="AH30" s="710" t="str">
        <f>MMToHMM(SUM(AH1:AH29))</f>
        <v>0:00</v>
      </c>
      <c r="AI30" s="711">
        <f>SUM(AI1:AI29)</f>
        <v>0</v>
      </c>
      <c r="AJ30" s="712">
        <f>SUM(AJ1:AJ29)</f>
        <v>0</v>
      </c>
      <c r="AK30" s="7"/>
      <c r="AL30" s="7"/>
      <c r="AM30" s="7"/>
      <c r="AN30" s="7"/>
      <c r="AO30" s="7"/>
    </row>
    <row r="31" spans="1:41" ht="33.75" customHeight="1">
      <c r="A31" s="44"/>
      <c r="B31" s="219"/>
      <c r="C31" s="218">
        <f>DATE(年,月,19)</f>
        <v>44215</v>
      </c>
      <c r="D31" s="228" t="str">
        <f>IF(計算シート!C31&lt;&gt;"",計算シート!C31,"")</f>
        <v>9:30</v>
      </c>
      <c r="E31" s="228" t="str">
        <f>IF(計算シート!D31&lt;&gt;"",計算シート!D31,"")</f>
        <v>18:15</v>
      </c>
      <c r="F31" s="229" t="str">
        <f>IF(計算シート!E31&lt;&gt;"",計算シート!E31,"")</f>
        <v/>
      </c>
      <c r="G31" s="230" t="str">
        <f>IF(計算シート!F31&lt;&gt;"",計算シート!F31,"")</f>
        <v/>
      </c>
      <c r="H31" s="230"/>
      <c r="I31" s="230"/>
      <c r="J31" s="230"/>
      <c r="K31" s="230"/>
      <c r="L31" s="515" t="str">
        <f>IF(計算シート!CZ31&gt;0, 計算シート!CZ31, "")</f>
        <v/>
      </c>
      <c r="M31" s="511"/>
      <c r="N31" s="516" t="str">
        <f>IF(時間外表示=0,IF(計算シート!AI31&gt;0,計算シート!AI31,""),"")</f>
        <v/>
      </c>
      <c r="O31" s="513" t="str">
        <f>IF(時間外表示=0,IF(計算シート!AK31&gt;0,計算シート!AK31,""),"")</f>
        <v/>
      </c>
      <c r="P31" s="514" t="str">
        <f>IF(深夜時間表示=0,IF(計算シート!L31&gt;0,計算シート!L31,""),"")</f>
        <v/>
      </c>
      <c r="Q31" s="721">
        <f>計算シート!M31</f>
        <v>0.32291666666666669</v>
      </c>
      <c r="R31" s="722" t="str">
        <f>計算シート!N31</f>
        <v/>
      </c>
      <c r="S31" s="722" t="str">
        <f>計算シート!O31</f>
        <v/>
      </c>
      <c r="T31" s="722" t="str">
        <f>計算シート!P31</f>
        <v/>
      </c>
      <c r="U31" s="723" t="str">
        <f>IF(計算シート!CS31&lt;&gt;"",計算シート!CS31,"")</f>
        <v/>
      </c>
      <c r="V31" s="812">
        <f>'派遣先管理台帳（タイムシート）'!Q40</f>
        <v>4.166666666666663E-2</v>
      </c>
      <c r="W31" s="811" t="str">
        <f>'派遣先管理台帳（タイムシート）'!AU40</f>
        <v/>
      </c>
      <c r="X31" s="44"/>
      <c r="Y31" s="306"/>
      <c r="Z31" s="524"/>
      <c r="AA31" s="524"/>
      <c r="AB31" s="7"/>
      <c r="AC31" s="760"/>
      <c r="AD31" s="760"/>
      <c r="AE31" s="7"/>
      <c r="AF31" s="162"/>
      <c r="AG31" s="162"/>
      <c r="AH31" s="162"/>
      <c r="AI31" s="162">
        <v>1</v>
      </c>
      <c r="AJ31" s="713">
        <f>AI30</f>
        <v>0</v>
      </c>
      <c r="AK31" s="7"/>
      <c r="AL31" s="7"/>
      <c r="AM31" s="7"/>
      <c r="AN31" s="7"/>
      <c r="AO31" s="7"/>
    </row>
    <row r="32" spans="1:41" ht="33.75" customHeight="1">
      <c r="A32" s="44"/>
      <c r="B32" s="219"/>
      <c r="C32" s="218">
        <f>DATE(年,月,20)</f>
        <v>44216</v>
      </c>
      <c r="D32" s="228" t="str">
        <f>IF(計算シート!C32&lt;&gt;"",計算シート!C32,"")</f>
        <v>9:30</v>
      </c>
      <c r="E32" s="228" t="str">
        <f>IF(計算シート!D32&lt;&gt;"",計算シート!D32,"")</f>
        <v>18:15</v>
      </c>
      <c r="F32" s="229" t="str">
        <f>IF(計算シート!E32&lt;&gt;"",計算シート!E32,"")</f>
        <v/>
      </c>
      <c r="G32" s="230" t="str">
        <f>IF(計算シート!F32&lt;&gt;"",計算シート!F32,"")</f>
        <v/>
      </c>
      <c r="H32" s="230"/>
      <c r="I32" s="230"/>
      <c r="J32" s="230"/>
      <c r="K32" s="230"/>
      <c r="L32" s="515" t="str">
        <f>IF(計算シート!CZ32&gt;0, 計算シート!CZ32, "")</f>
        <v/>
      </c>
      <c r="M32" s="511"/>
      <c r="N32" s="516" t="str">
        <f>IF(時間外表示=0,IF(計算シート!AI32&gt;0,計算シート!AI32,""),"")</f>
        <v/>
      </c>
      <c r="O32" s="513" t="str">
        <f>IF(時間外表示=0,IF(計算シート!AK32&gt;0,計算シート!AK32,""),"")</f>
        <v/>
      </c>
      <c r="P32" s="514" t="str">
        <f>IF(深夜時間表示=0,IF(計算シート!L32&gt;0,計算シート!L32,""),"")</f>
        <v/>
      </c>
      <c r="Q32" s="721">
        <f>計算シート!M32</f>
        <v>0.32291666666666669</v>
      </c>
      <c r="R32" s="722" t="str">
        <f>計算シート!N32</f>
        <v/>
      </c>
      <c r="S32" s="722" t="str">
        <f>計算シート!O32</f>
        <v/>
      </c>
      <c r="T32" s="722" t="str">
        <f>計算シート!P32</f>
        <v/>
      </c>
      <c r="U32" s="723" t="str">
        <f>IF(計算シート!CS32&lt;&gt;"",計算シート!CS32,"")</f>
        <v/>
      </c>
      <c r="V32" s="812">
        <f>'派遣先管理台帳（タイムシート）'!Q41</f>
        <v>4.166666666666663E-2</v>
      </c>
      <c r="W32" s="811" t="str">
        <f>'派遣先管理台帳（タイムシート）'!AU41</f>
        <v/>
      </c>
      <c r="X32" s="44"/>
      <c r="Y32" s="306"/>
      <c r="Z32" s="524"/>
      <c r="AA32" s="524"/>
      <c r="AB32" s="7"/>
      <c r="AC32" s="760"/>
      <c r="AD32" s="760"/>
      <c r="AE32" s="7"/>
      <c r="AF32" s="7"/>
      <c r="AG32" s="7"/>
      <c r="AH32" s="7"/>
      <c r="AI32" s="7"/>
      <c r="AJ32" s="7"/>
      <c r="AK32" s="7"/>
      <c r="AL32" s="7"/>
      <c r="AM32" s="7"/>
      <c r="AN32" s="7"/>
      <c r="AO32" s="7"/>
    </row>
    <row r="33" spans="1:41" ht="33.75" customHeight="1">
      <c r="A33" s="44"/>
      <c r="B33" s="219"/>
      <c r="C33" s="218">
        <f>DATE(年,月,21)</f>
        <v>44217</v>
      </c>
      <c r="D33" s="228" t="str">
        <f>IF(計算シート!C33&lt;&gt;"",計算シート!C33,"")</f>
        <v>9:30</v>
      </c>
      <c r="E33" s="228" t="str">
        <f>IF(計算シート!D33&lt;&gt;"",計算シート!D33,"")</f>
        <v>19:15</v>
      </c>
      <c r="F33" s="229" t="str">
        <f>IF(計算シート!E33&lt;&gt;"",計算シート!E33,"")</f>
        <v/>
      </c>
      <c r="G33" s="230" t="str">
        <f>IF(計算シート!F33&lt;&gt;"",計算シート!F33,"")</f>
        <v/>
      </c>
      <c r="H33" s="230"/>
      <c r="I33" s="230"/>
      <c r="J33" s="230"/>
      <c r="K33" s="230"/>
      <c r="L33" s="515" t="str">
        <f>IF(計算シート!CZ33&gt;0, 計算シート!CZ33, "")</f>
        <v/>
      </c>
      <c r="M33" s="511"/>
      <c r="N33" s="516">
        <f>IF(時間外表示=0,IF(計算シート!AI33&gt;0,計算シート!AI33,""),"")</f>
        <v>30</v>
      </c>
      <c r="O33" s="513" t="str">
        <f>IF(時間外表示=0,IF(計算シート!AK33&gt;0,計算シート!AK33,""),"")</f>
        <v/>
      </c>
      <c r="P33" s="514" t="str">
        <f>IF(深夜時間表示=0,IF(計算シート!L33&gt;0,計算シート!L33,""),"")</f>
        <v/>
      </c>
      <c r="Q33" s="721">
        <f>計算シート!M33</f>
        <v>0.34375</v>
      </c>
      <c r="R33" s="722" t="str">
        <f>計算シート!N33</f>
        <v/>
      </c>
      <c r="S33" s="722" t="str">
        <f>計算シート!O33</f>
        <v/>
      </c>
      <c r="T33" s="722" t="str">
        <f>計算シート!P33</f>
        <v/>
      </c>
      <c r="U33" s="723" t="str">
        <f>IF(計算シート!CS33&lt;&gt;"",計算シート!CS33,"")</f>
        <v/>
      </c>
      <c r="V33" s="812">
        <f>'派遣先管理台帳（タイムシート）'!Q42</f>
        <v>6.2500000000000056E-2</v>
      </c>
      <c r="W33" s="811" t="str">
        <f>'派遣先管理台帳（タイムシート）'!AU42</f>
        <v/>
      </c>
      <c r="X33" s="44"/>
      <c r="Y33" s="306"/>
      <c r="Z33" s="524"/>
      <c r="AA33" s="524"/>
      <c r="AB33" s="7"/>
      <c r="AC33" s="760"/>
      <c r="AD33" s="760"/>
      <c r="AE33" s="7"/>
      <c r="AF33" s="7"/>
      <c r="AG33" s="7"/>
      <c r="AH33" s="7"/>
      <c r="AI33" s="7"/>
      <c r="AJ33" s="7"/>
      <c r="AK33" s="7"/>
      <c r="AL33" s="7"/>
      <c r="AM33" s="7"/>
      <c r="AN33" s="7"/>
      <c r="AO33" s="7"/>
    </row>
    <row r="34" spans="1:41" ht="33.75" customHeight="1">
      <c r="A34" s="44"/>
      <c r="B34" s="219"/>
      <c r="C34" s="218">
        <f>DATE(年,月,22)</f>
        <v>44218</v>
      </c>
      <c r="D34" s="228" t="str">
        <f>IF(計算シート!C34&lt;&gt;"",計算シート!C34,"")</f>
        <v>9:30</v>
      </c>
      <c r="E34" s="228" t="str">
        <f>IF(計算シート!D34&lt;&gt;"",計算シート!D34,"")</f>
        <v>18:15</v>
      </c>
      <c r="F34" s="229" t="str">
        <f>IF(計算シート!E34&lt;&gt;"",計算シート!E34,"")</f>
        <v/>
      </c>
      <c r="G34" s="230" t="str">
        <f>IF(計算シート!F34&lt;&gt;"",計算シート!F34,"")</f>
        <v/>
      </c>
      <c r="H34" s="230"/>
      <c r="I34" s="230"/>
      <c r="J34" s="230"/>
      <c r="K34" s="230"/>
      <c r="L34" s="515" t="str">
        <f>IF(計算シート!CZ34&gt;0, 計算シート!CZ34, "")</f>
        <v/>
      </c>
      <c r="M34" s="511"/>
      <c r="N34" s="516" t="str">
        <f>IF(時間外表示=0,IF(計算シート!AI34&gt;0,計算シート!AI34,""),"")</f>
        <v/>
      </c>
      <c r="O34" s="513" t="str">
        <f>IF(時間外表示=0,IF(計算シート!AK34&gt;0,計算シート!AK34,""),"")</f>
        <v/>
      </c>
      <c r="P34" s="514" t="str">
        <f>IF(深夜時間表示=0,IF(計算シート!L34&gt;0,計算シート!L34,""),"")</f>
        <v/>
      </c>
      <c r="Q34" s="721">
        <f>計算シート!M34</f>
        <v>0.32291666666666669</v>
      </c>
      <c r="R34" s="722" t="str">
        <f>計算シート!N34</f>
        <v/>
      </c>
      <c r="S34" s="722" t="str">
        <f>計算シート!O34</f>
        <v/>
      </c>
      <c r="T34" s="722" t="str">
        <f>計算シート!P34</f>
        <v/>
      </c>
      <c r="U34" s="723" t="str">
        <f>IF(計算シート!CS34&lt;&gt;"",計算シート!CS34,"")</f>
        <v/>
      </c>
      <c r="V34" s="812">
        <f>'派遣先管理台帳（タイムシート）'!Q43</f>
        <v>4.166666666666663E-2</v>
      </c>
      <c r="W34" s="811" t="str">
        <f>'派遣先管理台帳（タイムシート）'!AU43</f>
        <v/>
      </c>
      <c r="X34" s="44"/>
      <c r="Y34" s="306"/>
      <c r="Z34" s="524"/>
      <c r="AA34" s="524"/>
      <c r="AB34" s="7"/>
      <c r="AC34" s="7"/>
      <c r="AD34" s="7"/>
      <c r="AE34" s="7"/>
      <c r="AF34" s="7"/>
      <c r="AG34" s="7"/>
      <c r="AH34" s="7"/>
      <c r="AI34" s="7"/>
      <c r="AJ34" s="7"/>
      <c r="AK34" s="7"/>
      <c r="AL34" s="7"/>
      <c r="AM34" s="7"/>
      <c r="AN34" s="7"/>
      <c r="AO34" s="7"/>
    </row>
    <row r="35" spans="1:41" ht="33.75" customHeight="1">
      <c r="A35" s="44"/>
      <c r="B35" s="219"/>
      <c r="C35" s="218">
        <f>DATE(年,月,23)</f>
        <v>44219</v>
      </c>
      <c r="D35" s="228" t="str">
        <f>IF(計算シート!C35&lt;&gt;"",計算シート!C35,"")</f>
        <v/>
      </c>
      <c r="E35" s="228" t="str">
        <f>IF(計算シート!D35&lt;&gt;"",計算シート!D35,"")</f>
        <v/>
      </c>
      <c r="F35" s="229" t="str">
        <f>IF(計算シート!E35&lt;&gt;"",計算シート!E35,"")</f>
        <v/>
      </c>
      <c r="G35" s="230" t="str">
        <f>IF(計算シート!F35&lt;&gt;"",計算シート!F35,"")</f>
        <v/>
      </c>
      <c r="H35" s="230"/>
      <c r="I35" s="230"/>
      <c r="J35" s="230"/>
      <c r="K35" s="230"/>
      <c r="L35" s="515" t="str">
        <f>IF(計算シート!CZ35&gt;0, 計算シート!CZ35, "")</f>
        <v/>
      </c>
      <c r="M35" s="511"/>
      <c r="N35" s="516" t="str">
        <f>IF(時間外表示=0,IF(計算シート!AI35&gt;0,計算シート!AI35,""),"")</f>
        <v/>
      </c>
      <c r="O35" s="513" t="str">
        <f>IF(時間外表示=0,IF(計算シート!AK35&gt;0,計算シート!AK35,""),"")</f>
        <v/>
      </c>
      <c r="P35" s="514" t="str">
        <f>IF(深夜時間表示=0,IF(計算シート!L35&gt;0,計算シート!L35,""),"")</f>
        <v/>
      </c>
      <c r="Q35" s="721" t="str">
        <f>計算シート!M35</f>
        <v/>
      </c>
      <c r="R35" s="722" t="str">
        <f>計算シート!N35</f>
        <v/>
      </c>
      <c r="S35" s="722" t="str">
        <f>計算シート!O35</f>
        <v/>
      </c>
      <c r="T35" s="722" t="str">
        <f>計算シート!P35</f>
        <v/>
      </c>
      <c r="U35" s="723" t="str">
        <f>IF(計算シート!CS35&lt;&gt;"",計算シート!CS35,"")</f>
        <v/>
      </c>
      <c r="V35" s="812" t="str">
        <f>'派遣先管理台帳（タイムシート）'!Q44</f>
        <v/>
      </c>
      <c r="W35" s="811" t="str">
        <f>'派遣先管理台帳（タイムシート）'!AU44</f>
        <v/>
      </c>
      <c r="X35" s="44"/>
      <c r="Y35" s="306"/>
      <c r="Z35" s="524"/>
      <c r="AA35" s="524"/>
      <c r="AB35" s="7"/>
      <c r="AC35" s="7"/>
      <c r="AD35" s="7"/>
      <c r="AE35" s="7"/>
      <c r="AF35" s="7"/>
      <c r="AG35" s="7"/>
      <c r="AH35" s="7"/>
      <c r="AI35" s="7"/>
      <c r="AJ35" s="7"/>
      <c r="AK35" s="7"/>
      <c r="AL35" s="7"/>
      <c r="AM35" s="7"/>
      <c r="AN35" s="7"/>
      <c r="AO35" s="7"/>
    </row>
    <row r="36" spans="1:41" ht="33.75" customHeight="1">
      <c r="A36" s="44"/>
      <c r="B36" s="219"/>
      <c r="C36" s="218">
        <f>DATE(年,月,24)</f>
        <v>44220</v>
      </c>
      <c r="D36" s="228" t="str">
        <f>IF(計算シート!C36&lt;&gt;"",計算シート!C36,"")</f>
        <v/>
      </c>
      <c r="E36" s="228" t="str">
        <f>IF(計算シート!D36&lt;&gt;"",計算シート!D36,"")</f>
        <v/>
      </c>
      <c r="F36" s="229" t="str">
        <f>IF(計算シート!E36&lt;&gt;"",計算シート!E36,"")</f>
        <v/>
      </c>
      <c r="G36" s="230" t="str">
        <f>IF(計算シート!F36&lt;&gt;"",計算シート!F36,"")</f>
        <v/>
      </c>
      <c r="H36" s="230"/>
      <c r="I36" s="230"/>
      <c r="J36" s="230"/>
      <c r="K36" s="230"/>
      <c r="L36" s="515" t="str">
        <f>IF(計算シート!CZ36&gt;0, 計算シート!CZ36, "")</f>
        <v/>
      </c>
      <c r="M36" s="511"/>
      <c r="N36" s="516" t="str">
        <f>IF(時間外表示=0,IF(計算シート!AI36&gt;0,計算シート!AI36,""),"")</f>
        <v/>
      </c>
      <c r="O36" s="513" t="str">
        <f>IF(時間外表示=0,IF(計算シート!AK36&gt;0,計算シート!AK36,""),"")</f>
        <v/>
      </c>
      <c r="P36" s="514" t="str">
        <f>IF(深夜時間表示=0,IF(計算シート!L36&gt;0,計算シート!L36,""),"")</f>
        <v/>
      </c>
      <c r="Q36" s="721" t="str">
        <f>計算シート!M36</f>
        <v/>
      </c>
      <c r="R36" s="722" t="str">
        <f>計算シート!N36</f>
        <v/>
      </c>
      <c r="S36" s="722" t="str">
        <f>計算シート!O36</f>
        <v/>
      </c>
      <c r="T36" s="722" t="str">
        <f>計算シート!P36</f>
        <v/>
      </c>
      <c r="U36" s="723" t="str">
        <f>IF(計算シート!CS36&lt;&gt;"",計算シート!CS36,"")</f>
        <v/>
      </c>
      <c r="V36" s="812" t="str">
        <f>'派遣先管理台帳（タイムシート）'!Q45</f>
        <v/>
      </c>
      <c r="W36" s="811" t="str">
        <f>'派遣先管理台帳（タイムシート）'!AU45</f>
        <v/>
      </c>
      <c r="X36" s="44"/>
      <c r="Y36" s="306"/>
      <c r="Z36" s="524"/>
      <c r="AA36" s="524"/>
      <c r="AB36" s="7"/>
      <c r="AC36" s="7"/>
      <c r="AD36" s="7"/>
      <c r="AE36" s="7"/>
      <c r="AF36" s="7"/>
      <c r="AG36" s="7"/>
      <c r="AH36" s="7"/>
      <c r="AI36" s="7"/>
      <c r="AJ36" s="7"/>
      <c r="AK36" s="7"/>
      <c r="AL36" s="7"/>
      <c r="AM36" s="7"/>
      <c r="AN36" s="7"/>
      <c r="AO36" s="7"/>
    </row>
    <row r="37" spans="1:41" ht="33.75" customHeight="1">
      <c r="A37" s="44"/>
      <c r="B37" s="219"/>
      <c r="C37" s="218">
        <f>DATE(年,月,25)</f>
        <v>44221</v>
      </c>
      <c r="D37" s="228" t="str">
        <f>IF(計算シート!C37&lt;&gt;"",計算シート!C37,"")</f>
        <v>9:30</v>
      </c>
      <c r="E37" s="228" t="str">
        <f>IF(計算シート!D37&lt;&gt;"",計算シート!D37,"")</f>
        <v>18:15</v>
      </c>
      <c r="F37" s="229" t="str">
        <f>IF(計算シート!E37&lt;&gt;"",計算シート!E37,"")</f>
        <v/>
      </c>
      <c r="G37" s="230" t="str">
        <f>IF(計算シート!F37&lt;&gt;"",計算シート!F37,"")</f>
        <v/>
      </c>
      <c r="H37" s="230"/>
      <c r="I37" s="230"/>
      <c r="J37" s="230"/>
      <c r="K37" s="230"/>
      <c r="L37" s="515" t="str">
        <f>IF(計算シート!CZ37&gt;0, 計算シート!CZ37, "")</f>
        <v/>
      </c>
      <c r="M37" s="517"/>
      <c r="N37" s="516" t="str">
        <f>IF(時間外表示=0,IF(計算シート!AI37&gt;0,計算シート!AI37,""),"")</f>
        <v/>
      </c>
      <c r="O37" s="513" t="str">
        <f>IF(時間外表示=0,IF(計算シート!AK37&gt;0,計算シート!AK37,""),"")</f>
        <v/>
      </c>
      <c r="P37" s="514" t="str">
        <f>IF(深夜時間表示=0,IF(計算シート!L37&gt;0,計算シート!L37,""),"")</f>
        <v/>
      </c>
      <c r="Q37" s="721">
        <f>計算シート!M37</f>
        <v>0.32291666666666669</v>
      </c>
      <c r="R37" s="722" t="str">
        <f>計算シート!N37</f>
        <v/>
      </c>
      <c r="S37" s="722" t="str">
        <f>計算シート!O37</f>
        <v/>
      </c>
      <c r="T37" s="722" t="str">
        <f>計算シート!P37</f>
        <v/>
      </c>
      <c r="U37" s="723" t="str">
        <f>IF(計算シート!CS37&lt;&gt;"",計算シート!CS37,"")</f>
        <v/>
      </c>
      <c r="V37" s="812">
        <f>'派遣先管理台帳（タイムシート）'!Q46</f>
        <v>4.166666666666663E-2</v>
      </c>
      <c r="W37" s="811" t="str">
        <f>'派遣先管理台帳（タイムシート）'!AU46</f>
        <v/>
      </c>
      <c r="X37" s="44"/>
      <c r="Y37" s="306"/>
      <c r="Z37" s="524"/>
      <c r="AA37" s="524"/>
      <c r="AB37" s="7"/>
      <c r="AC37" s="7"/>
      <c r="AD37" s="7"/>
      <c r="AE37" s="7"/>
      <c r="AF37" s="7"/>
      <c r="AG37" s="7"/>
      <c r="AH37" s="7"/>
      <c r="AI37" s="7"/>
      <c r="AJ37" s="7"/>
      <c r="AK37" s="7"/>
      <c r="AL37" s="7"/>
      <c r="AM37" s="7"/>
      <c r="AN37" s="7"/>
      <c r="AO37" s="7"/>
    </row>
    <row r="38" spans="1:41" ht="33.75" customHeight="1">
      <c r="A38" s="44"/>
      <c r="B38" s="219"/>
      <c r="C38" s="218">
        <f>DATE(年,月,26)</f>
        <v>44222</v>
      </c>
      <c r="D38" s="228" t="str">
        <f>IF(計算シート!C38&lt;&gt;"",計算シート!C38,"")</f>
        <v>9:30</v>
      </c>
      <c r="E38" s="228" t="str">
        <f>IF(計算シート!D38&lt;&gt;"",計算シート!D38,"")</f>
        <v>19:45</v>
      </c>
      <c r="F38" s="229" t="str">
        <f>IF(計算シート!E38&lt;&gt;"",計算シート!E38,"")</f>
        <v/>
      </c>
      <c r="G38" s="230" t="str">
        <f>IF(計算シート!F38&lt;&gt;"",計算シート!F38,"")</f>
        <v/>
      </c>
      <c r="H38" s="230"/>
      <c r="I38" s="230"/>
      <c r="J38" s="230"/>
      <c r="K38" s="230"/>
      <c r="L38" s="515" t="str">
        <f>IF(計算シート!CZ38&gt;0, 計算シート!CZ38, "")</f>
        <v/>
      </c>
      <c r="M38" s="517"/>
      <c r="N38" s="516">
        <f>IF(時間外表示=0,IF(計算シート!AI38&gt;0,計算シート!AI38,""),"")</f>
        <v>60</v>
      </c>
      <c r="O38" s="513" t="str">
        <f>IF(時間外表示=0,IF(計算シート!AK38&gt;0,計算シート!AK38,""),"")</f>
        <v/>
      </c>
      <c r="P38" s="514" t="str">
        <f>IF(深夜時間表示=0,IF(計算シート!L38&gt;0,計算シート!L38,""),"")</f>
        <v/>
      </c>
      <c r="Q38" s="721">
        <f>計算シート!M38</f>
        <v>0.36458333333333331</v>
      </c>
      <c r="R38" s="722" t="str">
        <f>計算シート!N38</f>
        <v/>
      </c>
      <c r="S38" s="722" t="str">
        <f>計算シート!O38</f>
        <v/>
      </c>
      <c r="T38" s="722" t="str">
        <f>計算シート!P38</f>
        <v/>
      </c>
      <c r="U38" s="723" t="str">
        <f>IF(計算シート!CS38&lt;&gt;"",計算シート!CS38,"")</f>
        <v/>
      </c>
      <c r="V38" s="812">
        <f>'派遣先管理台帳（タイムシート）'!Q47</f>
        <v>6.25E-2</v>
      </c>
      <c r="W38" s="811" t="str">
        <f>'派遣先管理台帳（タイムシート）'!AU47</f>
        <v/>
      </c>
      <c r="X38" s="44"/>
      <c r="Y38" s="306"/>
      <c r="Z38" s="524"/>
      <c r="AA38" s="524"/>
      <c r="AB38" s="7"/>
      <c r="AC38" s="7"/>
      <c r="AD38" s="7"/>
      <c r="AE38" s="7"/>
      <c r="AF38" s="7"/>
      <c r="AG38" s="7"/>
      <c r="AH38" s="7"/>
      <c r="AI38" s="7"/>
      <c r="AJ38" s="7"/>
      <c r="AK38" s="7"/>
      <c r="AL38" s="7"/>
      <c r="AM38" s="7"/>
      <c r="AN38" s="7"/>
      <c r="AO38" s="7"/>
    </row>
    <row r="39" spans="1:41" ht="33.75" customHeight="1">
      <c r="A39" s="44"/>
      <c r="B39" s="219"/>
      <c r="C39" s="218">
        <f>DATE(年,月,27)</f>
        <v>44223</v>
      </c>
      <c r="D39" s="228" t="str">
        <f>IF(計算シート!C39&lt;&gt;"",計算シート!C39,"")</f>
        <v>9:30</v>
      </c>
      <c r="E39" s="228" t="str">
        <f>IF(計算シート!D39&lt;&gt;"",計算シート!D39,"")</f>
        <v>18:15</v>
      </c>
      <c r="F39" s="229" t="str">
        <f>IF(計算シート!E39&lt;&gt;"",計算シート!E39,"")</f>
        <v/>
      </c>
      <c r="G39" s="230" t="str">
        <f>IF(計算シート!F39&lt;&gt;"",計算シート!F39,"")</f>
        <v/>
      </c>
      <c r="H39" s="230"/>
      <c r="I39" s="230"/>
      <c r="J39" s="230"/>
      <c r="K39" s="230"/>
      <c r="L39" s="515" t="str">
        <f>IF(計算シート!CZ39&gt;0, 計算シート!CZ39, "")</f>
        <v/>
      </c>
      <c r="M39" s="511"/>
      <c r="N39" s="516" t="str">
        <f>IF(時間外表示=0,IF(計算シート!AI39&gt;0,計算シート!AI39,""),"")</f>
        <v/>
      </c>
      <c r="O39" s="513" t="str">
        <f>IF(時間外表示=0,IF(計算シート!AK39&gt;0,計算シート!AK39,""),"")</f>
        <v/>
      </c>
      <c r="P39" s="514" t="str">
        <f>IF(深夜時間表示=0,IF(計算シート!L39&gt;0,計算シート!L39,""),"")</f>
        <v/>
      </c>
      <c r="Q39" s="721">
        <f>計算シート!M39</f>
        <v>0.32291666666666669</v>
      </c>
      <c r="R39" s="722" t="str">
        <f>計算シート!N39</f>
        <v/>
      </c>
      <c r="S39" s="722" t="str">
        <f>計算シート!O39</f>
        <v/>
      </c>
      <c r="T39" s="722" t="str">
        <f>計算シート!P39</f>
        <v/>
      </c>
      <c r="U39" s="723" t="str">
        <f>IF(計算シート!CS39&lt;&gt;"",計算シート!CS39,"")</f>
        <v/>
      </c>
      <c r="V39" s="812">
        <f>'派遣先管理台帳（タイムシート）'!Q48</f>
        <v>4.166666666666663E-2</v>
      </c>
      <c r="W39" s="811" t="str">
        <f>'派遣先管理台帳（タイムシート）'!AU48</f>
        <v/>
      </c>
      <c r="X39" s="44"/>
      <c r="Y39" s="306"/>
      <c r="Z39" s="524"/>
      <c r="AA39" s="524"/>
      <c r="AB39" s="7"/>
      <c r="AC39" s="7"/>
      <c r="AD39" s="7"/>
      <c r="AE39" s="7"/>
      <c r="AF39" s="7"/>
      <c r="AG39" s="7"/>
      <c r="AH39" s="7"/>
      <c r="AI39" s="7"/>
      <c r="AJ39" s="7"/>
      <c r="AK39" s="7"/>
      <c r="AL39" s="7"/>
      <c r="AM39" s="7"/>
      <c r="AN39" s="7"/>
      <c r="AO39" s="7"/>
    </row>
    <row r="40" spans="1:41" ht="33.75" customHeight="1">
      <c r="A40" s="44"/>
      <c r="B40" s="219"/>
      <c r="C40" s="218">
        <f>DATE(年,月,28)</f>
        <v>44224</v>
      </c>
      <c r="D40" s="228" t="str">
        <f>IF(計算シート!C40&lt;&gt;"",計算シート!C40,"")</f>
        <v>9:30</v>
      </c>
      <c r="E40" s="228" t="str">
        <f>IF(計算シート!D40&lt;&gt;"",計算シート!D40,"")</f>
        <v>18:15</v>
      </c>
      <c r="F40" s="229" t="str">
        <f>IF(計算シート!E40&lt;&gt;"",計算シート!E40,"")</f>
        <v/>
      </c>
      <c r="G40" s="230" t="str">
        <f>IF(計算シート!F40&lt;&gt;"",計算シート!F40,"")</f>
        <v/>
      </c>
      <c r="H40" s="230"/>
      <c r="I40" s="230"/>
      <c r="J40" s="230"/>
      <c r="K40" s="230"/>
      <c r="L40" s="515" t="str">
        <f>IF(計算シート!CZ40&gt;0, 計算シート!CZ40, "")</f>
        <v/>
      </c>
      <c r="M40" s="511"/>
      <c r="N40" s="516" t="str">
        <f>IF(時間外表示=0,IF(計算シート!AI40&gt;0,計算シート!AI40,""),"")</f>
        <v/>
      </c>
      <c r="O40" s="513" t="str">
        <f>IF(時間外表示=0,IF(計算シート!AK40&gt;0,計算シート!AK40,""),"")</f>
        <v/>
      </c>
      <c r="P40" s="514" t="str">
        <f>IF(深夜時間表示=0,IF(計算シート!L40&gt;0,計算シート!L40,""),"")</f>
        <v/>
      </c>
      <c r="Q40" s="721">
        <f>計算シート!M40</f>
        <v>0.32291666666666669</v>
      </c>
      <c r="R40" s="722" t="str">
        <f>計算シート!N40</f>
        <v/>
      </c>
      <c r="S40" s="722" t="str">
        <f>計算シート!O40</f>
        <v/>
      </c>
      <c r="T40" s="722" t="str">
        <f>計算シート!P40</f>
        <v/>
      </c>
      <c r="U40" s="723" t="str">
        <f>IF(計算シート!CS40&lt;&gt;"",計算シート!CS40,"")</f>
        <v/>
      </c>
      <c r="V40" s="812">
        <f>'派遣先管理台帳（タイムシート）'!Q49</f>
        <v>4.166666666666663E-2</v>
      </c>
      <c r="W40" s="811" t="str">
        <f>'派遣先管理台帳（タイムシート）'!AU49</f>
        <v/>
      </c>
      <c r="X40" s="44"/>
      <c r="Y40" s="306"/>
      <c r="Z40" s="524"/>
      <c r="AA40" s="524"/>
      <c r="AB40" s="7"/>
      <c r="AC40" s="7"/>
      <c r="AD40" s="7"/>
      <c r="AE40" s="7"/>
      <c r="AF40" s="7"/>
      <c r="AG40" s="7"/>
      <c r="AH40" s="7"/>
      <c r="AI40" s="7"/>
      <c r="AJ40" s="7"/>
      <c r="AK40" s="7"/>
      <c r="AL40" s="7"/>
      <c r="AM40" s="7"/>
      <c r="AN40" s="7"/>
      <c r="AO40" s="7"/>
    </row>
    <row r="41" spans="1:41" ht="33.75" customHeight="1">
      <c r="A41" s="44"/>
      <c r="B41" s="219"/>
      <c r="C41" s="218">
        <f>IF(MONTH(DATE(年,月,29))=月,DATE(年,月,29),"")</f>
        <v>44225</v>
      </c>
      <c r="D41" s="228" t="str">
        <f>IF(計算シート!C41&lt;&gt;"",計算シート!C41,"")</f>
        <v>9:30</v>
      </c>
      <c r="E41" s="228" t="str">
        <f>IF(計算シート!D41&lt;&gt;"",計算シート!D41,"")</f>
        <v>18:15</v>
      </c>
      <c r="F41" s="229" t="str">
        <f>IF(計算シート!E41&lt;&gt;"",計算シート!E41,"")</f>
        <v/>
      </c>
      <c r="G41" s="230" t="str">
        <f>IF(計算シート!F41&lt;&gt;"",計算シート!F41,"")</f>
        <v/>
      </c>
      <c r="H41" s="230"/>
      <c r="I41" s="230"/>
      <c r="J41" s="230"/>
      <c r="K41" s="230"/>
      <c r="L41" s="515" t="str">
        <f>IF(計算シート!CZ41&gt;0, 計算シート!CZ41, "")</f>
        <v/>
      </c>
      <c r="M41" s="511"/>
      <c r="N41" s="516" t="str">
        <f>IF(時間外表示=0,IF(計算シート!AI41&gt;0,計算シート!AI41,""),"")</f>
        <v/>
      </c>
      <c r="O41" s="513" t="str">
        <f>IF(時間外表示=0,IF(計算シート!AK41&gt;0,計算シート!AK41,""),"")</f>
        <v/>
      </c>
      <c r="P41" s="514" t="str">
        <f>IF(深夜時間表示=0,IF(計算シート!L41&gt;0,計算シート!L41,""),"")</f>
        <v/>
      </c>
      <c r="Q41" s="721">
        <f>計算シート!M41</f>
        <v>0.32291666666666669</v>
      </c>
      <c r="R41" s="722" t="str">
        <f>計算シート!N41</f>
        <v/>
      </c>
      <c r="S41" s="722" t="str">
        <f>計算シート!O41</f>
        <v/>
      </c>
      <c r="T41" s="722" t="str">
        <f>計算シート!P41</f>
        <v/>
      </c>
      <c r="U41" s="723" t="str">
        <f>IF(計算シート!CS41&lt;&gt;"",計算シート!CS41,"")</f>
        <v/>
      </c>
      <c r="V41" s="812">
        <f>'派遣先管理台帳（タイムシート）'!Q50</f>
        <v>4.166666666666663E-2</v>
      </c>
      <c r="W41" s="811" t="str">
        <f>'派遣先管理台帳（タイムシート）'!AU50</f>
        <v/>
      </c>
      <c r="X41" s="44"/>
      <c r="Y41" s="306"/>
      <c r="Z41" s="524"/>
      <c r="AA41" s="524"/>
      <c r="AB41" s="7"/>
      <c r="AC41" s="7"/>
      <c r="AD41" s="7"/>
      <c r="AE41" s="7"/>
      <c r="AF41" s="7"/>
      <c r="AG41" s="7"/>
      <c r="AH41" s="7"/>
      <c r="AI41" s="7"/>
      <c r="AJ41" s="7"/>
      <c r="AK41" s="7"/>
      <c r="AL41" s="7"/>
      <c r="AM41" s="7"/>
      <c r="AN41" s="7"/>
      <c r="AO41" s="7"/>
    </row>
    <row r="42" spans="1:41" ht="33.75" customHeight="1">
      <c r="A42" s="44"/>
      <c r="B42" s="219"/>
      <c r="C42" s="218">
        <f>IF(MONTH(DATE(年,月,30))=月,DATE(年,月,30),"")</f>
        <v>44226</v>
      </c>
      <c r="D42" s="228" t="str">
        <f>IF(計算シート!C42&lt;&gt;"",計算シート!C42,"")</f>
        <v/>
      </c>
      <c r="E42" s="228" t="str">
        <f>IF(計算シート!D42&lt;&gt;"",計算シート!D42,"")</f>
        <v/>
      </c>
      <c r="F42" s="229" t="str">
        <f>IF(計算シート!E42&lt;&gt;"",計算シート!E42,"")</f>
        <v/>
      </c>
      <c r="G42" s="230" t="str">
        <f>IF(計算シート!F42&lt;&gt;"",計算シート!F42,"")</f>
        <v/>
      </c>
      <c r="H42" s="230"/>
      <c r="I42" s="230"/>
      <c r="J42" s="230"/>
      <c r="K42" s="230"/>
      <c r="L42" s="515" t="str">
        <f>IF(計算シート!CZ42&gt;0, 計算シート!CZ42, "")</f>
        <v/>
      </c>
      <c r="M42" s="511"/>
      <c r="N42" s="516" t="str">
        <f>IF(時間外表示=0,IF(計算シート!AI42&gt;0,計算シート!AI42,""),"")</f>
        <v/>
      </c>
      <c r="O42" s="513" t="str">
        <f>IF(時間外表示=0,IF(計算シート!AK42&gt;0,計算シート!AK42,""),"")</f>
        <v/>
      </c>
      <c r="P42" s="514" t="str">
        <f>IF(深夜時間表示=0,IF(計算シート!L42&gt;0,計算シート!L42,""),"")</f>
        <v/>
      </c>
      <c r="Q42" s="721" t="str">
        <f>計算シート!M42</f>
        <v/>
      </c>
      <c r="R42" s="722" t="str">
        <f>計算シート!N42</f>
        <v/>
      </c>
      <c r="S42" s="722" t="str">
        <f>計算シート!O42</f>
        <v/>
      </c>
      <c r="T42" s="722" t="str">
        <f>計算シート!P42</f>
        <v/>
      </c>
      <c r="U42" s="723" t="str">
        <f>IF(計算シート!CS42&lt;&gt;"",計算シート!CS42,"")</f>
        <v/>
      </c>
      <c r="V42" s="812" t="str">
        <f>'派遣先管理台帳（タイムシート）'!Q51</f>
        <v/>
      </c>
      <c r="W42" s="811" t="str">
        <f>'派遣先管理台帳（タイムシート）'!AU51</f>
        <v/>
      </c>
      <c r="X42" s="44"/>
      <c r="Y42" s="306"/>
      <c r="Z42" s="524"/>
      <c r="AA42" s="524"/>
      <c r="AB42" s="7"/>
      <c r="AC42" s="7"/>
      <c r="AD42" s="7"/>
      <c r="AE42" s="7"/>
      <c r="AF42" s="7"/>
      <c r="AG42" s="7"/>
      <c r="AH42" s="7"/>
      <c r="AI42" s="7"/>
      <c r="AJ42" s="7"/>
      <c r="AK42" s="7"/>
      <c r="AL42" s="7"/>
      <c r="AM42" s="7"/>
      <c r="AN42" s="7"/>
      <c r="AO42" s="7"/>
    </row>
    <row r="43" spans="1:41" ht="33.75" customHeight="1">
      <c r="A43" s="44"/>
      <c r="B43" s="220"/>
      <c r="C43" s="223">
        <f>IF(MONTH(DATE(年,月,31))=月,DATE(年,月,31),"")</f>
        <v>44227</v>
      </c>
      <c r="D43" s="234" t="str">
        <f>IF(計算シート!C43&lt;&gt;"",計算シート!C43,"")</f>
        <v/>
      </c>
      <c r="E43" s="234" t="str">
        <f>IF(計算シート!D43&lt;&gt;"",計算シート!D43,"")</f>
        <v/>
      </c>
      <c r="F43" s="235" t="str">
        <f>IF(計算シート!E43&lt;&gt;"",計算シート!E43,"")</f>
        <v/>
      </c>
      <c r="G43" s="236" t="str">
        <f>IF(計算シート!F43&lt;&gt;"",計算シート!F43,"")</f>
        <v/>
      </c>
      <c r="H43" s="237"/>
      <c r="I43" s="237"/>
      <c r="J43" s="237"/>
      <c r="K43" s="237"/>
      <c r="L43" s="518" t="str">
        <f>IF(計算シート!CZ43&gt;0, 計算シート!CZ43, "")</f>
        <v/>
      </c>
      <c r="M43" s="519"/>
      <c r="N43" s="520" t="str">
        <f>IF(時間外表示=0,IF(計算シート!AI43&gt;0,計算シート!AI43,""),"")</f>
        <v/>
      </c>
      <c r="O43" s="521" t="str">
        <f>IF(時間外表示=0,IF(計算シート!AK43&gt;0,計算シート!AK43,""),"")</f>
        <v/>
      </c>
      <c r="P43" s="522" t="str">
        <f>IF(深夜時間表示=0,IF(計算シート!L43&gt;0,計算シート!L43,""),"")</f>
        <v/>
      </c>
      <c r="Q43" s="724" t="str">
        <f>計算シート!M43</f>
        <v/>
      </c>
      <c r="R43" s="725" t="str">
        <f>計算シート!N43</f>
        <v/>
      </c>
      <c r="S43" s="725" t="str">
        <f>計算シート!O43</f>
        <v/>
      </c>
      <c r="T43" s="725" t="str">
        <f>計算シート!P43</f>
        <v/>
      </c>
      <c r="U43" s="726" t="str">
        <f>IF(計算シート!CS43&lt;&gt;"",計算シート!CS43,"")</f>
        <v/>
      </c>
      <c r="V43" s="812" t="str">
        <f>'派遣先管理台帳（タイムシート）'!Q52</f>
        <v/>
      </c>
      <c r="W43" s="811" t="str">
        <f>'派遣先管理台帳（タイムシート）'!AU52</f>
        <v/>
      </c>
      <c r="X43" s="44"/>
      <c r="Y43" s="306"/>
      <c r="Z43" s="524"/>
      <c r="AA43" s="524"/>
      <c r="AB43" s="7"/>
      <c r="AC43" s="7"/>
      <c r="AD43" s="7"/>
      <c r="AE43" s="7"/>
      <c r="AF43" s="7"/>
      <c r="AG43" s="7"/>
      <c r="AH43" s="7"/>
      <c r="AI43" s="7"/>
      <c r="AJ43" s="7"/>
      <c r="AK43" s="7"/>
      <c r="AL43" s="7"/>
      <c r="AM43" s="7"/>
      <c r="AN43" s="7"/>
      <c r="AO43" s="7"/>
    </row>
    <row r="44" spans="1:41" ht="13.5" customHeight="1">
      <c r="A44" s="44"/>
      <c r="B44" s="44"/>
      <c r="C44" s="305"/>
      <c r="D44" s="44"/>
      <c r="E44" s="204"/>
      <c r="F44" s="205"/>
      <c r="G44" s="44"/>
      <c r="H44" s="44"/>
      <c r="I44" s="44"/>
      <c r="J44" s="44"/>
      <c r="K44" s="44"/>
      <c r="L44" s="44"/>
      <c r="M44" s="44"/>
      <c r="N44" s="44"/>
      <c r="O44" s="44"/>
      <c r="P44" s="44"/>
      <c r="Q44" s="316"/>
      <c r="R44" s="44"/>
      <c r="S44" s="44"/>
      <c r="T44" s="44"/>
      <c r="U44" s="44"/>
      <c r="V44" s="44"/>
      <c r="W44" s="44"/>
      <c r="X44" s="44"/>
      <c r="Y44" s="306"/>
      <c r="Z44" s="828"/>
      <c r="AA44" s="828"/>
      <c r="AB44" s="828"/>
      <c r="AC44" s="828"/>
      <c r="AD44" s="828"/>
      <c r="AE44" s="828"/>
      <c r="AF44" s="828"/>
      <c r="AG44" s="828"/>
      <c r="AH44" s="828"/>
      <c r="AI44" s="828"/>
      <c r="AJ44" s="828"/>
      <c r="AK44" s="828"/>
      <c r="AL44" s="828"/>
      <c r="AM44" s="828"/>
      <c r="AN44" s="828"/>
      <c r="AO44" s="828"/>
    </row>
    <row r="45" spans="1:41" ht="33.6" customHeight="1">
      <c r="A45" s="44"/>
      <c r="B45" s="850" t="s">
        <v>295</v>
      </c>
      <c r="C45" s="248" t="s">
        <v>296</v>
      </c>
      <c r="D45" s="249" t="s">
        <v>297</v>
      </c>
      <c r="E45" s="250"/>
      <c r="F45" s="251"/>
      <c r="G45" s="252"/>
      <c r="H45" s="253" t="s">
        <v>285</v>
      </c>
      <c r="I45" s="253" t="s">
        <v>514</v>
      </c>
      <c r="J45" s="254" t="s">
        <v>298</v>
      </c>
      <c r="K45" s="255" t="s">
        <v>299</v>
      </c>
      <c r="L45" s="255" t="s">
        <v>300</v>
      </c>
      <c r="M45" s="208"/>
      <c r="N45" s="328" t="str">
        <f>IF(N58&lt;&gt;"",N58,IF(AE14=1,"",SUM(N13:N43)))</f>
        <v/>
      </c>
      <c r="O45" s="329" t="str">
        <f>IF(O58&lt;&gt;"",O58,IF(AE14=1,"",SUM(O13:O43)))</f>
        <v/>
      </c>
      <c r="P45" s="330" t="str">
        <f>IF(P58&lt;&gt;"",P58,IF(AE14=1,"",SUM(P13:P43)))</f>
        <v/>
      </c>
      <c r="Q45" s="690">
        <f>IF(Q58&lt;&gt;"",Q58,計算シート!M47)</f>
        <v>6.333333333333333</v>
      </c>
      <c r="R45" s="691">
        <f>IF(R58&lt;&gt;"",R58,計算シート!N47)</f>
        <v>0</v>
      </c>
      <c r="S45" s="692">
        <f>IF(S58&lt;&gt;"",S58,計算シート!O47)</f>
        <v>0</v>
      </c>
      <c r="T45" s="692">
        <f>IF(T58&lt;&gt;"",T58,計算シート!P47)</f>
        <v>0</v>
      </c>
      <c r="U45" s="693">
        <f>IF(U58&lt;&gt;"",U58,IF(計算シート!CU53&lt;&gt;"0:00",計算シート!CU53,""))</f>
        <v>0</v>
      </c>
      <c r="V45" s="362" t="s">
        <v>301</v>
      </c>
      <c r="W45" s="695">
        <f>IF(W58&lt;&gt;"",W58,計算シート!Q47)</f>
        <v>6.333333333333333</v>
      </c>
      <c r="X45" s="44"/>
      <c r="Y45" s="306"/>
      <c r="Z45" s="828"/>
      <c r="AA45" s="828"/>
      <c r="AB45" s="828"/>
      <c r="AC45" s="828"/>
      <c r="AD45" s="828"/>
      <c r="AE45" s="828"/>
      <c r="AF45" s="828"/>
      <c r="AG45" s="828"/>
      <c r="AH45" s="828"/>
      <c r="AI45" s="828"/>
      <c r="AJ45" s="828"/>
      <c r="AK45" s="828"/>
      <c r="AL45" s="828"/>
      <c r="AM45" s="828"/>
      <c r="AN45" s="828"/>
      <c r="AO45" s="828"/>
    </row>
    <row r="46" spans="1:41" ht="31.5" customHeight="1">
      <c r="A46" s="44"/>
      <c r="B46" s="851"/>
      <c r="C46" s="256" t="s">
        <v>302</v>
      </c>
      <c r="D46" s="257" t="s">
        <v>287</v>
      </c>
      <c r="E46" s="257" t="s">
        <v>287</v>
      </c>
      <c r="F46" s="257" t="s">
        <v>287</v>
      </c>
      <c r="G46" s="257" t="s">
        <v>287</v>
      </c>
      <c r="H46" s="258" t="s">
        <v>303</v>
      </c>
      <c r="I46" s="256" t="s">
        <v>303</v>
      </c>
      <c r="J46" s="256" t="s">
        <v>304</v>
      </c>
      <c r="K46" s="256" t="s">
        <v>304</v>
      </c>
      <c r="L46" s="258" t="s">
        <v>305</v>
      </c>
      <c r="M46" s="317"/>
      <c r="N46" s="259" t="s">
        <v>389</v>
      </c>
      <c r="O46" s="259" t="s">
        <v>389</v>
      </c>
      <c r="P46" s="259" t="s">
        <v>389</v>
      </c>
      <c r="Q46" s="260" t="s">
        <v>307</v>
      </c>
      <c r="R46" s="855">
        <f>IF(R59&lt;&gt;"", R59,計算シート!DB48)</f>
        <v>0</v>
      </c>
      <c r="S46" s="856"/>
      <c r="T46" s="839" t="s">
        <v>526</v>
      </c>
      <c r="U46" s="840"/>
      <c r="V46" s="833" t="s">
        <v>527</v>
      </c>
      <c r="W46" s="834"/>
      <c r="X46" s="44"/>
      <c r="Y46" s="306"/>
      <c r="Z46" s="524"/>
      <c r="AA46" s="524"/>
      <c r="AB46" s="7"/>
      <c r="AC46" s="7"/>
      <c r="AD46" s="7"/>
      <c r="AE46" s="7"/>
      <c r="AF46" s="7"/>
      <c r="AG46" s="7"/>
      <c r="AH46" s="7"/>
      <c r="AI46" s="7"/>
      <c r="AJ46" s="7"/>
      <c r="AK46" s="7"/>
      <c r="AL46" s="7"/>
      <c r="AM46" s="7"/>
      <c r="AN46" s="7"/>
      <c r="AO46" s="7"/>
    </row>
    <row r="47" spans="1:41" ht="34.5" customHeight="1">
      <c r="A47" s="44"/>
      <c r="B47" s="852"/>
      <c r="C47" s="261">
        <f>IF(C60&lt;&gt;"",C60, 計算シート!AC48)</f>
        <v>19</v>
      </c>
      <c r="D47" s="262">
        <f>IF(D60&lt;&gt;"",D60,計算シート!AD48)</f>
        <v>0</v>
      </c>
      <c r="E47" s="325" t="str">
        <f>IF(E60&lt;&gt;"",E60,IF(AE14=1,"",計算シート!CI48))</f>
        <v/>
      </c>
      <c r="F47" s="325" t="str">
        <f>IF(F60&lt;&gt;"",F60,IF(AE14=1,"",計算シート!CJ48))</f>
        <v/>
      </c>
      <c r="G47" s="325" t="str">
        <f>IF(G60&lt;&gt;"",G60,IF(AE14=1,"",計算シート!CK48))</f>
        <v/>
      </c>
      <c r="H47" s="364" t="str">
        <f>IF(H60&lt;&gt;"",H60,IF(AE14=1,"",計算シート!CW49))</f>
        <v/>
      </c>
      <c r="I47" s="326" t="str">
        <f>IF(I60&lt;&gt;"",I60,IF(AE14=1,"",計算シート!CX49))</f>
        <v/>
      </c>
      <c r="J47" s="327" t="str">
        <f>IF(J60&lt;&gt;"",J60,IF(AE14=1,"",計算シート!CN48))</f>
        <v/>
      </c>
      <c r="K47" s="263">
        <f>IF(K60&lt;&gt;"",K60,計算シート!AF48)</f>
        <v>0</v>
      </c>
      <c r="L47" s="363" t="str">
        <f>IF(L60&lt;&gt;"",L60,計算シート!AH49)</f>
        <v>0:00</v>
      </c>
      <c r="M47" s="365"/>
      <c r="N47" s="366" t="str">
        <f>IF(N60&lt;&gt;"", N60, IF(AE14=1,"",IF(時間外表示=1,"0:00",計算シート!AI50)))</f>
        <v/>
      </c>
      <c r="O47" s="366" t="str">
        <f>IF(O60&lt;&gt;"", O60, IF(AE14=1,"",IF(時間外表示=1,"0:00",計算シート!AK50)))</f>
        <v/>
      </c>
      <c r="P47" s="366" t="str">
        <f>IF(P60&lt;&gt;"", P60, IF(AE14=1,"",IF(深夜時間表示=1,"0:00",計算シート!AL50)))</f>
        <v/>
      </c>
      <c r="Q47" s="264">
        <f>IF(Q60&lt;&gt;"",Q60,計算シート!BW48)</f>
        <v>1</v>
      </c>
      <c r="R47" s="857" t="str">
        <f>IF(R60&lt;&gt;"", R60,計算シート!DB50)</f>
        <v>0:00</v>
      </c>
      <c r="S47" s="858"/>
      <c r="T47" s="837" t="str">
        <f>IF(T60&lt;&gt;"",T60,'C-SUM'!C18)</f>
        <v>352106087</v>
      </c>
      <c r="U47" s="838"/>
      <c r="V47" s="835">
        <f>IF(V60&lt;&gt;"", V60, AJ31)</f>
        <v>0</v>
      </c>
      <c r="W47" s="836"/>
      <c r="X47" s="44"/>
      <c r="Y47" s="306"/>
      <c r="Z47" s="524"/>
      <c r="AA47" s="524"/>
      <c r="AB47" s="7"/>
      <c r="AC47" s="7"/>
      <c r="AD47" s="7"/>
      <c r="AE47" s="7"/>
      <c r="AF47" s="7"/>
      <c r="AG47" s="7"/>
      <c r="AH47" s="7"/>
      <c r="AI47" s="7"/>
      <c r="AJ47" s="7"/>
      <c r="AK47" s="7"/>
      <c r="AL47" s="7"/>
      <c r="AM47" s="7"/>
      <c r="AN47" s="7"/>
      <c r="AO47" s="7"/>
    </row>
    <row r="48" spans="1:41" s="221" customFormat="1" ht="13.5" customHeight="1">
      <c r="A48" s="318"/>
      <c r="B48" s="318"/>
      <c r="C48" s="319"/>
      <c r="D48" s="318"/>
      <c r="E48" s="318"/>
      <c r="F48" s="318"/>
      <c r="G48" s="318"/>
      <c r="H48" s="320"/>
      <c r="I48" s="318"/>
      <c r="J48" s="318"/>
      <c r="K48" s="318"/>
      <c r="L48" s="318"/>
      <c r="M48" s="318"/>
      <c r="N48" s="367"/>
      <c r="O48" s="367" t="str">
        <f>IF(R60="",'C-SUM'!BD20,"")</f>
        <v/>
      </c>
      <c r="P48" s="318"/>
      <c r="Q48" s="367"/>
      <c r="R48" s="367"/>
      <c r="S48" s="318"/>
      <c r="T48" s="318"/>
      <c r="U48" s="318"/>
      <c r="V48" s="318"/>
      <c r="W48" s="318"/>
      <c r="X48" s="318"/>
      <c r="Y48" s="307"/>
      <c r="Z48" s="307"/>
      <c r="AA48" s="307"/>
    </row>
    <row r="49" spans="1:27" ht="18.75" customHeight="1">
      <c r="A49" s="44"/>
      <c r="B49" s="44"/>
      <c r="C49" s="321" t="s">
        <v>308</v>
      </c>
      <c r="D49" s="44"/>
      <c r="E49" s="204"/>
      <c r="F49" s="205"/>
      <c r="G49" s="44"/>
      <c r="H49" s="44"/>
      <c r="I49" s="44"/>
      <c r="J49" s="44"/>
      <c r="K49" s="44"/>
      <c r="L49" s="44"/>
      <c r="M49" s="44"/>
      <c r="N49" s="44"/>
      <c r="O49" s="44"/>
      <c r="P49" s="44"/>
      <c r="Q49" s="44"/>
      <c r="R49" s="44"/>
      <c r="S49" s="44"/>
      <c r="T49" s="44"/>
      <c r="U49" s="44"/>
      <c r="V49" s="44"/>
      <c r="W49" s="44"/>
      <c r="X49" s="44"/>
      <c r="Y49" s="306"/>
      <c r="Z49" s="306"/>
      <c r="AA49" s="306"/>
    </row>
    <row r="50" spans="1:27" ht="18.75" customHeight="1">
      <c r="A50" s="44"/>
      <c r="B50" s="44"/>
      <c r="C50" s="321" t="s">
        <v>458</v>
      </c>
      <c r="D50" s="44"/>
      <c r="E50" s="204"/>
      <c r="F50" s="205"/>
      <c r="G50" s="44"/>
      <c r="H50" s="44"/>
      <c r="I50" s="44"/>
      <c r="J50" s="44"/>
      <c r="K50" s="44"/>
      <c r="L50" s="44"/>
      <c r="M50" s="44"/>
      <c r="N50" s="44"/>
      <c r="O50" s="44"/>
      <c r="P50" s="44"/>
      <c r="Q50" s="44"/>
      <c r="R50" s="44"/>
      <c r="S50" s="44"/>
      <c r="T50" s="44"/>
      <c r="U50" s="44"/>
      <c r="V50" s="44"/>
      <c r="W50" s="44"/>
      <c r="X50" s="44"/>
      <c r="Y50" s="306"/>
      <c r="Z50" s="306"/>
      <c r="AA50" s="306"/>
    </row>
    <row r="51" spans="1:27" ht="18.75" customHeight="1">
      <c r="A51" s="44"/>
      <c r="B51" s="44"/>
      <c r="C51" s="321" t="s">
        <v>309</v>
      </c>
      <c r="D51" s="44"/>
      <c r="E51" s="204"/>
      <c r="F51" s="205"/>
      <c r="G51" s="44"/>
      <c r="H51" s="44"/>
      <c r="I51" s="44"/>
      <c r="J51" s="44"/>
      <c r="K51" s="44"/>
      <c r="L51" s="44"/>
      <c r="M51" s="44"/>
      <c r="N51" s="44"/>
      <c r="O51" s="44"/>
      <c r="P51" s="44"/>
      <c r="Q51" s="44"/>
      <c r="R51" s="44"/>
      <c r="S51" s="44"/>
      <c r="T51" s="44"/>
      <c r="U51" s="44"/>
      <c r="V51" s="44"/>
      <c r="W51" s="44"/>
      <c r="X51" s="44"/>
      <c r="Y51" s="306"/>
      <c r="Z51" s="306"/>
      <c r="AA51" s="306"/>
    </row>
    <row r="52" spans="1:27" ht="18.75" customHeight="1">
      <c r="A52" s="44"/>
      <c r="B52" s="44"/>
      <c r="C52" s="321" t="s">
        <v>533</v>
      </c>
      <c r="D52" s="44"/>
      <c r="E52" s="204"/>
      <c r="F52" s="205"/>
      <c r="G52" s="44"/>
      <c r="H52" s="44"/>
      <c r="I52" s="44"/>
      <c r="J52" s="44"/>
      <c r="K52" s="44"/>
      <c r="L52" s="44"/>
      <c r="M52" s="44"/>
      <c r="N52" s="44"/>
      <c r="O52" s="44"/>
      <c r="P52" s="44"/>
      <c r="Q52" s="44"/>
      <c r="R52" s="44"/>
      <c r="S52" s="44"/>
      <c r="T52" s="44"/>
      <c r="U52" s="44"/>
      <c r="V52" s="44"/>
      <c r="W52" s="44" t="s">
        <v>778</v>
      </c>
      <c r="X52" s="44"/>
      <c r="Y52" s="306"/>
      <c r="Z52" s="306"/>
      <c r="AA52" s="306"/>
    </row>
    <row r="53" spans="1:27">
      <c r="A53" s="44"/>
      <c r="B53" s="44"/>
      <c r="C53" s="305"/>
      <c r="D53" s="44"/>
      <c r="E53" s="204"/>
      <c r="F53" s="205"/>
      <c r="G53" s="44"/>
      <c r="H53" s="44"/>
      <c r="I53" s="44"/>
      <c r="J53" s="44"/>
      <c r="K53" s="44"/>
      <c r="L53" s="44"/>
      <c r="M53" s="44"/>
      <c r="N53" s="44"/>
      <c r="O53" s="44"/>
      <c r="P53" s="44"/>
      <c r="Q53" s="44"/>
      <c r="R53" s="44"/>
      <c r="S53" s="44"/>
      <c r="T53" s="44"/>
      <c r="U53" s="44"/>
      <c r="V53" s="44"/>
      <c r="W53" s="222" t="str">
        <f>AA1</f>
        <v>様式（BP）2019.12　Ver9.40</v>
      </c>
      <c r="X53" s="44"/>
      <c r="Y53" s="306"/>
      <c r="Z53" s="306"/>
      <c r="AA53" s="306"/>
    </row>
    <row r="54" spans="1:27">
      <c r="A54" s="44"/>
      <c r="B54" s="44"/>
      <c r="C54" s="305"/>
      <c r="D54" s="44"/>
      <c r="E54" s="204"/>
      <c r="F54" s="205"/>
      <c r="G54" s="44"/>
      <c r="H54" s="44"/>
      <c r="I54" s="44"/>
      <c r="J54" s="44"/>
      <c r="K54" s="44"/>
      <c r="L54" s="44"/>
      <c r="M54" s="44"/>
      <c r="N54" s="44"/>
      <c r="O54" s="44"/>
      <c r="P54" s="44"/>
      <c r="Q54" s="44"/>
      <c r="R54" s="44"/>
      <c r="S54" s="44"/>
      <c r="T54" s="44"/>
      <c r="U54" s="44"/>
      <c r="V54" s="44"/>
      <c r="W54" s="44"/>
      <c r="X54" s="44"/>
      <c r="Y54" s="306"/>
      <c r="Z54" s="306"/>
    </row>
    <row r="55" spans="1:27">
      <c r="A55" s="44"/>
      <c r="W55" s="222"/>
    </row>
    <row r="56" spans="1:27" ht="37.15" customHeight="1">
      <c r="A56" s="44"/>
      <c r="B56" s="770"/>
      <c r="C56" s="789" t="s">
        <v>358</v>
      </c>
      <c r="D56" s="770"/>
      <c r="E56" s="790"/>
      <c r="F56" s="791"/>
      <c r="G56" s="770"/>
      <c r="H56" s="770"/>
      <c r="I56" s="770"/>
      <c r="J56" s="770"/>
      <c r="K56" s="770"/>
      <c r="L56" s="770"/>
      <c r="M56" s="770"/>
      <c r="N56" s="770"/>
      <c r="O56" s="770"/>
      <c r="P56" s="770"/>
      <c r="Q56" s="770"/>
      <c r="R56" s="770"/>
      <c r="S56" s="770"/>
      <c r="T56" s="770"/>
      <c r="U56" s="770"/>
      <c r="V56" s="770"/>
      <c r="W56" s="770"/>
    </row>
    <row r="57" spans="1:27" ht="10.9" customHeight="1">
      <c r="A57" s="44"/>
      <c r="B57" s="770"/>
      <c r="C57" s="789" t="s">
        <v>357</v>
      </c>
      <c r="D57" s="770"/>
      <c r="E57" s="790"/>
      <c r="F57" s="791"/>
      <c r="G57" s="770"/>
      <c r="H57" s="770"/>
      <c r="I57" s="770"/>
      <c r="J57" s="770"/>
      <c r="K57" s="770"/>
      <c r="L57" s="770"/>
      <c r="M57" s="770"/>
      <c r="N57" s="770"/>
      <c r="O57" s="770"/>
      <c r="P57" s="770"/>
      <c r="Q57" s="770"/>
      <c r="R57" s="770"/>
      <c r="S57" s="770"/>
      <c r="T57" s="770"/>
      <c r="U57" s="770"/>
      <c r="V57" s="770"/>
      <c r="W57" s="770"/>
    </row>
    <row r="58" spans="1:27" ht="33.75" customHeight="1">
      <c r="A58" s="44"/>
      <c r="B58" s="843" t="s">
        <v>295</v>
      </c>
      <c r="C58" s="763" t="s">
        <v>296</v>
      </c>
      <c r="D58" s="764" t="s">
        <v>297</v>
      </c>
      <c r="E58" s="765"/>
      <c r="F58" s="766"/>
      <c r="G58" s="767"/>
      <c r="H58" s="768" t="s">
        <v>285</v>
      </c>
      <c r="I58" s="768" t="s">
        <v>515</v>
      </c>
      <c r="J58" s="769" t="s">
        <v>298</v>
      </c>
      <c r="K58" s="768" t="s">
        <v>299</v>
      </c>
      <c r="L58" s="768" t="s">
        <v>300</v>
      </c>
      <c r="M58" s="770"/>
      <c r="N58" s="771"/>
      <c r="O58" s="771"/>
      <c r="P58" s="772"/>
      <c r="Q58" s="773"/>
      <c r="R58" s="774"/>
      <c r="S58" s="775"/>
      <c r="T58" s="775"/>
      <c r="U58" s="776"/>
      <c r="V58" s="777" t="s">
        <v>301</v>
      </c>
      <c r="W58" s="778"/>
    </row>
    <row r="59" spans="1:27" ht="31.5" customHeight="1">
      <c r="A59" s="44"/>
      <c r="B59" s="844"/>
      <c r="C59" s="779" t="s">
        <v>302</v>
      </c>
      <c r="D59" s="780" t="s">
        <v>287</v>
      </c>
      <c r="E59" s="780" t="s">
        <v>287</v>
      </c>
      <c r="F59" s="780" t="s">
        <v>287</v>
      </c>
      <c r="G59" s="780" t="s">
        <v>287</v>
      </c>
      <c r="H59" s="781" t="s">
        <v>303</v>
      </c>
      <c r="I59" s="779" t="s">
        <v>303</v>
      </c>
      <c r="J59" s="779" t="s">
        <v>304</v>
      </c>
      <c r="K59" s="779" t="s">
        <v>304</v>
      </c>
      <c r="L59" s="781" t="s">
        <v>305</v>
      </c>
      <c r="M59" s="782"/>
      <c r="N59" s="779" t="s">
        <v>306</v>
      </c>
      <c r="O59" s="779" t="s">
        <v>306</v>
      </c>
      <c r="P59" s="779" t="s">
        <v>306</v>
      </c>
      <c r="Q59" s="783" t="s">
        <v>307</v>
      </c>
      <c r="R59" s="859"/>
      <c r="S59" s="860"/>
      <c r="T59" s="831" t="s">
        <v>526</v>
      </c>
      <c r="U59" s="832"/>
      <c r="V59" s="826" t="s">
        <v>528</v>
      </c>
      <c r="W59" s="827"/>
    </row>
    <row r="60" spans="1:27" ht="34.5" customHeight="1">
      <c r="A60" s="44"/>
      <c r="B60" s="845"/>
      <c r="C60" s="784"/>
      <c r="D60" s="785"/>
      <c r="E60" s="786"/>
      <c r="F60" s="786"/>
      <c r="G60" s="786"/>
      <c r="H60" s="786"/>
      <c r="I60" s="786"/>
      <c r="J60" s="786"/>
      <c r="K60" s="784"/>
      <c r="L60" s="784"/>
      <c r="M60" s="787"/>
      <c r="N60" s="784"/>
      <c r="O60" s="784"/>
      <c r="P60" s="784"/>
      <c r="Q60" s="788"/>
      <c r="R60" s="853"/>
      <c r="S60" s="854"/>
      <c r="T60" s="841"/>
      <c r="U60" s="842"/>
      <c r="V60" s="829"/>
      <c r="W60" s="830"/>
    </row>
    <row r="61" spans="1:27">
      <c r="A61" s="44"/>
    </row>
    <row r="62" spans="1:27">
      <c r="A62" s="44"/>
    </row>
    <row r="63" spans="1:27">
      <c r="A63" s="44"/>
    </row>
    <row r="64" spans="1:27">
      <c r="A64" s="44"/>
    </row>
    <row r="65" spans="1:1">
      <c r="A65" s="44"/>
    </row>
    <row r="66" spans="1:1">
      <c r="A66" s="44"/>
    </row>
    <row r="67" spans="1:1">
      <c r="A67" s="44"/>
    </row>
  </sheetData>
  <sheetProtection sheet="1" objects="1" scenarios="1"/>
  <mergeCells count="30">
    <mergeCell ref="B6:C6"/>
    <mergeCell ref="B7:C7"/>
    <mergeCell ref="B8:C8"/>
    <mergeCell ref="W11:W12"/>
    <mergeCell ref="AA16:AA17"/>
    <mergeCell ref="V11:V12"/>
    <mergeCell ref="D6:H6"/>
    <mergeCell ref="D7:H7"/>
    <mergeCell ref="D8:H8"/>
    <mergeCell ref="B58:B60"/>
    <mergeCell ref="B11:C12"/>
    <mergeCell ref="B45:B47"/>
    <mergeCell ref="R60:S60"/>
    <mergeCell ref="R46:S46"/>
    <mergeCell ref="R47:S47"/>
    <mergeCell ref="R59:S59"/>
    <mergeCell ref="F11:K11"/>
    <mergeCell ref="V60:W60"/>
    <mergeCell ref="T59:U59"/>
    <mergeCell ref="V46:W46"/>
    <mergeCell ref="V47:W47"/>
    <mergeCell ref="T47:U47"/>
    <mergeCell ref="T46:U46"/>
    <mergeCell ref="T60:U60"/>
    <mergeCell ref="AA1:AN1"/>
    <mergeCell ref="AA2:AN2"/>
    <mergeCell ref="AA3:AN3"/>
    <mergeCell ref="AA4:AN4"/>
    <mergeCell ref="V59:W59"/>
    <mergeCell ref="Z44:AO45"/>
  </mergeCells>
  <phoneticPr fontId="2"/>
  <conditionalFormatting sqref="T47:U47">
    <cfRule type="expression" dxfId="50" priority="1" stopIfTrue="1">
      <formula>$O$48&lt;&gt;""</formula>
    </cfRule>
  </conditionalFormatting>
  <dataValidations count="4">
    <dataValidation type="custom" allowBlank="1" showInputMessage="1" showErrorMessage="1" sqref="AC22:AC29">
      <formula1>AL22="True"</formula1>
    </dataValidation>
    <dataValidation type="custom" allowBlank="1" showErrorMessage="1" errorTitle="時間外入力" error="HH:MM形式の時間を入力してください。" sqref="AB22:AB29">
      <formula1>AK22="True"</formula1>
    </dataValidation>
    <dataValidation type="custom" allowBlank="1" showErrorMessage="1" errorTitle="遅・早・欠時間入力" error="HH:MM形式の時間を入力してください。" sqref="AD22:AD29">
      <formula1>AM22="True"</formula1>
    </dataValidation>
    <dataValidation type="custom" imeMode="off" allowBlank="1" showErrorMessage="1" errorTitle="作番入力" error="「-」区切りで作番を入力してください。_x000a_（前半4桁、後半5桁）_x000a_例 5111-99990" promptTitle="作番入力" prompt="xxxx-yyyyy形式（xxxxのみも可）で入力してください。" sqref="Q12:U12">
      <formula1>Q12=AE11</formula1>
    </dataValidation>
  </dataValidations>
  <pageMargins left="0.42" right="0.19685039370078741" top="0.96" bottom="0.39370078740157483" header="0.64" footer="0.23622047244094491"/>
  <pageSetup paperSize="9" scale="51" orientation="portrait" r:id="rId1"/>
  <headerFooter alignWithMargins="0"/>
  <drawing r:id="rId2"/>
  <legacyDrawing r:id="rId3"/>
  <controls>
    <mc:AlternateContent xmlns:mc="http://schemas.openxmlformats.org/markup-compatibility/2006">
      <mc:Choice Requires="x14">
        <control shapeId="7579" r:id="rId4" name="CheckBox3">
          <controlPr defaultSize="0" autoLine="0" autoPict="0" r:id="rId5">
            <anchor moveWithCells="1">
              <from>
                <xdr:col>26</xdr:col>
                <xdr:colOff>114300</xdr:colOff>
                <xdr:row>13</xdr:row>
                <xdr:rowOff>400050</xdr:rowOff>
              </from>
              <to>
                <xdr:col>40</xdr:col>
                <xdr:colOff>304800</xdr:colOff>
                <xdr:row>14</xdr:row>
                <xdr:rowOff>266700</xdr:rowOff>
              </to>
            </anchor>
          </controlPr>
        </control>
      </mc:Choice>
      <mc:Fallback>
        <control shapeId="7579" r:id="rId4" name="CheckBox3"/>
      </mc:Fallback>
    </mc:AlternateContent>
    <mc:AlternateContent xmlns:mc="http://schemas.openxmlformats.org/markup-compatibility/2006">
      <mc:Choice Requires="x14">
        <control shapeId="7578" r:id="rId6" name="CheckBox2">
          <controlPr defaultSize="0" autoLine="0" autoPict="0" r:id="rId7">
            <anchor moveWithCells="1">
              <from>
                <xdr:col>26</xdr:col>
                <xdr:colOff>114300</xdr:colOff>
                <xdr:row>13</xdr:row>
                <xdr:rowOff>76200</xdr:rowOff>
              </from>
              <to>
                <xdr:col>40</xdr:col>
                <xdr:colOff>304800</xdr:colOff>
                <xdr:row>13</xdr:row>
                <xdr:rowOff>361950</xdr:rowOff>
              </to>
            </anchor>
          </controlPr>
        </control>
      </mc:Choice>
      <mc:Fallback>
        <control shapeId="7578" r:id="rId6" name="CheckBox2"/>
      </mc:Fallback>
    </mc:AlternateContent>
    <mc:AlternateContent xmlns:mc="http://schemas.openxmlformats.org/markup-compatibility/2006">
      <mc:Choice Requires="x14">
        <control shapeId="7412" r:id="rId8" name="CommandButton4">
          <controlPr defaultSize="0" autoLine="0" r:id="rId9">
            <anchor moveWithCells="1">
              <from>
                <xdr:col>26</xdr:col>
                <xdr:colOff>104775</xdr:colOff>
                <xdr:row>4</xdr:row>
                <xdr:rowOff>95250</xdr:rowOff>
              </from>
              <to>
                <xdr:col>27</xdr:col>
                <xdr:colOff>257175</xdr:colOff>
                <xdr:row>5</xdr:row>
                <xdr:rowOff>104775</xdr:rowOff>
              </to>
            </anchor>
          </controlPr>
        </control>
      </mc:Choice>
      <mc:Fallback>
        <control shapeId="7412" r:id="rId8" name="CommandButton4"/>
      </mc:Fallback>
    </mc:AlternateContent>
    <mc:AlternateContent xmlns:mc="http://schemas.openxmlformats.org/markup-compatibility/2006">
      <mc:Choice Requires="x14">
        <control shapeId="7383" r:id="rId10" name="CommandButton3">
          <controlPr defaultSize="0" autoLine="0" r:id="rId11">
            <anchor moveWithCells="1">
              <from>
                <xdr:col>26</xdr:col>
                <xdr:colOff>104775</xdr:colOff>
                <xdr:row>6</xdr:row>
                <xdr:rowOff>133350</xdr:rowOff>
              </from>
              <to>
                <xdr:col>28</xdr:col>
                <xdr:colOff>209550</xdr:colOff>
                <xdr:row>7</xdr:row>
                <xdr:rowOff>219075</xdr:rowOff>
              </to>
            </anchor>
          </controlPr>
        </control>
      </mc:Choice>
      <mc:Fallback>
        <control shapeId="7383" r:id="rId10" name="CommandButton3"/>
      </mc:Fallback>
    </mc:AlternateContent>
    <mc:AlternateContent xmlns:mc="http://schemas.openxmlformats.org/markup-compatibility/2006">
      <mc:Choice Requires="x14">
        <control shapeId="7318" r:id="rId12" name="CommandButton2">
          <controlPr defaultSize="0" autoFill="0" autoLine="0" r:id="rId13">
            <anchor moveWithCells="1">
              <from>
                <xdr:col>26</xdr:col>
                <xdr:colOff>104775</xdr:colOff>
                <xdr:row>10</xdr:row>
                <xdr:rowOff>247650</xdr:rowOff>
              </from>
              <to>
                <xdr:col>28</xdr:col>
                <xdr:colOff>209550</xdr:colOff>
                <xdr:row>11</xdr:row>
                <xdr:rowOff>200025</xdr:rowOff>
              </to>
            </anchor>
          </controlPr>
        </control>
      </mc:Choice>
      <mc:Fallback>
        <control shapeId="7318" r:id="rId12" name="CommandButton2"/>
      </mc:Fallback>
    </mc:AlternateContent>
    <mc:AlternateContent xmlns:mc="http://schemas.openxmlformats.org/markup-compatibility/2006">
      <mc:Choice Requires="x14">
        <control shapeId="7287" r:id="rId14" name="CheckBox1">
          <controlPr defaultSize="0" autoLine="0" r:id="rId15">
            <anchor moveWithCells="1">
              <from>
                <xdr:col>26</xdr:col>
                <xdr:colOff>114300</xdr:colOff>
                <xdr:row>12</xdr:row>
                <xdr:rowOff>171450</xdr:rowOff>
              </from>
              <to>
                <xdr:col>28</xdr:col>
                <xdr:colOff>9525</xdr:colOff>
                <xdr:row>13</xdr:row>
                <xdr:rowOff>28575</xdr:rowOff>
              </to>
            </anchor>
          </controlPr>
        </control>
      </mc:Choice>
      <mc:Fallback>
        <control shapeId="7287" r:id="rId14" name="CheckBox1"/>
      </mc:Fallback>
    </mc:AlternateContent>
    <mc:AlternateContent xmlns:mc="http://schemas.openxmlformats.org/markup-compatibility/2006">
      <mc:Choice Requires="x14">
        <control shapeId="7247" r:id="rId16" name="CommandButton1">
          <controlPr defaultSize="0" autoLine="0" r:id="rId17">
            <anchor moveWithCells="1">
              <from>
                <xdr:col>26</xdr:col>
                <xdr:colOff>104775</xdr:colOff>
                <xdr:row>8</xdr:row>
                <xdr:rowOff>19050</xdr:rowOff>
              </from>
              <to>
                <xdr:col>28</xdr:col>
                <xdr:colOff>209550</xdr:colOff>
                <xdr:row>9</xdr:row>
                <xdr:rowOff>209550</xdr:rowOff>
              </to>
            </anchor>
          </controlPr>
        </control>
      </mc:Choice>
      <mc:Fallback>
        <control shapeId="7247" r:id="rId1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B1:DB58"/>
  <sheetViews>
    <sheetView zoomScaleNormal="100" workbookViewId="0">
      <selection activeCell="C13" sqref="C13"/>
    </sheetView>
  </sheetViews>
  <sheetFormatPr defaultColWidth="9" defaultRowHeight="13.5"/>
  <cols>
    <col min="1" max="1" width="7.625" style="2" customWidth="1"/>
    <col min="2" max="2" width="3.625" style="2" customWidth="1"/>
    <col min="3" max="4" width="5.625" style="2" customWidth="1"/>
    <col min="5" max="9" width="4.625" style="2" customWidth="1"/>
    <col min="10" max="10" width="4.375" style="2" customWidth="1"/>
    <col min="11" max="12" width="6.625" style="2" customWidth="1"/>
    <col min="13" max="16" width="7.125" style="2" customWidth="1"/>
    <col min="17" max="18" width="5.125" style="2" customWidth="1"/>
    <col min="19" max="19" width="9" style="2"/>
    <col min="20" max="20" width="10.5" style="7" bestFit="1" customWidth="1"/>
    <col min="21" max="21" width="16.625" style="2" customWidth="1"/>
    <col min="22" max="22" width="9" style="2"/>
    <col min="23" max="23" width="10.375" style="2" customWidth="1"/>
    <col min="24" max="24" width="9" style="2"/>
    <col min="25" max="28" width="9" style="66"/>
    <col min="29" max="29" width="14.5" style="66" customWidth="1"/>
    <col min="30" max="30" width="12.25" style="66" customWidth="1"/>
    <col min="31" max="31" width="12.375" style="66" customWidth="1"/>
    <col min="32" max="32" width="15.875" style="66" customWidth="1"/>
    <col min="33" max="33" width="12.625" style="66" customWidth="1"/>
    <col min="34" max="34" width="13.625" style="66" customWidth="1"/>
    <col min="35" max="81" width="9" style="66"/>
    <col min="82" max="82" width="12.125" style="2" customWidth="1"/>
    <col min="83" max="83" width="13.875" style="2" customWidth="1"/>
    <col min="84" max="84" width="29.75" style="2" customWidth="1"/>
    <col min="85" max="85" width="12" style="2" customWidth="1"/>
    <col min="86" max="86" width="15.875" style="2" customWidth="1"/>
    <col min="87" max="87" width="19" style="2" customWidth="1"/>
    <col min="88" max="88" width="19.5" style="2" customWidth="1"/>
    <col min="89" max="89" width="16.625" style="2" customWidth="1"/>
    <col min="90" max="90" width="15.25" style="2" customWidth="1"/>
    <col min="91" max="91" width="14.625" style="2" customWidth="1"/>
    <col min="92" max="92" width="15.25" style="2" customWidth="1"/>
    <col min="93" max="94" width="9" style="2"/>
    <col min="95" max="98" width="9" style="66"/>
    <col min="99" max="100" width="15.375" style="66" customWidth="1"/>
    <col min="101" max="101" width="15.25" style="2" customWidth="1"/>
    <col min="102" max="103" width="14.625" style="2" customWidth="1"/>
    <col min="104" max="105" width="9" style="66"/>
    <col min="106" max="106" width="14.625" style="2" customWidth="1"/>
    <col min="107" max="16384" width="9" style="2"/>
  </cols>
  <sheetData>
    <row r="1" spans="2:106" ht="15.75" customHeight="1">
      <c r="U1" s="60" t="s">
        <v>135</v>
      </c>
      <c r="V1" s="60" t="s">
        <v>136</v>
      </c>
      <c r="W1" s="60" t="s">
        <v>137</v>
      </c>
    </row>
    <row r="2" spans="2:106" ht="31.5" customHeight="1" thickBot="1">
      <c r="M2" s="3"/>
      <c r="T2" s="535">
        <v>44197</v>
      </c>
      <c r="U2" s="62" t="s">
        <v>138</v>
      </c>
      <c r="V2" s="60">
        <v>45</v>
      </c>
      <c r="W2" s="60" t="str">
        <f>TEXT(V2,"00")</f>
        <v>45</v>
      </c>
    </row>
    <row r="3" spans="2:106" ht="14.25" customHeight="1">
      <c r="B3" s="919" t="s">
        <v>7</v>
      </c>
      <c r="C3" s="920"/>
      <c r="D3" s="933" t="str">
        <f>IF(入力シート!D6&lt;&gt;"",入力シート!D6,"")</f>
        <v>フォレストソフト株式会社</v>
      </c>
      <c r="E3" s="933"/>
      <c r="F3" s="934"/>
      <c r="U3" s="62" t="s">
        <v>139</v>
      </c>
      <c r="V3" s="60">
        <v>8</v>
      </c>
      <c r="W3" s="60" t="str">
        <f>TEXT(V3,"0")</f>
        <v>8</v>
      </c>
    </row>
    <row r="4" spans="2:106" ht="12.75" customHeight="1" thickBot="1">
      <c r="B4" s="922" t="s">
        <v>8</v>
      </c>
      <c r="C4" s="890"/>
      <c r="D4" s="931">
        <f>IF(入力シート!D7&lt;&gt;"",入力シート!D7,"")</f>
        <v>83500059</v>
      </c>
      <c r="E4" s="931"/>
      <c r="F4" s="902"/>
      <c r="K4" s="4"/>
      <c r="U4" s="60" t="s">
        <v>154</v>
      </c>
      <c r="V4" s="60" t="s">
        <v>156</v>
      </c>
      <c r="W4" s="60" t="s">
        <v>155</v>
      </c>
      <c r="X4" s="60" t="str">
        <f>CONCATENATE(V4,W4)</f>
        <v>（▲30）</v>
      </c>
    </row>
    <row r="5" spans="2:106" ht="21" customHeight="1" thickBot="1">
      <c r="B5" s="937" t="s">
        <v>40</v>
      </c>
      <c r="C5" s="938"/>
      <c r="D5" s="935" t="str">
        <f>IF(入力シート!D8&lt;&gt;"",入力シート!D8,"")</f>
        <v>李 学強</v>
      </c>
      <c r="E5" s="935"/>
      <c r="F5" s="936"/>
      <c r="H5" s="956">
        <f>T2</f>
        <v>44197</v>
      </c>
      <c r="I5" s="956"/>
      <c r="J5" s="956"/>
      <c r="K5" s="956"/>
      <c r="L5" s="956"/>
      <c r="M5" s="956"/>
      <c r="T5" s="334" t="str">
        <f>入力シート!N8&amp;IF(入力シート!P8&lt;10,"0","")&amp;入力シート!P8</f>
        <v>202101</v>
      </c>
      <c r="U5" s="60" t="s">
        <v>201</v>
      </c>
      <c r="V5" s="61"/>
      <c r="W5" s="60" t="e">
        <f>TIMEVALUE(V5)</f>
        <v>#VALUE!</v>
      </c>
      <c r="X5" s="60" t="b">
        <f>ISERROR(W5)</f>
        <v>1</v>
      </c>
      <c r="Y5" s="71" t="s">
        <v>141</v>
      </c>
      <c r="Z5" s="71"/>
      <c r="AA5" s="71"/>
      <c r="AB5" s="71"/>
      <c r="AC5" s="908" t="s">
        <v>142</v>
      </c>
      <c r="AD5" s="908" t="s">
        <v>143</v>
      </c>
      <c r="AE5" s="908" t="s">
        <v>144</v>
      </c>
      <c r="AF5" s="908" t="s">
        <v>145</v>
      </c>
      <c r="AG5" s="908" t="s">
        <v>146</v>
      </c>
      <c r="AH5" s="966" t="s">
        <v>147</v>
      </c>
      <c r="AI5" s="894" t="s">
        <v>157</v>
      </c>
      <c r="AJ5" s="894" t="s">
        <v>158</v>
      </c>
      <c r="AK5" s="894" t="s">
        <v>159</v>
      </c>
      <c r="AL5" s="894" t="s">
        <v>160</v>
      </c>
      <c r="AM5" s="894" t="s">
        <v>161</v>
      </c>
      <c r="AN5" s="894" t="s">
        <v>162</v>
      </c>
      <c r="AO5" s="894" t="s">
        <v>163</v>
      </c>
      <c r="AP5" s="894" t="s">
        <v>11</v>
      </c>
      <c r="AQ5" s="883" t="s">
        <v>164</v>
      </c>
      <c r="AR5" s="883" t="s">
        <v>165</v>
      </c>
      <c r="AS5" s="883" t="s">
        <v>166</v>
      </c>
      <c r="AT5" s="883" t="s">
        <v>167</v>
      </c>
      <c r="AU5" s="894" t="s">
        <v>168</v>
      </c>
      <c r="AV5" s="894" t="s">
        <v>169</v>
      </c>
      <c r="AW5" s="894" t="s">
        <v>170</v>
      </c>
      <c r="AX5" s="894" t="s">
        <v>171</v>
      </c>
      <c r="AY5" s="894" t="s">
        <v>172</v>
      </c>
      <c r="AZ5" s="894" t="s">
        <v>173</v>
      </c>
      <c r="BA5" s="894" t="s">
        <v>174</v>
      </c>
      <c r="BB5" s="894" t="s">
        <v>175</v>
      </c>
      <c r="BC5" s="894" t="s">
        <v>176</v>
      </c>
      <c r="BD5" s="894" t="s">
        <v>177</v>
      </c>
      <c r="BE5" s="894" t="s">
        <v>178</v>
      </c>
      <c r="BF5" s="894" t="s">
        <v>179</v>
      </c>
      <c r="BG5" s="894" t="s">
        <v>180</v>
      </c>
      <c r="BH5" s="894" t="s">
        <v>181</v>
      </c>
      <c r="BI5" s="894" t="s">
        <v>182</v>
      </c>
      <c r="BJ5" s="894" t="s">
        <v>183</v>
      </c>
      <c r="BK5" s="894" t="s">
        <v>184</v>
      </c>
      <c r="BL5" s="894" t="s">
        <v>185</v>
      </c>
      <c r="BM5" s="894" t="s">
        <v>186</v>
      </c>
      <c r="BN5" s="894" t="s">
        <v>187</v>
      </c>
      <c r="BO5" s="894" t="s">
        <v>188</v>
      </c>
      <c r="BP5" s="894" t="s">
        <v>189</v>
      </c>
      <c r="BQ5" s="894" t="s">
        <v>190</v>
      </c>
      <c r="BR5" s="894" t="s">
        <v>191</v>
      </c>
      <c r="BS5" s="894" t="s">
        <v>192</v>
      </c>
      <c r="BT5" s="894" t="s">
        <v>193</v>
      </c>
      <c r="BU5" s="894" t="s">
        <v>194</v>
      </c>
      <c r="BV5" s="942" t="s">
        <v>195</v>
      </c>
      <c r="BW5" s="939" t="s">
        <v>196</v>
      </c>
      <c r="BX5" s="894" t="s">
        <v>197</v>
      </c>
      <c r="BY5" s="894" t="s">
        <v>198</v>
      </c>
      <c r="BZ5" s="894" t="s">
        <v>199</v>
      </c>
      <c r="CA5" s="894" t="s">
        <v>200</v>
      </c>
      <c r="CB5" s="894" t="s">
        <v>203</v>
      </c>
      <c r="CC5" s="894" t="s">
        <v>204</v>
      </c>
      <c r="CD5" s="891" t="s">
        <v>263</v>
      </c>
      <c r="CE5" s="891" t="s">
        <v>264</v>
      </c>
      <c r="CF5" s="904" t="s">
        <v>265</v>
      </c>
      <c r="CG5" s="891" t="s">
        <v>228</v>
      </c>
      <c r="CH5" s="890" t="s">
        <v>267</v>
      </c>
      <c r="CI5" s="890" t="s">
        <v>310</v>
      </c>
      <c r="CJ5" s="890" t="s">
        <v>311</v>
      </c>
      <c r="CK5" s="891" t="s">
        <v>312</v>
      </c>
      <c r="CL5" s="880" t="s">
        <v>313</v>
      </c>
      <c r="CM5" s="880" t="s">
        <v>314</v>
      </c>
      <c r="CN5" s="889" t="s">
        <v>315</v>
      </c>
      <c r="CO5" s="889" t="s">
        <v>381</v>
      </c>
      <c r="CP5" s="883" t="s">
        <v>442</v>
      </c>
      <c r="CQ5" s="894" t="s">
        <v>378</v>
      </c>
      <c r="CR5" s="894" t="s">
        <v>379</v>
      </c>
      <c r="CS5" s="883" t="s">
        <v>380</v>
      </c>
      <c r="CT5" s="883" t="s">
        <v>382</v>
      </c>
      <c r="CU5" s="883" t="s">
        <v>383</v>
      </c>
      <c r="CV5" s="886" t="s">
        <v>390</v>
      </c>
      <c r="CW5" s="880" t="s">
        <v>399</v>
      </c>
      <c r="CX5" s="880" t="s">
        <v>400</v>
      </c>
      <c r="CY5" s="880" t="s">
        <v>412</v>
      </c>
      <c r="CZ5" s="883" t="s">
        <v>523</v>
      </c>
      <c r="DA5" s="883" t="s">
        <v>524</v>
      </c>
      <c r="DB5" s="880" t="s">
        <v>525</v>
      </c>
    </row>
    <row r="6" spans="2:106" ht="5.25" customHeight="1" thickBot="1">
      <c r="D6" s="54"/>
      <c r="M6" s="30"/>
      <c r="N6" s="30"/>
      <c r="O6" s="30"/>
      <c r="P6" s="30"/>
      <c r="U6" s="60"/>
      <c r="V6" s="60"/>
      <c r="W6" s="60"/>
      <c r="Y6" s="907"/>
      <c r="Z6" s="907"/>
      <c r="AA6" s="907"/>
      <c r="AB6" s="907"/>
      <c r="AC6" s="909"/>
      <c r="AD6" s="964"/>
      <c r="AE6" s="964"/>
      <c r="AF6" s="964"/>
      <c r="AG6" s="964"/>
      <c r="AH6" s="967"/>
      <c r="AI6" s="895"/>
      <c r="AJ6" s="895"/>
      <c r="AK6" s="895"/>
      <c r="AL6" s="895"/>
      <c r="AM6" s="895"/>
      <c r="AN6" s="895"/>
      <c r="AO6" s="895"/>
      <c r="AP6" s="895"/>
      <c r="AQ6" s="884"/>
      <c r="AR6" s="884"/>
      <c r="AS6" s="884"/>
      <c r="AT6" s="884"/>
      <c r="AU6" s="895"/>
      <c r="AV6" s="895"/>
      <c r="AW6" s="895"/>
      <c r="AX6" s="895"/>
      <c r="AY6" s="895"/>
      <c r="AZ6" s="895"/>
      <c r="BA6" s="895"/>
      <c r="BB6" s="895"/>
      <c r="BC6" s="895"/>
      <c r="BD6" s="895"/>
      <c r="BE6" s="895"/>
      <c r="BF6" s="895"/>
      <c r="BG6" s="895"/>
      <c r="BH6" s="895"/>
      <c r="BI6" s="895"/>
      <c r="BJ6" s="895"/>
      <c r="BK6" s="895"/>
      <c r="BL6" s="895"/>
      <c r="BM6" s="895"/>
      <c r="BN6" s="895"/>
      <c r="BO6" s="895"/>
      <c r="BP6" s="895"/>
      <c r="BQ6" s="895"/>
      <c r="BR6" s="895"/>
      <c r="BS6" s="895"/>
      <c r="BT6" s="895"/>
      <c r="BU6" s="895"/>
      <c r="BV6" s="943"/>
      <c r="BW6" s="940"/>
      <c r="BX6" s="895"/>
      <c r="BY6" s="895"/>
      <c r="BZ6" s="895"/>
      <c r="CA6" s="895"/>
      <c r="CB6" s="895"/>
      <c r="CC6" s="895"/>
      <c r="CD6" s="892"/>
      <c r="CE6" s="892"/>
      <c r="CF6" s="905"/>
      <c r="CG6" s="892"/>
      <c r="CH6" s="890"/>
      <c r="CI6" s="890"/>
      <c r="CJ6" s="890"/>
      <c r="CK6" s="892"/>
      <c r="CL6" s="881"/>
      <c r="CM6" s="881"/>
      <c r="CN6" s="890"/>
      <c r="CO6" s="890"/>
      <c r="CP6" s="884"/>
      <c r="CQ6" s="895"/>
      <c r="CR6" s="895"/>
      <c r="CS6" s="884"/>
      <c r="CT6" s="884"/>
      <c r="CU6" s="884"/>
      <c r="CV6" s="887"/>
      <c r="CW6" s="881"/>
      <c r="CX6" s="881"/>
      <c r="CY6" s="881"/>
      <c r="CZ6" s="884"/>
      <c r="DA6" s="884"/>
      <c r="DB6" s="881"/>
    </row>
    <row r="7" spans="2:106" ht="6" customHeight="1">
      <c r="B7" s="962" t="s">
        <v>6</v>
      </c>
      <c r="C7" s="917" t="s">
        <v>14</v>
      </c>
      <c r="D7" s="918"/>
      <c r="E7" s="924" t="s">
        <v>39</v>
      </c>
      <c r="F7" s="947" t="s">
        <v>11</v>
      </c>
      <c r="G7" s="948"/>
      <c r="H7" s="948"/>
      <c r="I7" s="948"/>
      <c r="J7" s="949"/>
      <c r="K7" s="920" t="s">
        <v>12</v>
      </c>
      <c r="L7" s="945"/>
      <c r="M7" s="919" t="s">
        <v>272</v>
      </c>
      <c r="N7" s="920"/>
      <c r="O7" s="920"/>
      <c r="P7" s="921"/>
      <c r="Q7" s="957" t="s">
        <v>15</v>
      </c>
      <c r="R7" s="960" t="s">
        <v>18</v>
      </c>
      <c r="U7" s="60"/>
      <c r="V7" s="60"/>
      <c r="W7" s="60"/>
      <c r="Y7" s="907"/>
      <c r="Z7" s="907"/>
      <c r="AA7" s="907"/>
      <c r="AB7" s="907"/>
      <c r="AC7" s="909"/>
      <c r="AD7" s="964"/>
      <c r="AE7" s="964"/>
      <c r="AF7" s="964"/>
      <c r="AG7" s="964"/>
      <c r="AH7" s="967"/>
      <c r="AI7" s="895"/>
      <c r="AJ7" s="895"/>
      <c r="AK7" s="895"/>
      <c r="AL7" s="895"/>
      <c r="AM7" s="895"/>
      <c r="AN7" s="895"/>
      <c r="AO7" s="895"/>
      <c r="AP7" s="895"/>
      <c r="AQ7" s="884"/>
      <c r="AR7" s="884"/>
      <c r="AS7" s="884"/>
      <c r="AT7" s="884"/>
      <c r="AU7" s="895"/>
      <c r="AV7" s="895"/>
      <c r="AW7" s="895"/>
      <c r="AX7" s="895"/>
      <c r="AY7" s="895"/>
      <c r="AZ7" s="895"/>
      <c r="BA7" s="895"/>
      <c r="BB7" s="895"/>
      <c r="BC7" s="895"/>
      <c r="BD7" s="895"/>
      <c r="BE7" s="895"/>
      <c r="BF7" s="895"/>
      <c r="BG7" s="895"/>
      <c r="BH7" s="895"/>
      <c r="BI7" s="895"/>
      <c r="BJ7" s="895"/>
      <c r="BK7" s="895"/>
      <c r="BL7" s="895"/>
      <c r="BM7" s="895"/>
      <c r="BN7" s="895"/>
      <c r="BO7" s="895"/>
      <c r="BP7" s="895"/>
      <c r="BQ7" s="895"/>
      <c r="BR7" s="895"/>
      <c r="BS7" s="895"/>
      <c r="BT7" s="895"/>
      <c r="BU7" s="895"/>
      <c r="BV7" s="943"/>
      <c r="BW7" s="940"/>
      <c r="BX7" s="895"/>
      <c r="BY7" s="895"/>
      <c r="BZ7" s="895"/>
      <c r="CA7" s="895"/>
      <c r="CB7" s="895"/>
      <c r="CC7" s="895"/>
      <c r="CD7" s="892"/>
      <c r="CE7" s="892"/>
      <c r="CF7" s="905"/>
      <c r="CG7" s="892"/>
      <c r="CH7" s="890"/>
      <c r="CI7" s="890"/>
      <c r="CJ7" s="890"/>
      <c r="CK7" s="892"/>
      <c r="CL7" s="881"/>
      <c r="CM7" s="881"/>
      <c r="CN7" s="890"/>
      <c r="CO7" s="890"/>
      <c r="CP7" s="884"/>
      <c r="CQ7" s="895"/>
      <c r="CR7" s="895"/>
      <c r="CS7" s="884"/>
      <c r="CT7" s="884"/>
      <c r="CU7" s="884"/>
      <c r="CV7" s="887"/>
      <c r="CW7" s="881"/>
      <c r="CX7" s="881"/>
      <c r="CY7" s="881"/>
      <c r="CZ7" s="884"/>
      <c r="DA7" s="884"/>
      <c r="DB7" s="881"/>
    </row>
    <row r="8" spans="2:106" ht="6" customHeight="1">
      <c r="B8" s="963"/>
      <c r="C8" s="913"/>
      <c r="D8" s="915"/>
      <c r="E8" s="925"/>
      <c r="F8" s="950"/>
      <c r="G8" s="951"/>
      <c r="H8" s="951"/>
      <c r="I8" s="951"/>
      <c r="J8" s="952"/>
      <c r="K8" s="890"/>
      <c r="L8" s="946"/>
      <c r="M8" s="922"/>
      <c r="N8" s="890"/>
      <c r="O8" s="890"/>
      <c r="P8" s="923"/>
      <c r="Q8" s="930"/>
      <c r="R8" s="961"/>
      <c r="U8" s="60"/>
      <c r="V8" s="60"/>
      <c r="W8" s="60"/>
      <c r="Y8" s="907"/>
      <c r="Z8" s="907"/>
      <c r="AA8" s="907"/>
      <c r="AB8" s="907"/>
      <c r="AC8" s="909"/>
      <c r="AD8" s="964"/>
      <c r="AE8" s="964"/>
      <c r="AF8" s="964"/>
      <c r="AG8" s="964"/>
      <c r="AH8" s="967"/>
      <c r="AI8" s="895"/>
      <c r="AJ8" s="895"/>
      <c r="AK8" s="895"/>
      <c r="AL8" s="895"/>
      <c r="AM8" s="895"/>
      <c r="AN8" s="895"/>
      <c r="AO8" s="895"/>
      <c r="AP8" s="895"/>
      <c r="AQ8" s="884"/>
      <c r="AR8" s="884"/>
      <c r="AS8" s="884"/>
      <c r="AT8" s="884"/>
      <c r="AU8" s="895"/>
      <c r="AV8" s="895"/>
      <c r="AW8" s="895"/>
      <c r="AX8" s="895"/>
      <c r="AY8" s="895"/>
      <c r="AZ8" s="895"/>
      <c r="BA8" s="895"/>
      <c r="BB8" s="895"/>
      <c r="BC8" s="895"/>
      <c r="BD8" s="895"/>
      <c r="BE8" s="895"/>
      <c r="BF8" s="895"/>
      <c r="BG8" s="895"/>
      <c r="BH8" s="895"/>
      <c r="BI8" s="895"/>
      <c r="BJ8" s="895"/>
      <c r="BK8" s="895"/>
      <c r="BL8" s="895"/>
      <c r="BM8" s="895"/>
      <c r="BN8" s="895"/>
      <c r="BO8" s="895"/>
      <c r="BP8" s="895"/>
      <c r="BQ8" s="895"/>
      <c r="BR8" s="895"/>
      <c r="BS8" s="895"/>
      <c r="BT8" s="895"/>
      <c r="BU8" s="895"/>
      <c r="BV8" s="943"/>
      <c r="BW8" s="940"/>
      <c r="BX8" s="895"/>
      <c r="BY8" s="895"/>
      <c r="BZ8" s="895"/>
      <c r="CA8" s="895"/>
      <c r="CB8" s="895"/>
      <c r="CC8" s="895"/>
      <c r="CD8" s="892"/>
      <c r="CE8" s="892"/>
      <c r="CF8" s="905"/>
      <c r="CG8" s="892"/>
      <c r="CH8" s="890"/>
      <c r="CI8" s="890"/>
      <c r="CJ8" s="890"/>
      <c r="CK8" s="892"/>
      <c r="CL8" s="881"/>
      <c r="CM8" s="881"/>
      <c r="CN8" s="890"/>
      <c r="CO8" s="890"/>
      <c r="CP8" s="884"/>
      <c r="CQ8" s="895"/>
      <c r="CR8" s="895"/>
      <c r="CS8" s="884"/>
      <c r="CT8" s="884"/>
      <c r="CU8" s="884"/>
      <c r="CV8" s="887"/>
      <c r="CW8" s="881"/>
      <c r="CX8" s="881"/>
      <c r="CY8" s="881"/>
      <c r="CZ8" s="884"/>
      <c r="DA8" s="884"/>
      <c r="DB8" s="881"/>
    </row>
    <row r="9" spans="2:106" ht="6" customHeight="1">
      <c r="B9" s="963"/>
      <c r="C9" s="913"/>
      <c r="D9" s="915"/>
      <c r="E9" s="925"/>
      <c r="F9" s="950"/>
      <c r="G9" s="951"/>
      <c r="H9" s="951"/>
      <c r="I9" s="951"/>
      <c r="J9" s="952"/>
      <c r="K9" s="890"/>
      <c r="L9" s="946"/>
      <c r="M9" s="954" t="str">
        <f>getUpperWorkNum(入力シート!Q12)</f>
        <v>3521</v>
      </c>
      <c r="N9" s="931" t="str">
        <f>getUpperWorkNum(入力シート!R12)</f>
        <v/>
      </c>
      <c r="O9" s="900" t="str">
        <f>getUpperWorkNum(入力シート!S12)</f>
        <v/>
      </c>
      <c r="P9" s="902" t="str">
        <f>getUpperWorkNum(入力シート!T12)</f>
        <v/>
      </c>
      <c r="Q9" s="930" t="s">
        <v>16</v>
      </c>
      <c r="R9" s="961" t="s">
        <v>19</v>
      </c>
      <c r="U9" s="60"/>
      <c r="V9" s="60"/>
      <c r="W9" s="60"/>
      <c r="Y9" s="907"/>
      <c r="Z9" s="907"/>
      <c r="AA9" s="907"/>
      <c r="AB9" s="907"/>
      <c r="AC9" s="909"/>
      <c r="AD9" s="964"/>
      <c r="AE9" s="964"/>
      <c r="AF9" s="964"/>
      <c r="AG9" s="964"/>
      <c r="AH9" s="967"/>
      <c r="AI9" s="895"/>
      <c r="AJ9" s="895"/>
      <c r="AK9" s="895"/>
      <c r="AL9" s="895"/>
      <c r="AM9" s="895"/>
      <c r="AN9" s="895"/>
      <c r="AO9" s="895"/>
      <c r="AP9" s="895"/>
      <c r="AQ9" s="884"/>
      <c r="AR9" s="884"/>
      <c r="AS9" s="884"/>
      <c r="AT9" s="884"/>
      <c r="AU9" s="895"/>
      <c r="AV9" s="895"/>
      <c r="AW9" s="895"/>
      <c r="AX9" s="895"/>
      <c r="AY9" s="895"/>
      <c r="AZ9" s="895"/>
      <c r="BA9" s="895"/>
      <c r="BB9" s="895"/>
      <c r="BC9" s="895"/>
      <c r="BD9" s="895"/>
      <c r="BE9" s="895"/>
      <c r="BF9" s="895"/>
      <c r="BG9" s="895"/>
      <c r="BH9" s="895"/>
      <c r="BI9" s="895"/>
      <c r="BJ9" s="895"/>
      <c r="BK9" s="895"/>
      <c r="BL9" s="895"/>
      <c r="BM9" s="895"/>
      <c r="BN9" s="895"/>
      <c r="BO9" s="895"/>
      <c r="BP9" s="895"/>
      <c r="BQ9" s="895"/>
      <c r="BR9" s="895"/>
      <c r="BS9" s="895"/>
      <c r="BT9" s="895"/>
      <c r="BU9" s="895"/>
      <c r="BV9" s="943"/>
      <c r="BW9" s="940"/>
      <c r="BX9" s="895"/>
      <c r="BY9" s="895"/>
      <c r="BZ9" s="895"/>
      <c r="CA9" s="895"/>
      <c r="CB9" s="895"/>
      <c r="CC9" s="895"/>
      <c r="CD9" s="892"/>
      <c r="CE9" s="892"/>
      <c r="CF9" s="905"/>
      <c r="CG9" s="892"/>
      <c r="CH9" s="890"/>
      <c r="CI9" s="890"/>
      <c r="CJ9" s="890"/>
      <c r="CK9" s="892"/>
      <c r="CL9" s="881"/>
      <c r="CM9" s="881"/>
      <c r="CN9" s="890"/>
      <c r="CO9" s="890"/>
      <c r="CP9" s="884"/>
      <c r="CQ9" s="895"/>
      <c r="CR9" s="895"/>
      <c r="CS9" s="884"/>
      <c r="CT9" s="884"/>
      <c r="CU9" s="884"/>
      <c r="CV9" s="887"/>
      <c r="CW9" s="881"/>
      <c r="CX9" s="881"/>
      <c r="CY9" s="881"/>
      <c r="CZ9" s="884"/>
      <c r="DA9" s="884"/>
      <c r="DB9" s="881"/>
    </row>
    <row r="10" spans="2:106" ht="6" customHeight="1">
      <c r="B10" s="963" t="s">
        <v>13</v>
      </c>
      <c r="C10" s="913" t="s">
        <v>9</v>
      </c>
      <c r="D10" s="915" t="s">
        <v>271</v>
      </c>
      <c r="E10" s="925" t="s">
        <v>10</v>
      </c>
      <c r="F10" s="950"/>
      <c r="G10" s="951"/>
      <c r="H10" s="951"/>
      <c r="I10" s="951"/>
      <c r="J10" s="952"/>
      <c r="K10" s="890" t="s">
        <v>54</v>
      </c>
      <c r="L10" s="946" t="s">
        <v>55</v>
      </c>
      <c r="M10" s="955"/>
      <c r="N10" s="932"/>
      <c r="O10" s="901"/>
      <c r="P10" s="903"/>
      <c r="Q10" s="930"/>
      <c r="R10" s="961"/>
      <c r="U10" s="60"/>
      <c r="V10" s="60"/>
      <c r="W10" s="60"/>
      <c r="Y10" s="907"/>
      <c r="Z10" s="907"/>
      <c r="AA10" s="907"/>
      <c r="AB10" s="907"/>
      <c r="AC10" s="909"/>
      <c r="AD10" s="964"/>
      <c r="AE10" s="964"/>
      <c r="AF10" s="964"/>
      <c r="AG10" s="964"/>
      <c r="AH10" s="967"/>
      <c r="AI10" s="895"/>
      <c r="AJ10" s="895"/>
      <c r="AK10" s="895"/>
      <c r="AL10" s="895"/>
      <c r="AM10" s="895"/>
      <c r="AN10" s="895"/>
      <c r="AO10" s="895"/>
      <c r="AP10" s="895"/>
      <c r="AQ10" s="884"/>
      <c r="AR10" s="884"/>
      <c r="AS10" s="884"/>
      <c r="AT10" s="884"/>
      <c r="AU10" s="895"/>
      <c r="AV10" s="895"/>
      <c r="AW10" s="895"/>
      <c r="AX10" s="895"/>
      <c r="AY10" s="895"/>
      <c r="AZ10" s="895"/>
      <c r="BA10" s="895"/>
      <c r="BB10" s="895"/>
      <c r="BC10" s="895"/>
      <c r="BD10" s="895"/>
      <c r="BE10" s="895"/>
      <c r="BF10" s="895"/>
      <c r="BG10" s="895"/>
      <c r="BH10" s="895"/>
      <c r="BI10" s="895"/>
      <c r="BJ10" s="895"/>
      <c r="BK10" s="895"/>
      <c r="BL10" s="895"/>
      <c r="BM10" s="895"/>
      <c r="BN10" s="895"/>
      <c r="BO10" s="895"/>
      <c r="BP10" s="895"/>
      <c r="BQ10" s="895"/>
      <c r="BR10" s="895"/>
      <c r="BS10" s="895"/>
      <c r="BT10" s="895"/>
      <c r="BU10" s="895"/>
      <c r="BV10" s="943"/>
      <c r="BW10" s="940"/>
      <c r="BX10" s="895"/>
      <c r="BY10" s="895"/>
      <c r="BZ10" s="895"/>
      <c r="CA10" s="895"/>
      <c r="CB10" s="895"/>
      <c r="CC10" s="895"/>
      <c r="CD10" s="892"/>
      <c r="CE10" s="892"/>
      <c r="CF10" s="905"/>
      <c r="CG10" s="892"/>
      <c r="CH10" s="890"/>
      <c r="CI10" s="890"/>
      <c r="CJ10" s="890"/>
      <c r="CK10" s="892"/>
      <c r="CL10" s="881"/>
      <c r="CM10" s="881"/>
      <c r="CN10" s="890"/>
      <c r="CO10" s="890"/>
      <c r="CP10" s="884"/>
      <c r="CQ10" s="895"/>
      <c r="CR10" s="895"/>
      <c r="CS10" s="884"/>
      <c r="CT10" s="884"/>
      <c r="CU10" s="884"/>
      <c r="CV10" s="887"/>
      <c r="CW10" s="881"/>
      <c r="CX10" s="881"/>
      <c r="CY10" s="881"/>
      <c r="CZ10" s="884"/>
      <c r="DA10" s="884"/>
      <c r="DB10" s="881"/>
    </row>
    <row r="11" spans="2:106" ht="6" customHeight="1">
      <c r="B11" s="963"/>
      <c r="C11" s="913"/>
      <c r="D11" s="915"/>
      <c r="E11" s="925"/>
      <c r="F11" s="950"/>
      <c r="G11" s="951"/>
      <c r="H11" s="951"/>
      <c r="I11" s="951"/>
      <c r="J11" s="952"/>
      <c r="K11" s="890"/>
      <c r="L11" s="946"/>
      <c r="M11" s="958" t="str">
        <f>getLowerWorkNum(入力シート!Q12)</f>
        <v>05434</v>
      </c>
      <c r="N11" s="926" t="str">
        <f>getLowerWorkNum(入力シート!R12)</f>
        <v/>
      </c>
      <c r="O11" s="926" t="str">
        <f>getLowerWorkNum(入力シート!S12)</f>
        <v/>
      </c>
      <c r="P11" s="928" t="str">
        <f>getLowerWorkNum(入力シート!T12)</f>
        <v/>
      </c>
      <c r="Q11" s="930" t="s">
        <v>17</v>
      </c>
      <c r="R11" s="961" t="s">
        <v>17</v>
      </c>
      <c r="U11" s="60"/>
      <c r="V11" s="60"/>
      <c r="W11" s="60"/>
      <c r="Y11" s="907"/>
      <c r="Z11" s="907"/>
      <c r="AA11" s="907"/>
      <c r="AB11" s="907"/>
      <c r="AC11" s="909"/>
      <c r="AD11" s="964"/>
      <c r="AE11" s="964"/>
      <c r="AF11" s="964"/>
      <c r="AG11" s="964"/>
      <c r="AH11" s="967"/>
      <c r="AI11" s="895"/>
      <c r="AJ11" s="895"/>
      <c r="AK11" s="895"/>
      <c r="AL11" s="895"/>
      <c r="AM11" s="895"/>
      <c r="AN11" s="895"/>
      <c r="AO11" s="895"/>
      <c r="AP11" s="895"/>
      <c r="AQ11" s="884"/>
      <c r="AR11" s="884"/>
      <c r="AS11" s="884"/>
      <c r="AT11" s="884"/>
      <c r="AU11" s="895"/>
      <c r="AV11" s="895"/>
      <c r="AW11" s="895"/>
      <c r="AX11" s="895"/>
      <c r="AY11" s="895"/>
      <c r="AZ11" s="895"/>
      <c r="BA11" s="895"/>
      <c r="BB11" s="895"/>
      <c r="BC11" s="895"/>
      <c r="BD11" s="895"/>
      <c r="BE11" s="895"/>
      <c r="BF11" s="895"/>
      <c r="BG11" s="895"/>
      <c r="BH11" s="895"/>
      <c r="BI11" s="895"/>
      <c r="BJ11" s="895"/>
      <c r="BK11" s="895"/>
      <c r="BL11" s="895"/>
      <c r="BM11" s="895"/>
      <c r="BN11" s="895"/>
      <c r="BO11" s="895"/>
      <c r="BP11" s="895"/>
      <c r="BQ11" s="895"/>
      <c r="BR11" s="895"/>
      <c r="BS11" s="895"/>
      <c r="BT11" s="895"/>
      <c r="BU11" s="895"/>
      <c r="BV11" s="943"/>
      <c r="BW11" s="940"/>
      <c r="BX11" s="895"/>
      <c r="BY11" s="895"/>
      <c r="BZ11" s="895"/>
      <c r="CA11" s="895"/>
      <c r="CB11" s="895"/>
      <c r="CC11" s="895"/>
      <c r="CD11" s="892"/>
      <c r="CE11" s="892"/>
      <c r="CF11" s="905"/>
      <c r="CG11" s="892"/>
      <c r="CH11" s="890"/>
      <c r="CI11" s="890"/>
      <c r="CJ11" s="890"/>
      <c r="CK11" s="892"/>
      <c r="CL11" s="881"/>
      <c r="CM11" s="881"/>
      <c r="CN11" s="890"/>
      <c r="CO11" s="890"/>
      <c r="CP11" s="884"/>
      <c r="CQ11" s="895"/>
      <c r="CR11" s="895"/>
      <c r="CS11" s="884"/>
      <c r="CT11" s="884"/>
      <c r="CU11" s="884"/>
      <c r="CV11" s="887"/>
      <c r="CW11" s="881"/>
      <c r="CX11" s="881"/>
      <c r="CY11" s="881"/>
      <c r="CZ11" s="884"/>
      <c r="DA11" s="884"/>
      <c r="DB11" s="881"/>
    </row>
    <row r="12" spans="2:106" ht="6" customHeight="1" thickBot="1">
      <c r="B12" s="963"/>
      <c r="C12" s="914"/>
      <c r="D12" s="916"/>
      <c r="E12" s="925"/>
      <c r="F12" s="950"/>
      <c r="G12" s="951"/>
      <c r="H12" s="951"/>
      <c r="I12" s="951"/>
      <c r="J12" s="952"/>
      <c r="K12" s="891"/>
      <c r="L12" s="953"/>
      <c r="M12" s="959"/>
      <c r="N12" s="927"/>
      <c r="O12" s="927"/>
      <c r="P12" s="929"/>
      <c r="Q12" s="930"/>
      <c r="R12" s="961"/>
      <c r="U12" s="60"/>
      <c r="V12" s="60"/>
      <c r="W12" s="60"/>
      <c r="Y12" s="907"/>
      <c r="Z12" s="907"/>
      <c r="AA12" s="907"/>
      <c r="AB12" s="907"/>
      <c r="AC12" s="910"/>
      <c r="AD12" s="965"/>
      <c r="AE12" s="965"/>
      <c r="AF12" s="965"/>
      <c r="AG12" s="965"/>
      <c r="AH12" s="968"/>
      <c r="AI12" s="896"/>
      <c r="AJ12" s="896"/>
      <c r="AK12" s="896"/>
      <c r="AL12" s="896"/>
      <c r="AM12" s="896"/>
      <c r="AN12" s="896"/>
      <c r="AO12" s="896"/>
      <c r="AP12" s="896"/>
      <c r="AQ12" s="885"/>
      <c r="AR12" s="885"/>
      <c r="AS12" s="885"/>
      <c r="AT12" s="885"/>
      <c r="AU12" s="896"/>
      <c r="AV12" s="896"/>
      <c r="AW12" s="896"/>
      <c r="AX12" s="896"/>
      <c r="AY12" s="896"/>
      <c r="AZ12" s="896"/>
      <c r="BA12" s="896"/>
      <c r="BB12" s="896"/>
      <c r="BC12" s="896"/>
      <c r="BD12" s="896"/>
      <c r="BE12" s="896"/>
      <c r="BF12" s="896"/>
      <c r="BG12" s="896"/>
      <c r="BH12" s="896"/>
      <c r="BI12" s="896"/>
      <c r="BJ12" s="896"/>
      <c r="BK12" s="896"/>
      <c r="BL12" s="896"/>
      <c r="BM12" s="896"/>
      <c r="BN12" s="896"/>
      <c r="BO12" s="896"/>
      <c r="BP12" s="896"/>
      <c r="BQ12" s="896"/>
      <c r="BR12" s="896"/>
      <c r="BS12" s="896"/>
      <c r="BT12" s="896"/>
      <c r="BU12" s="896"/>
      <c r="BV12" s="944"/>
      <c r="BW12" s="941"/>
      <c r="BX12" s="896"/>
      <c r="BY12" s="896"/>
      <c r="BZ12" s="896"/>
      <c r="CA12" s="896"/>
      <c r="CB12" s="896"/>
      <c r="CC12" s="896"/>
      <c r="CD12" s="893"/>
      <c r="CE12" s="893"/>
      <c r="CF12" s="906"/>
      <c r="CG12" s="893"/>
      <c r="CH12" s="890"/>
      <c r="CI12" s="890"/>
      <c r="CJ12" s="890"/>
      <c r="CK12" s="893"/>
      <c r="CL12" s="882"/>
      <c r="CM12" s="882"/>
      <c r="CN12" s="890"/>
      <c r="CO12" s="890"/>
      <c r="CP12" s="885"/>
      <c r="CQ12" s="896"/>
      <c r="CR12" s="896"/>
      <c r="CS12" s="885"/>
      <c r="CT12" s="885"/>
      <c r="CU12" s="885"/>
      <c r="CV12" s="888"/>
      <c r="CW12" s="882"/>
      <c r="CX12" s="882"/>
      <c r="CY12" s="882"/>
      <c r="CZ12" s="885"/>
      <c r="DA12" s="885"/>
      <c r="DB12" s="882"/>
    </row>
    <row r="13" spans="2:106" ht="18.95" customHeight="1">
      <c r="B13" s="21">
        <v>1</v>
      </c>
      <c r="C13" s="22" t="str">
        <f>IF(AM13&lt;&gt;"",AM13,"")</f>
        <v/>
      </c>
      <c r="D13" s="22" t="str">
        <f>IF(AN13&lt;&gt;"",AN13,"")</f>
        <v/>
      </c>
      <c r="E13" s="90" t="str">
        <f>IF(AO13&lt;&gt;"",AO13,"")</f>
        <v/>
      </c>
      <c r="F13" s="899" t="str">
        <f>IF(AP13&lt;&gt;"",AP13,"")</f>
        <v/>
      </c>
      <c r="G13" s="899"/>
      <c r="H13" s="899"/>
      <c r="I13" s="899"/>
      <c r="J13" s="899"/>
      <c r="K13" s="78" t="str">
        <f>IF(AI13+AK13&gt;0,AI13+AK13,"")</f>
        <v/>
      </c>
      <c r="L13" s="79" t="str">
        <f>IF(AJ13+AL13&gt;0,AJ13+AL13,"")</f>
        <v/>
      </c>
      <c r="M13" s="80" t="str">
        <f>IF(AQ13&lt;&gt;"",VALUE(AQ13),"")</f>
        <v/>
      </c>
      <c r="N13" s="22" t="str">
        <f>IF(AR13&lt;&gt;"",VALUE(AR13),"")</f>
        <v/>
      </c>
      <c r="O13" s="22" t="str">
        <f>IF(AS13&lt;&gt;"",VALUE(AS13),"")</f>
        <v/>
      </c>
      <c r="P13" s="81" t="str">
        <f>IF(AT13&lt;&gt;"",VALUE(AT13),"")</f>
        <v/>
      </c>
      <c r="Q13" s="63"/>
      <c r="R13" s="23"/>
      <c r="S13" s="7"/>
      <c r="T13" s="7">
        <f>IF(MONTH(T2)=12, YEAR(T2) + 1, YEAR(T2))</f>
        <v>2021</v>
      </c>
      <c r="U13" s="61" t="s">
        <v>32</v>
      </c>
      <c r="V13" s="61" t="s">
        <v>32</v>
      </c>
      <c r="W13" s="61" t="s">
        <v>32</v>
      </c>
      <c r="X13" s="42"/>
      <c r="Y13" s="73">
        <f>IF(AQ13&lt;&gt;"",HOUR(AQ13)*60+MINUTE(AQ13),0)</f>
        <v>0</v>
      </c>
      <c r="Z13" s="73">
        <f>IF(AR13&lt;&gt;"",HOUR(AR13)*60+MINUTE(AR13),0)</f>
        <v>0</v>
      </c>
      <c r="AA13" s="73">
        <f>IF(AS13&lt;&gt;"",HOUR(AS13)*60+MINUTE(AS13),0)</f>
        <v>0</v>
      </c>
      <c r="AB13" s="73">
        <f>IF(AT13&lt;&gt;"",HOUR(AT13)*60+MINUTE(AT13),0)</f>
        <v>0</v>
      </c>
      <c r="AC13" s="75">
        <f>CF13</f>
        <v>0</v>
      </c>
      <c r="AD13" s="75">
        <f t="shared" ref="AD13:AD43" si="0">IF(E13="年休",1,IF(E13="半休",0.5,0))</f>
        <v>0</v>
      </c>
      <c r="AE13" s="74">
        <f>IF(E13="特休",1,0)</f>
        <v>0</v>
      </c>
      <c r="AF13" s="74">
        <f>IF(OR(E13="遅刻",E13="早退",E13="欠勤"),1,0)</f>
        <v>0</v>
      </c>
      <c r="AG13" s="75">
        <f>IF(E13="夜勤",1,0)</f>
        <v>0</v>
      </c>
      <c r="AH13" s="243"/>
      <c r="AI13" s="94"/>
      <c r="AJ13" s="94"/>
      <c r="AK13" s="94"/>
      <c r="AL13" s="94"/>
      <c r="AM13" s="95"/>
      <c r="AN13" s="95"/>
      <c r="AO13" s="95"/>
      <c r="AP13" s="95"/>
      <c r="AQ13" s="95"/>
      <c r="AR13" s="95"/>
      <c r="AS13" s="95"/>
      <c r="AT13" s="95"/>
      <c r="AU13" s="95"/>
      <c r="AV13" s="95"/>
      <c r="AW13" s="95"/>
      <c r="AX13" s="95"/>
      <c r="AY13" s="95"/>
      <c r="AZ13" s="95"/>
      <c r="BA13" s="95"/>
      <c r="BB13" s="95"/>
      <c r="BC13" s="95"/>
      <c r="BD13" s="95"/>
      <c r="BE13" s="95"/>
      <c r="BF13" s="95"/>
      <c r="BG13" s="95"/>
      <c r="BH13" s="95"/>
      <c r="BI13" s="95"/>
      <c r="BJ13" s="95"/>
      <c r="BK13" s="95"/>
      <c r="BL13" s="95"/>
      <c r="BM13" s="95"/>
      <c r="BN13" s="95"/>
      <c r="BO13" s="95"/>
      <c r="BP13" s="95"/>
      <c r="BQ13" s="95"/>
      <c r="BR13" s="95"/>
      <c r="BS13" s="95"/>
      <c r="BT13" s="95"/>
      <c r="BU13" s="95"/>
      <c r="BV13" s="94"/>
      <c r="BW13" s="93">
        <f>IF(BV13&gt;0,1,0)</f>
        <v>0</v>
      </c>
      <c r="BX13" s="94"/>
      <c r="BY13" s="94"/>
      <c r="BZ13" s="94"/>
      <c r="CA13" s="94"/>
      <c r="CB13" s="95"/>
      <c r="CC13" s="152"/>
      <c r="CD13" s="60" t="s">
        <v>282</v>
      </c>
      <c r="CE13" s="60">
        <v>121</v>
      </c>
      <c r="CF13" s="153"/>
      <c r="CG13" s="60" t="s">
        <v>814</v>
      </c>
      <c r="CH13" s="162"/>
      <c r="CI13" s="60"/>
      <c r="CJ13" s="60"/>
      <c r="CK13" s="60"/>
      <c r="CL13" s="242"/>
      <c r="CM13" s="242"/>
      <c r="CN13" s="60"/>
      <c r="CP13" s="95"/>
      <c r="CQ13" s="95"/>
      <c r="CR13" s="95"/>
      <c r="CS13" s="95"/>
      <c r="CT13" s="95"/>
      <c r="CU13" s="94">
        <f>IF(CS13&lt;&gt;"",HOUR(CS13)*60+MINUTE(CS13),0)</f>
        <v>0</v>
      </c>
      <c r="CV13" s="94">
        <v>0</v>
      </c>
      <c r="CW13" s="339">
        <f>HHMMtoMin(TEXT(CL13,"hh:mm"))</f>
        <v>0</v>
      </c>
      <c r="CX13" s="339">
        <f>HHMMtoMin(TEXT(CM13,"hh:mm"))</f>
        <v>0</v>
      </c>
      <c r="CY13" s="339">
        <v>0</v>
      </c>
      <c r="CZ13" s="95"/>
      <c r="DA13" s="95"/>
      <c r="DB13" s="339">
        <f>IF(CZ13&lt;&gt;"", VALUE(CZ13), 0)</f>
        <v>0</v>
      </c>
    </row>
    <row r="14" spans="2:106" ht="18.95" customHeight="1">
      <c r="B14" s="24">
        <v>2</v>
      </c>
      <c r="C14" s="25" t="str">
        <f t="shared" ref="C14:C43" si="1">IF(AM14&lt;&gt;"",AM14,"")</f>
        <v/>
      </c>
      <c r="D14" s="25" t="str">
        <f t="shared" ref="D14:D43" si="2">IF(AN14&lt;&gt;"",AN14,"")</f>
        <v/>
      </c>
      <c r="E14" s="91" t="str">
        <f t="shared" ref="E14:E43" si="3">IF(AO14&lt;&gt;"",AO14,"")</f>
        <v/>
      </c>
      <c r="F14" s="897" t="str">
        <f t="shared" ref="F14:F43" si="4">IF(AP14&lt;&gt;"",AP14,"")</f>
        <v/>
      </c>
      <c r="G14" s="897"/>
      <c r="H14" s="897"/>
      <c r="I14" s="897"/>
      <c r="J14" s="897"/>
      <c r="K14" s="82" t="str">
        <f t="shared" ref="K14:K43" si="5">IF(AI14+AK14&gt;0,AI14+AK14,"")</f>
        <v/>
      </c>
      <c r="L14" s="84" t="str">
        <f t="shared" ref="L14:L43" si="6">IF(AJ14+AL14&gt;0,AJ14+AL14,"")</f>
        <v/>
      </c>
      <c r="M14" s="86" t="str">
        <f t="shared" ref="M14:M43" si="7">IF(AQ14&lt;&gt;"",VALUE(AQ14),"")</f>
        <v/>
      </c>
      <c r="N14" s="25" t="str">
        <f t="shared" ref="N14:N43" si="8">IF(AR14&lt;&gt;"",VALUE(AR14),"")</f>
        <v/>
      </c>
      <c r="O14" s="25" t="str">
        <f t="shared" ref="O14:O43" si="9">IF(AS14&lt;&gt;"",VALUE(AS14),"")</f>
        <v/>
      </c>
      <c r="P14" s="87" t="str">
        <f t="shared" ref="P14:P43" si="10">IF(AT14&lt;&gt;"",VALUE(AT14),"")</f>
        <v/>
      </c>
      <c r="Q14" s="64"/>
      <c r="R14" s="26"/>
      <c r="S14" s="7"/>
      <c r="T14" s="7">
        <f>IF(MONTH(T2)=12, 1, MONTH(T2)+1)</f>
        <v>2</v>
      </c>
      <c r="U14" s="60"/>
      <c r="V14" s="60"/>
      <c r="W14" s="60"/>
      <c r="Y14" s="73">
        <f t="shared" ref="Y14:Y43" si="11">IF(AQ14&lt;&gt;"",HOUR(AQ14)*60+MINUTE(AQ14),0)</f>
        <v>0</v>
      </c>
      <c r="Z14" s="73">
        <f t="shared" ref="Z14:Z43" si="12">IF(AR14&lt;&gt;"",HOUR(AR14)*60+MINUTE(AR14),0)</f>
        <v>0</v>
      </c>
      <c r="AA14" s="73">
        <f t="shared" ref="AA14:AA43" si="13">IF(AS14&lt;&gt;"",HOUR(AS14)*60+MINUTE(AS14),0)</f>
        <v>0</v>
      </c>
      <c r="AB14" s="73">
        <f t="shared" ref="AB14:AB43" si="14">IF(AT14&lt;&gt;"",HOUR(AT14)*60+MINUTE(AT14),0)</f>
        <v>0</v>
      </c>
      <c r="AC14" s="75">
        <f t="shared" ref="AC14:AC43" si="15">CF14</f>
        <v>0</v>
      </c>
      <c r="AD14" s="75">
        <f t="shared" si="0"/>
        <v>0</v>
      </c>
      <c r="AE14" s="74">
        <f t="shared" ref="AE14:AE43" si="16">IF(E14="特休",1,0)</f>
        <v>0</v>
      </c>
      <c r="AF14" s="74">
        <f t="shared" ref="AF14:AF43" si="17">IF(OR(E14="遅刻",E14="早退",E14="欠勤"),1,0)</f>
        <v>0</v>
      </c>
      <c r="AG14" s="75">
        <f t="shared" ref="AG14:AG39" si="18">IF(E14="夜勤",1,0)</f>
        <v>0</v>
      </c>
      <c r="AH14" s="243"/>
      <c r="AI14" s="94"/>
      <c r="AJ14" s="94"/>
      <c r="AK14" s="94"/>
      <c r="AL14" s="94"/>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4"/>
      <c r="BW14" s="93">
        <f t="shared" ref="BW14:BW43" si="19">IF(BV14&gt;0,1,0)</f>
        <v>0</v>
      </c>
      <c r="BX14" s="94"/>
      <c r="BY14" s="94"/>
      <c r="BZ14" s="94"/>
      <c r="CA14" s="94"/>
      <c r="CB14" s="95"/>
      <c r="CC14" s="152"/>
      <c r="CD14" s="60" t="s">
        <v>452</v>
      </c>
      <c r="CE14" s="60">
        <v>10</v>
      </c>
      <c r="CF14" s="153"/>
      <c r="CG14" s="60" t="s">
        <v>813</v>
      </c>
      <c r="CH14" s="162"/>
      <c r="CI14" s="60"/>
      <c r="CJ14" s="60"/>
      <c r="CK14" s="60"/>
      <c r="CL14" s="242"/>
      <c r="CM14" s="242"/>
      <c r="CN14" s="60"/>
      <c r="CP14" s="95"/>
      <c r="CQ14" s="95"/>
      <c r="CR14" s="95"/>
      <c r="CS14" s="95"/>
      <c r="CT14" s="95"/>
      <c r="CU14" s="94">
        <f t="shared" ref="CU14:CU43" si="20">IF(CS14&lt;&gt;"",HOUR(CS14)*60+MINUTE(CS14),0)</f>
        <v>0</v>
      </c>
      <c r="CV14" s="94">
        <v>0</v>
      </c>
      <c r="CW14" s="339">
        <f t="shared" ref="CW14:CW43" si="21">HHMMtoMin(TEXT(CL14,"hh:mm"))</f>
        <v>0</v>
      </c>
      <c r="CX14" s="339">
        <f t="shared" ref="CX14:CX43" si="22">HHMMtoMin(TEXT(CM14,"hh:mm"))</f>
        <v>0</v>
      </c>
      <c r="CY14" s="339">
        <v>0</v>
      </c>
      <c r="CZ14" s="95"/>
      <c r="DA14" s="95"/>
      <c r="DB14" s="339">
        <f t="shared" ref="DB14:DB43" si="23">IF(CZ14&lt;&gt;"", VALUE(CZ14), 0)</f>
        <v>0</v>
      </c>
    </row>
    <row r="15" spans="2:106" ht="18.95" customHeight="1">
      <c r="B15" s="24">
        <v>3</v>
      </c>
      <c r="C15" s="25" t="str">
        <f t="shared" si="1"/>
        <v/>
      </c>
      <c r="D15" s="25" t="str">
        <f t="shared" si="2"/>
        <v/>
      </c>
      <c r="E15" s="91" t="str">
        <f t="shared" si="3"/>
        <v/>
      </c>
      <c r="F15" s="897" t="str">
        <f t="shared" si="4"/>
        <v/>
      </c>
      <c r="G15" s="897"/>
      <c r="H15" s="897"/>
      <c r="I15" s="897"/>
      <c r="J15" s="897"/>
      <c r="K15" s="82" t="str">
        <f t="shared" si="5"/>
        <v/>
      </c>
      <c r="L15" s="84" t="str">
        <f t="shared" si="6"/>
        <v/>
      </c>
      <c r="M15" s="86" t="str">
        <f t="shared" si="7"/>
        <v/>
      </c>
      <c r="N15" s="25" t="str">
        <f t="shared" si="8"/>
        <v/>
      </c>
      <c r="O15" s="25" t="str">
        <f t="shared" si="9"/>
        <v/>
      </c>
      <c r="P15" s="87" t="str">
        <f t="shared" si="10"/>
        <v/>
      </c>
      <c r="Q15" s="64"/>
      <c r="R15" s="26"/>
      <c r="S15" s="7"/>
      <c r="T15" s="7">
        <v>1</v>
      </c>
      <c r="U15" s="60"/>
      <c r="V15" s="60"/>
      <c r="W15" s="60"/>
      <c r="Y15" s="73">
        <f t="shared" si="11"/>
        <v>0</v>
      </c>
      <c r="Z15" s="73">
        <f t="shared" si="12"/>
        <v>0</v>
      </c>
      <c r="AA15" s="73">
        <f t="shared" si="13"/>
        <v>0</v>
      </c>
      <c r="AB15" s="73">
        <f t="shared" si="14"/>
        <v>0</v>
      </c>
      <c r="AC15" s="75">
        <f t="shared" si="15"/>
        <v>0</v>
      </c>
      <c r="AD15" s="75">
        <f t="shared" si="0"/>
        <v>0</v>
      </c>
      <c r="AE15" s="74">
        <f t="shared" si="16"/>
        <v>0</v>
      </c>
      <c r="AF15" s="74">
        <f t="shared" si="17"/>
        <v>0</v>
      </c>
      <c r="AG15" s="75">
        <f t="shared" si="18"/>
        <v>0</v>
      </c>
      <c r="AH15" s="243"/>
      <c r="AI15" s="94"/>
      <c r="AJ15" s="94"/>
      <c r="AK15" s="94"/>
      <c r="AL15" s="94"/>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4"/>
      <c r="BW15" s="93">
        <f t="shared" si="19"/>
        <v>0</v>
      </c>
      <c r="BX15" s="94"/>
      <c r="BY15" s="94"/>
      <c r="BZ15" s="94"/>
      <c r="CA15" s="94"/>
      <c r="CB15" s="95"/>
      <c r="CC15" s="152"/>
      <c r="CD15" s="60" t="s">
        <v>543</v>
      </c>
      <c r="CE15" s="60">
        <v>20</v>
      </c>
      <c r="CF15" s="153"/>
      <c r="CG15" s="60" t="s">
        <v>813</v>
      </c>
      <c r="CH15" s="162"/>
      <c r="CI15" s="60"/>
      <c r="CJ15" s="60"/>
      <c r="CK15" s="60"/>
      <c r="CL15" s="60"/>
      <c r="CM15" s="242"/>
      <c r="CN15" s="60"/>
      <c r="CP15" s="95"/>
      <c r="CQ15" s="95"/>
      <c r="CR15" s="95"/>
      <c r="CS15" s="95"/>
      <c r="CT15" s="95"/>
      <c r="CU15" s="94">
        <f t="shared" si="20"/>
        <v>0</v>
      </c>
      <c r="CV15" s="94">
        <v>0</v>
      </c>
      <c r="CW15" s="339">
        <f t="shared" si="21"/>
        <v>0</v>
      </c>
      <c r="CX15" s="339">
        <f t="shared" si="22"/>
        <v>0</v>
      </c>
      <c r="CY15" s="339">
        <v>0</v>
      </c>
      <c r="CZ15" s="95"/>
      <c r="DA15" s="95"/>
      <c r="DB15" s="339">
        <f t="shared" si="23"/>
        <v>0</v>
      </c>
    </row>
    <row r="16" spans="2:106" ht="18.95" customHeight="1">
      <c r="B16" s="24">
        <v>4</v>
      </c>
      <c r="C16" s="25" t="str">
        <f>IF(AM16&lt;&gt;"",AM16,"")</f>
        <v>9:30</v>
      </c>
      <c r="D16" s="25" t="str">
        <f t="shared" si="2"/>
        <v>18:15</v>
      </c>
      <c r="E16" s="91" t="str">
        <f t="shared" si="3"/>
        <v>休出</v>
      </c>
      <c r="F16" s="897" t="str">
        <f t="shared" si="4"/>
        <v/>
      </c>
      <c r="G16" s="897"/>
      <c r="H16" s="897"/>
      <c r="I16" s="897"/>
      <c r="J16" s="897"/>
      <c r="K16" s="82">
        <f t="shared" si="5"/>
        <v>465</v>
      </c>
      <c r="L16" s="84" t="str">
        <f>IF(AJ16+AL16&gt;0,AJ16+AL16,"")</f>
        <v/>
      </c>
      <c r="M16" s="86">
        <f t="shared" si="7"/>
        <v>0.32291666666666669</v>
      </c>
      <c r="N16" s="25" t="str">
        <f t="shared" si="8"/>
        <v/>
      </c>
      <c r="O16" s="25" t="str">
        <f t="shared" si="9"/>
        <v/>
      </c>
      <c r="P16" s="87" t="str">
        <f t="shared" si="10"/>
        <v/>
      </c>
      <c r="Q16" s="64"/>
      <c r="R16" s="26"/>
      <c r="S16" s="7"/>
      <c r="T16" s="8">
        <f>DATE(T13,T14,T15)</f>
        <v>44228</v>
      </c>
      <c r="U16" s="60"/>
      <c r="V16" s="60"/>
      <c r="W16" s="60"/>
      <c r="Y16" s="73">
        <f t="shared" si="11"/>
        <v>465</v>
      </c>
      <c r="Z16" s="73">
        <f t="shared" si="12"/>
        <v>0</v>
      </c>
      <c r="AA16" s="73">
        <f t="shared" si="13"/>
        <v>0</v>
      </c>
      <c r="AB16" s="73">
        <f t="shared" si="14"/>
        <v>0</v>
      </c>
      <c r="AC16" s="75">
        <f t="shared" si="15"/>
        <v>1</v>
      </c>
      <c r="AD16" s="75">
        <f t="shared" si="0"/>
        <v>0</v>
      </c>
      <c r="AE16" s="74">
        <f t="shared" si="16"/>
        <v>0</v>
      </c>
      <c r="AF16" s="74">
        <f t="shared" si="17"/>
        <v>0</v>
      </c>
      <c r="AG16" s="75">
        <f t="shared" si="18"/>
        <v>0</v>
      </c>
      <c r="AH16" s="96"/>
      <c r="AI16" s="94">
        <v>465</v>
      </c>
      <c r="AJ16" s="94">
        <v>0</v>
      </c>
      <c r="AK16" s="94">
        <v>0</v>
      </c>
      <c r="AL16" s="94"/>
      <c r="AM16" s="95" t="s">
        <v>824</v>
      </c>
      <c r="AN16" s="95" t="s">
        <v>825</v>
      </c>
      <c r="AO16" s="95" t="s">
        <v>827</v>
      </c>
      <c r="AP16" s="95"/>
      <c r="AQ16" s="95" t="s">
        <v>826</v>
      </c>
      <c r="AR16" s="95" t="s">
        <v>32</v>
      </c>
      <c r="AS16" s="95" t="s">
        <v>32</v>
      </c>
      <c r="AT16" s="95" t="s">
        <v>32</v>
      </c>
      <c r="AU16" s="95" t="s">
        <v>824</v>
      </c>
      <c r="AV16" s="95" t="s">
        <v>825</v>
      </c>
      <c r="AW16" s="95"/>
      <c r="AX16" s="95"/>
      <c r="AY16" s="95"/>
      <c r="AZ16" s="95"/>
      <c r="BA16" s="95"/>
      <c r="BB16" s="95"/>
      <c r="BC16" s="95" t="s">
        <v>828</v>
      </c>
      <c r="BD16" s="95" t="s">
        <v>827</v>
      </c>
      <c r="BE16" s="95"/>
      <c r="BF16" s="95"/>
      <c r="BG16" s="95"/>
      <c r="BH16" s="95"/>
      <c r="BI16" s="95"/>
      <c r="BJ16" s="95"/>
      <c r="BK16" s="95"/>
      <c r="BL16" s="95"/>
      <c r="BM16" s="95"/>
      <c r="BN16" s="95"/>
      <c r="BO16" s="95" t="s">
        <v>829</v>
      </c>
      <c r="BP16" s="95" t="s">
        <v>830</v>
      </c>
      <c r="BQ16" s="95"/>
      <c r="BR16" s="95" t="s">
        <v>831</v>
      </c>
      <c r="BS16" s="95" t="s">
        <v>829</v>
      </c>
      <c r="BT16" s="95" t="s">
        <v>830</v>
      </c>
      <c r="BU16" s="95"/>
      <c r="BV16" s="94">
        <v>465</v>
      </c>
      <c r="BW16" s="93">
        <f t="shared" si="19"/>
        <v>1</v>
      </c>
      <c r="BX16" s="94"/>
      <c r="BY16" s="94"/>
      <c r="BZ16" s="94"/>
      <c r="CA16" s="94">
        <v>0</v>
      </c>
      <c r="CB16" s="95"/>
      <c r="CC16" s="152"/>
      <c r="CD16" s="60" t="s">
        <v>572</v>
      </c>
      <c r="CE16" s="60">
        <v>1</v>
      </c>
      <c r="CF16" s="153">
        <v>1</v>
      </c>
      <c r="CG16" s="60" t="s">
        <v>815</v>
      </c>
      <c r="CH16" s="162">
        <v>1</v>
      </c>
      <c r="CI16" s="60">
        <v>0</v>
      </c>
      <c r="CJ16" s="60">
        <v>0</v>
      </c>
      <c r="CK16" s="60">
        <v>0</v>
      </c>
      <c r="CL16" s="60"/>
      <c r="CM16" s="242"/>
      <c r="CN16" s="60"/>
      <c r="CP16" s="95" t="s">
        <v>826</v>
      </c>
      <c r="CQ16" s="95"/>
      <c r="CR16" s="95"/>
      <c r="CS16" s="95" t="s">
        <v>32</v>
      </c>
      <c r="CT16" s="95"/>
      <c r="CU16" s="94">
        <f t="shared" si="20"/>
        <v>0</v>
      </c>
      <c r="CV16" s="94">
        <v>0</v>
      </c>
      <c r="CW16" s="339">
        <f t="shared" si="21"/>
        <v>0</v>
      </c>
      <c r="CX16" s="339">
        <f t="shared" si="22"/>
        <v>0</v>
      </c>
      <c r="CY16" s="339">
        <v>0</v>
      </c>
      <c r="CZ16" s="95" t="s">
        <v>32</v>
      </c>
      <c r="DA16" s="95" t="s">
        <v>32</v>
      </c>
      <c r="DB16" s="339">
        <f t="shared" si="23"/>
        <v>0</v>
      </c>
    </row>
    <row r="17" spans="2:106" ht="18.95" customHeight="1" thickBot="1">
      <c r="B17" s="27">
        <v>5</v>
      </c>
      <c r="C17" s="28" t="str">
        <f t="shared" si="1"/>
        <v>10:00</v>
      </c>
      <c r="D17" s="28" t="str">
        <f t="shared" si="2"/>
        <v>19:30</v>
      </c>
      <c r="E17" s="92" t="str">
        <f t="shared" si="3"/>
        <v/>
      </c>
      <c r="F17" s="898" t="str">
        <f t="shared" si="4"/>
        <v/>
      </c>
      <c r="G17" s="898"/>
      <c r="H17" s="898"/>
      <c r="I17" s="898"/>
      <c r="J17" s="898"/>
      <c r="K17" s="83">
        <f t="shared" si="5"/>
        <v>45</v>
      </c>
      <c r="L17" s="85" t="str">
        <f>IF(AJ17+AL17&gt;0,AJ17+AL17,"")</f>
        <v/>
      </c>
      <c r="M17" s="88">
        <f t="shared" si="7"/>
        <v>0.33333333333333331</v>
      </c>
      <c r="N17" s="28" t="str">
        <f t="shared" si="8"/>
        <v/>
      </c>
      <c r="O17" s="28" t="str">
        <f t="shared" si="9"/>
        <v/>
      </c>
      <c r="P17" s="89" t="str">
        <f t="shared" si="10"/>
        <v/>
      </c>
      <c r="Q17" s="65"/>
      <c r="R17" s="29"/>
      <c r="S17" s="7"/>
      <c r="U17" s="60"/>
      <c r="V17" s="60"/>
      <c r="W17" s="60"/>
      <c r="Y17" s="73">
        <f t="shared" si="11"/>
        <v>480</v>
      </c>
      <c r="Z17" s="73">
        <f t="shared" si="12"/>
        <v>0</v>
      </c>
      <c r="AA17" s="73">
        <f t="shared" si="13"/>
        <v>0</v>
      </c>
      <c r="AB17" s="73">
        <f t="shared" si="14"/>
        <v>0</v>
      </c>
      <c r="AC17" s="75">
        <f t="shared" si="15"/>
        <v>1</v>
      </c>
      <c r="AD17" s="75">
        <f t="shared" si="0"/>
        <v>0</v>
      </c>
      <c r="AE17" s="74">
        <f t="shared" si="16"/>
        <v>0</v>
      </c>
      <c r="AF17" s="74">
        <f t="shared" si="17"/>
        <v>0</v>
      </c>
      <c r="AG17" s="75">
        <f t="shared" si="18"/>
        <v>0</v>
      </c>
      <c r="AH17" s="243"/>
      <c r="AI17" s="94">
        <v>45</v>
      </c>
      <c r="AJ17" s="94">
        <v>0</v>
      </c>
      <c r="AK17" s="94">
        <v>0</v>
      </c>
      <c r="AL17" s="94"/>
      <c r="AM17" s="95" t="s">
        <v>832</v>
      </c>
      <c r="AN17" s="95" t="s">
        <v>833</v>
      </c>
      <c r="AO17" s="95"/>
      <c r="AP17" s="95"/>
      <c r="AQ17" s="95" t="s">
        <v>834</v>
      </c>
      <c r="AR17" s="95" t="s">
        <v>32</v>
      </c>
      <c r="AS17" s="95" t="s">
        <v>32</v>
      </c>
      <c r="AT17" s="95" t="s">
        <v>32</v>
      </c>
      <c r="AU17" s="95" t="s">
        <v>832</v>
      </c>
      <c r="AV17" s="95" t="s">
        <v>833</v>
      </c>
      <c r="AW17" s="95"/>
      <c r="AX17" s="95"/>
      <c r="AY17" s="95"/>
      <c r="AZ17" s="95"/>
      <c r="BA17" s="95"/>
      <c r="BB17" s="95"/>
      <c r="BC17" s="95" t="s">
        <v>828</v>
      </c>
      <c r="BD17" s="95"/>
      <c r="BE17" s="95"/>
      <c r="BF17" s="95"/>
      <c r="BG17" s="95"/>
      <c r="BH17" s="95"/>
      <c r="BI17" s="95"/>
      <c r="BJ17" s="95"/>
      <c r="BK17" s="95"/>
      <c r="BL17" s="95"/>
      <c r="BM17" s="95"/>
      <c r="BN17" s="95"/>
      <c r="BO17" s="95" t="s">
        <v>829</v>
      </c>
      <c r="BP17" s="95" t="s">
        <v>830</v>
      </c>
      <c r="BQ17" s="95"/>
      <c r="BR17" s="95" t="s">
        <v>831</v>
      </c>
      <c r="BS17" s="95" t="s">
        <v>829</v>
      </c>
      <c r="BT17" s="95" t="s">
        <v>830</v>
      </c>
      <c r="BU17" s="95"/>
      <c r="BV17" s="94">
        <v>0</v>
      </c>
      <c r="BW17" s="93">
        <f t="shared" si="19"/>
        <v>0</v>
      </c>
      <c r="BX17" s="94"/>
      <c r="BY17" s="94"/>
      <c r="BZ17" s="94"/>
      <c r="CA17" s="94">
        <v>0</v>
      </c>
      <c r="CB17" s="95"/>
      <c r="CC17" s="152"/>
      <c r="CD17" s="60" t="s">
        <v>582</v>
      </c>
      <c r="CE17" s="60">
        <v>82</v>
      </c>
      <c r="CF17" s="153">
        <v>1</v>
      </c>
      <c r="CG17" s="60"/>
      <c r="CH17" s="162">
        <v>1</v>
      </c>
      <c r="CI17" s="60">
        <v>0</v>
      </c>
      <c r="CJ17" s="60">
        <v>0</v>
      </c>
      <c r="CK17" s="60">
        <v>0</v>
      </c>
      <c r="CL17" s="242"/>
      <c r="CM17" s="242"/>
      <c r="CN17" s="60"/>
      <c r="CP17" s="95" t="s">
        <v>826</v>
      </c>
      <c r="CQ17" s="95"/>
      <c r="CR17" s="95"/>
      <c r="CS17" s="95" t="s">
        <v>32</v>
      </c>
      <c r="CT17" s="95"/>
      <c r="CU17" s="94">
        <f t="shared" si="20"/>
        <v>0</v>
      </c>
      <c r="CV17" s="94">
        <v>0</v>
      </c>
      <c r="CW17" s="339">
        <f t="shared" si="21"/>
        <v>0</v>
      </c>
      <c r="CX17" s="339">
        <f t="shared" si="22"/>
        <v>0</v>
      </c>
      <c r="CY17" s="339">
        <v>1</v>
      </c>
      <c r="CZ17" s="95" t="s">
        <v>32</v>
      </c>
      <c r="DA17" s="95" t="s">
        <v>32</v>
      </c>
      <c r="DB17" s="339">
        <f t="shared" si="23"/>
        <v>0</v>
      </c>
    </row>
    <row r="18" spans="2:106" ht="18.95" customHeight="1">
      <c r="B18" s="21">
        <v>6</v>
      </c>
      <c r="C18" s="22" t="str">
        <f t="shared" si="1"/>
        <v>9:30</v>
      </c>
      <c r="D18" s="22" t="str">
        <f t="shared" si="2"/>
        <v>18:15</v>
      </c>
      <c r="E18" s="90" t="str">
        <f t="shared" si="3"/>
        <v/>
      </c>
      <c r="F18" s="899" t="str">
        <f t="shared" si="4"/>
        <v/>
      </c>
      <c r="G18" s="899"/>
      <c r="H18" s="899"/>
      <c r="I18" s="899"/>
      <c r="J18" s="899"/>
      <c r="K18" s="78" t="str">
        <f t="shared" si="5"/>
        <v/>
      </c>
      <c r="L18" s="79" t="str">
        <f>IF(AJ18+AL18&gt;0,AJ18+AL18,"")</f>
        <v/>
      </c>
      <c r="M18" s="80">
        <f t="shared" si="7"/>
        <v>0.32291666666666669</v>
      </c>
      <c r="N18" s="22" t="str">
        <f t="shared" si="8"/>
        <v/>
      </c>
      <c r="O18" s="22" t="str">
        <f t="shared" si="9"/>
        <v/>
      </c>
      <c r="P18" s="81" t="str">
        <f t="shared" si="10"/>
        <v/>
      </c>
      <c r="Q18" s="63"/>
      <c r="R18" s="23"/>
      <c r="S18" s="7"/>
      <c r="U18" s="60"/>
      <c r="V18" s="60"/>
      <c r="W18" s="60"/>
      <c r="Y18" s="73">
        <f t="shared" si="11"/>
        <v>465</v>
      </c>
      <c r="Z18" s="73">
        <f t="shared" si="12"/>
        <v>0</v>
      </c>
      <c r="AA18" s="73">
        <f t="shared" si="13"/>
        <v>0</v>
      </c>
      <c r="AB18" s="73">
        <f t="shared" si="14"/>
        <v>0</v>
      </c>
      <c r="AC18" s="75">
        <f t="shared" si="15"/>
        <v>1</v>
      </c>
      <c r="AD18" s="75">
        <f t="shared" si="0"/>
        <v>0</v>
      </c>
      <c r="AE18" s="74">
        <f t="shared" si="16"/>
        <v>0</v>
      </c>
      <c r="AF18" s="74">
        <f t="shared" si="17"/>
        <v>0</v>
      </c>
      <c r="AG18" s="75">
        <f t="shared" si="18"/>
        <v>0</v>
      </c>
      <c r="AH18" s="243"/>
      <c r="AI18" s="94">
        <v>0</v>
      </c>
      <c r="AJ18" s="94">
        <v>0</v>
      </c>
      <c r="AK18" s="94">
        <v>0</v>
      </c>
      <c r="AL18" s="94"/>
      <c r="AM18" s="95" t="s">
        <v>817</v>
      </c>
      <c r="AN18" s="95" t="s">
        <v>818</v>
      </c>
      <c r="AO18" s="95"/>
      <c r="AP18" s="95"/>
      <c r="AQ18" s="95" t="s">
        <v>819</v>
      </c>
      <c r="AR18" s="95" t="s">
        <v>32</v>
      </c>
      <c r="AS18" s="95" t="s">
        <v>32</v>
      </c>
      <c r="AT18" s="95" t="s">
        <v>32</v>
      </c>
      <c r="AU18" s="95" t="s">
        <v>817</v>
      </c>
      <c r="AV18" s="95" t="s">
        <v>818</v>
      </c>
      <c r="AW18" s="95"/>
      <c r="AX18" s="95"/>
      <c r="AY18" s="95"/>
      <c r="AZ18" s="95"/>
      <c r="BA18" s="95"/>
      <c r="BB18" s="95"/>
      <c r="BC18" s="95" t="s">
        <v>820</v>
      </c>
      <c r="BD18" s="95"/>
      <c r="BE18" s="95"/>
      <c r="BF18" s="95"/>
      <c r="BG18" s="95"/>
      <c r="BH18" s="95"/>
      <c r="BI18" s="95"/>
      <c r="BJ18" s="95"/>
      <c r="BK18" s="95"/>
      <c r="BL18" s="95"/>
      <c r="BM18" s="95"/>
      <c r="BN18" s="95"/>
      <c r="BO18" s="95" t="s">
        <v>821</v>
      </c>
      <c r="BP18" s="95" t="s">
        <v>822</v>
      </c>
      <c r="BQ18" s="95"/>
      <c r="BR18" s="95" t="s">
        <v>823</v>
      </c>
      <c r="BS18" s="95" t="s">
        <v>821</v>
      </c>
      <c r="BT18" s="95" t="s">
        <v>822</v>
      </c>
      <c r="BU18" s="95"/>
      <c r="BV18" s="94">
        <v>0</v>
      </c>
      <c r="BW18" s="93">
        <f t="shared" si="19"/>
        <v>0</v>
      </c>
      <c r="BX18" s="94"/>
      <c r="BY18" s="94"/>
      <c r="BZ18" s="94"/>
      <c r="CA18" s="94">
        <v>0</v>
      </c>
      <c r="CB18" s="95"/>
      <c r="CC18" s="152"/>
      <c r="CD18" s="60" t="s">
        <v>797</v>
      </c>
      <c r="CE18" s="60">
        <v>7</v>
      </c>
      <c r="CF18" s="153">
        <v>1</v>
      </c>
      <c r="CG18" s="60"/>
      <c r="CH18" s="162">
        <v>1</v>
      </c>
      <c r="CI18" s="60">
        <v>0</v>
      </c>
      <c r="CJ18" s="60">
        <v>0</v>
      </c>
      <c r="CK18" s="60">
        <v>0</v>
      </c>
      <c r="CL18" s="242"/>
      <c r="CM18" s="242"/>
      <c r="CN18" s="60"/>
      <c r="CP18" s="95" t="s">
        <v>819</v>
      </c>
      <c r="CQ18" s="95"/>
      <c r="CR18" s="95"/>
      <c r="CS18" s="95" t="s">
        <v>32</v>
      </c>
      <c r="CT18" s="95"/>
      <c r="CU18" s="94">
        <f t="shared" si="20"/>
        <v>0</v>
      </c>
      <c r="CV18" s="94">
        <v>0</v>
      </c>
      <c r="CW18" s="339">
        <f t="shared" si="21"/>
        <v>0</v>
      </c>
      <c r="CX18" s="339">
        <f t="shared" si="22"/>
        <v>0</v>
      </c>
      <c r="CY18" s="339">
        <v>1</v>
      </c>
      <c r="CZ18" s="95" t="s">
        <v>32</v>
      </c>
      <c r="DA18" s="95" t="s">
        <v>32</v>
      </c>
      <c r="DB18" s="339">
        <f t="shared" si="23"/>
        <v>0</v>
      </c>
    </row>
    <row r="19" spans="2:106" ht="18.95" customHeight="1">
      <c r="B19" s="24">
        <v>7</v>
      </c>
      <c r="C19" s="25" t="str">
        <f t="shared" si="1"/>
        <v>9:30</v>
      </c>
      <c r="D19" s="25" t="str">
        <f t="shared" si="2"/>
        <v>20:45</v>
      </c>
      <c r="E19" s="91" t="str">
        <f t="shared" si="3"/>
        <v/>
      </c>
      <c r="F19" s="897" t="str">
        <f t="shared" si="4"/>
        <v/>
      </c>
      <c r="G19" s="897"/>
      <c r="H19" s="897"/>
      <c r="I19" s="897"/>
      <c r="J19" s="897"/>
      <c r="K19" s="82">
        <f t="shared" si="5"/>
        <v>120</v>
      </c>
      <c r="L19" s="84" t="str">
        <f t="shared" si="6"/>
        <v/>
      </c>
      <c r="M19" s="86">
        <f t="shared" si="7"/>
        <v>0.40625</v>
      </c>
      <c r="N19" s="25" t="str">
        <f t="shared" si="8"/>
        <v/>
      </c>
      <c r="O19" s="25" t="str">
        <f t="shared" si="9"/>
        <v/>
      </c>
      <c r="P19" s="87" t="str">
        <f t="shared" si="10"/>
        <v/>
      </c>
      <c r="Q19" s="64"/>
      <c r="R19" s="26"/>
      <c r="S19" s="7"/>
      <c r="U19" s="60"/>
      <c r="V19" s="60"/>
      <c r="W19" s="60"/>
      <c r="Y19" s="73">
        <f t="shared" si="11"/>
        <v>585</v>
      </c>
      <c r="Z19" s="73">
        <f t="shared" si="12"/>
        <v>0</v>
      </c>
      <c r="AA19" s="73">
        <f t="shared" si="13"/>
        <v>0</v>
      </c>
      <c r="AB19" s="73">
        <f t="shared" si="14"/>
        <v>0</v>
      </c>
      <c r="AC19" s="75">
        <f t="shared" si="15"/>
        <v>1</v>
      </c>
      <c r="AD19" s="75">
        <f t="shared" si="0"/>
        <v>0</v>
      </c>
      <c r="AE19" s="74">
        <f t="shared" si="16"/>
        <v>0</v>
      </c>
      <c r="AF19" s="74">
        <f t="shared" si="17"/>
        <v>0</v>
      </c>
      <c r="AG19" s="75">
        <f t="shared" si="18"/>
        <v>0</v>
      </c>
      <c r="AH19" s="243"/>
      <c r="AI19" s="94">
        <v>120</v>
      </c>
      <c r="AJ19" s="94">
        <v>0</v>
      </c>
      <c r="AK19" s="94">
        <v>0</v>
      </c>
      <c r="AL19" s="94"/>
      <c r="AM19" s="95" t="s">
        <v>835</v>
      </c>
      <c r="AN19" s="95" t="s">
        <v>841</v>
      </c>
      <c r="AO19" s="95"/>
      <c r="AP19" s="95"/>
      <c r="AQ19" s="95" t="s">
        <v>842</v>
      </c>
      <c r="AR19" s="95" t="s">
        <v>32</v>
      </c>
      <c r="AS19" s="95" t="s">
        <v>32</v>
      </c>
      <c r="AT19" s="95" t="s">
        <v>32</v>
      </c>
      <c r="AU19" s="95" t="s">
        <v>835</v>
      </c>
      <c r="AV19" s="95" t="s">
        <v>841</v>
      </c>
      <c r="AW19" s="95"/>
      <c r="AX19" s="95"/>
      <c r="AY19" s="95"/>
      <c r="AZ19" s="95"/>
      <c r="BA19" s="95"/>
      <c r="BB19" s="95"/>
      <c r="BC19" s="95" t="s">
        <v>836</v>
      </c>
      <c r="BD19" s="95"/>
      <c r="BE19" s="95"/>
      <c r="BF19" s="95"/>
      <c r="BG19" s="95"/>
      <c r="BH19" s="95"/>
      <c r="BI19" s="95"/>
      <c r="BJ19" s="95"/>
      <c r="BK19" s="95"/>
      <c r="BL19" s="95"/>
      <c r="BM19" s="95"/>
      <c r="BN19" s="95"/>
      <c r="BO19" s="95" t="s">
        <v>837</v>
      </c>
      <c r="BP19" s="95" t="s">
        <v>838</v>
      </c>
      <c r="BQ19" s="95"/>
      <c r="BR19" s="95" t="s">
        <v>839</v>
      </c>
      <c r="BS19" s="95" t="s">
        <v>837</v>
      </c>
      <c r="BT19" s="95" t="s">
        <v>838</v>
      </c>
      <c r="BU19" s="95"/>
      <c r="BV19" s="94">
        <v>0</v>
      </c>
      <c r="BW19" s="93">
        <f t="shared" si="19"/>
        <v>0</v>
      </c>
      <c r="BX19" s="94"/>
      <c r="BY19" s="94"/>
      <c r="BZ19" s="94"/>
      <c r="CA19" s="94">
        <v>0</v>
      </c>
      <c r="CB19" s="95"/>
      <c r="CC19" s="152"/>
      <c r="CD19" s="60" t="s">
        <v>807</v>
      </c>
      <c r="CE19" s="60">
        <v>2</v>
      </c>
      <c r="CF19" s="153">
        <v>1</v>
      </c>
      <c r="CG19" s="60"/>
      <c r="CH19" s="162">
        <v>1</v>
      </c>
      <c r="CI19" s="60">
        <v>0</v>
      </c>
      <c r="CJ19" s="60">
        <v>0</v>
      </c>
      <c r="CK19" s="60">
        <v>0</v>
      </c>
      <c r="CL19" s="242"/>
      <c r="CM19" s="242"/>
      <c r="CN19" s="60"/>
      <c r="CP19" s="95" t="s">
        <v>840</v>
      </c>
      <c r="CQ19" s="95"/>
      <c r="CR19" s="95"/>
      <c r="CS19" s="95" t="s">
        <v>32</v>
      </c>
      <c r="CT19" s="95"/>
      <c r="CU19" s="94">
        <f t="shared" si="20"/>
        <v>0</v>
      </c>
      <c r="CV19" s="94">
        <v>0</v>
      </c>
      <c r="CW19" s="339">
        <f t="shared" si="21"/>
        <v>0</v>
      </c>
      <c r="CX19" s="339">
        <f t="shared" si="22"/>
        <v>0</v>
      </c>
      <c r="CY19" s="339">
        <v>1</v>
      </c>
      <c r="CZ19" s="95" t="s">
        <v>32</v>
      </c>
      <c r="DA19" s="95" t="s">
        <v>32</v>
      </c>
      <c r="DB19" s="339">
        <f t="shared" si="23"/>
        <v>0</v>
      </c>
    </row>
    <row r="20" spans="2:106" ht="18.95" customHeight="1">
      <c r="B20" s="24">
        <v>8</v>
      </c>
      <c r="C20" s="25" t="str">
        <f t="shared" si="1"/>
        <v>9:30</v>
      </c>
      <c r="D20" s="25" t="str">
        <f t="shared" si="2"/>
        <v>20:45</v>
      </c>
      <c r="E20" s="91" t="str">
        <f t="shared" si="3"/>
        <v/>
      </c>
      <c r="F20" s="897" t="str">
        <f t="shared" si="4"/>
        <v/>
      </c>
      <c r="G20" s="897"/>
      <c r="H20" s="897"/>
      <c r="I20" s="897"/>
      <c r="J20" s="897"/>
      <c r="K20" s="82">
        <f t="shared" si="5"/>
        <v>120</v>
      </c>
      <c r="L20" s="84" t="str">
        <f t="shared" si="6"/>
        <v/>
      </c>
      <c r="M20" s="86">
        <f t="shared" si="7"/>
        <v>0.40625</v>
      </c>
      <c r="N20" s="25" t="str">
        <f t="shared" si="8"/>
        <v/>
      </c>
      <c r="O20" s="25" t="str">
        <f t="shared" si="9"/>
        <v/>
      </c>
      <c r="P20" s="87" t="str">
        <f t="shared" si="10"/>
        <v/>
      </c>
      <c r="Q20" s="64"/>
      <c r="R20" s="26"/>
      <c r="S20" s="7"/>
      <c r="U20" s="60"/>
      <c r="V20" s="60"/>
      <c r="W20" s="60"/>
      <c r="Y20" s="73">
        <f t="shared" si="11"/>
        <v>585</v>
      </c>
      <c r="Z20" s="73">
        <f t="shared" si="12"/>
        <v>0</v>
      </c>
      <c r="AA20" s="73">
        <f t="shared" si="13"/>
        <v>0</v>
      </c>
      <c r="AB20" s="73">
        <f t="shared" si="14"/>
        <v>0</v>
      </c>
      <c r="AC20" s="75">
        <f t="shared" si="15"/>
        <v>1</v>
      </c>
      <c r="AD20" s="75">
        <f t="shared" si="0"/>
        <v>0</v>
      </c>
      <c r="AE20" s="74">
        <f t="shared" si="16"/>
        <v>0</v>
      </c>
      <c r="AF20" s="74">
        <f t="shared" si="17"/>
        <v>0</v>
      </c>
      <c r="AG20" s="75">
        <f t="shared" si="18"/>
        <v>0</v>
      </c>
      <c r="AH20" s="243"/>
      <c r="AI20" s="94">
        <v>120</v>
      </c>
      <c r="AJ20" s="94">
        <v>0</v>
      </c>
      <c r="AK20" s="94">
        <v>0</v>
      </c>
      <c r="AL20" s="94"/>
      <c r="AM20" s="95" t="s">
        <v>843</v>
      </c>
      <c r="AN20" s="95" t="s">
        <v>844</v>
      </c>
      <c r="AO20" s="95"/>
      <c r="AP20" s="95"/>
      <c r="AQ20" s="95" t="s">
        <v>845</v>
      </c>
      <c r="AR20" s="95" t="s">
        <v>32</v>
      </c>
      <c r="AS20" s="95" t="s">
        <v>32</v>
      </c>
      <c r="AT20" s="95" t="s">
        <v>32</v>
      </c>
      <c r="AU20" s="95" t="s">
        <v>843</v>
      </c>
      <c r="AV20" s="95" t="s">
        <v>844</v>
      </c>
      <c r="AW20" s="95"/>
      <c r="AX20" s="95"/>
      <c r="AY20" s="95"/>
      <c r="AZ20" s="95"/>
      <c r="BA20" s="95"/>
      <c r="BB20" s="95"/>
      <c r="BC20" s="95" t="s">
        <v>846</v>
      </c>
      <c r="BD20" s="95"/>
      <c r="BE20" s="95"/>
      <c r="BF20" s="95"/>
      <c r="BG20" s="95"/>
      <c r="BH20" s="95"/>
      <c r="BI20" s="95"/>
      <c r="BJ20" s="95"/>
      <c r="BK20" s="95"/>
      <c r="BL20" s="95"/>
      <c r="BM20" s="95"/>
      <c r="BN20" s="95"/>
      <c r="BO20" s="95" t="s">
        <v>847</v>
      </c>
      <c r="BP20" s="95" t="s">
        <v>848</v>
      </c>
      <c r="BQ20" s="95"/>
      <c r="BR20" s="95" t="s">
        <v>849</v>
      </c>
      <c r="BS20" s="95" t="s">
        <v>847</v>
      </c>
      <c r="BT20" s="95" t="s">
        <v>848</v>
      </c>
      <c r="BU20" s="95"/>
      <c r="BV20" s="94">
        <v>0</v>
      </c>
      <c r="BW20" s="93">
        <f t="shared" si="19"/>
        <v>0</v>
      </c>
      <c r="BX20" s="94"/>
      <c r="BY20" s="94"/>
      <c r="BZ20" s="94"/>
      <c r="CA20" s="94">
        <v>0</v>
      </c>
      <c r="CB20" s="95"/>
      <c r="CC20" s="152"/>
      <c r="CD20" s="60" t="s">
        <v>808</v>
      </c>
      <c r="CE20" s="60">
        <v>2</v>
      </c>
      <c r="CF20" s="153">
        <v>1</v>
      </c>
      <c r="CG20" s="60"/>
      <c r="CH20" s="162">
        <v>1</v>
      </c>
      <c r="CI20" s="60">
        <v>0</v>
      </c>
      <c r="CJ20" s="60">
        <v>0</v>
      </c>
      <c r="CK20" s="60">
        <v>0</v>
      </c>
      <c r="CL20" s="242"/>
      <c r="CM20" s="60"/>
      <c r="CN20" s="60"/>
      <c r="CP20" s="95" t="s">
        <v>850</v>
      </c>
      <c r="CQ20" s="95"/>
      <c r="CR20" s="95"/>
      <c r="CS20" s="95" t="s">
        <v>32</v>
      </c>
      <c r="CT20" s="95"/>
      <c r="CU20" s="94">
        <f t="shared" si="20"/>
        <v>0</v>
      </c>
      <c r="CV20" s="94">
        <v>0</v>
      </c>
      <c r="CW20" s="339">
        <f t="shared" si="21"/>
        <v>0</v>
      </c>
      <c r="CX20" s="339">
        <f t="shared" si="22"/>
        <v>0</v>
      </c>
      <c r="CY20" s="339">
        <v>1</v>
      </c>
      <c r="CZ20" s="95" t="s">
        <v>32</v>
      </c>
      <c r="DA20" s="95" t="s">
        <v>32</v>
      </c>
      <c r="DB20" s="339">
        <f t="shared" si="23"/>
        <v>0</v>
      </c>
    </row>
    <row r="21" spans="2:106" ht="18.95" customHeight="1">
      <c r="B21" s="24">
        <v>9</v>
      </c>
      <c r="C21" s="25" t="str">
        <f t="shared" si="1"/>
        <v/>
      </c>
      <c r="D21" s="25" t="str">
        <f t="shared" si="2"/>
        <v/>
      </c>
      <c r="E21" s="91" t="str">
        <f t="shared" si="3"/>
        <v/>
      </c>
      <c r="F21" s="897" t="str">
        <f t="shared" si="4"/>
        <v/>
      </c>
      <c r="G21" s="897"/>
      <c r="H21" s="897"/>
      <c r="I21" s="897"/>
      <c r="J21" s="897"/>
      <c r="K21" s="82" t="str">
        <f t="shared" si="5"/>
        <v/>
      </c>
      <c r="L21" s="84" t="str">
        <f t="shared" si="6"/>
        <v/>
      </c>
      <c r="M21" s="86" t="str">
        <f t="shared" si="7"/>
        <v/>
      </c>
      <c r="N21" s="25" t="str">
        <f t="shared" si="8"/>
        <v/>
      </c>
      <c r="O21" s="25" t="str">
        <f t="shared" si="9"/>
        <v/>
      </c>
      <c r="P21" s="87" t="str">
        <f t="shared" si="10"/>
        <v/>
      </c>
      <c r="Q21" s="64"/>
      <c r="R21" s="26"/>
      <c r="S21" s="7"/>
      <c r="U21" s="60"/>
      <c r="V21" s="60"/>
      <c r="W21" s="60"/>
      <c r="Y21" s="73">
        <f t="shared" si="11"/>
        <v>0</v>
      </c>
      <c r="Z21" s="73">
        <f t="shared" si="12"/>
        <v>0</v>
      </c>
      <c r="AA21" s="73">
        <f t="shared" si="13"/>
        <v>0</v>
      </c>
      <c r="AB21" s="73">
        <f t="shared" si="14"/>
        <v>0</v>
      </c>
      <c r="AC21" s="75">
        <f t="shared" si="15"/>
        <v>0</v>
      </c>
      <c r="AD21" s="75">
        <f t="shared" si="0"/>
        <v>0</v>
      </c>
      <c r="AE21" s="74">
        <f t="shared" si="16"/>
        <v>0</v>
      </c>
      <c r="AF21" s="74">
        <f t="shared" si="17"/>
        <v>0</v>
      </c>
      <c r="AG21" s="75">
        <f t="shared" si="18"/>
        <v>0</v>
      </c>
      <c r="AH21" s="243"/>
      <c r="AI21" s="94"/>
      <c r="AJ21" s="94"/>
      <c r="AK21" s="94"/>
      <c r="AL21" s="94"/>
      <c r="AM21" s="95"/>
      <c r="AN21" s="95"/>
      <c r="AO21" s="95"/>
      <c r="AP21" s="95"/>
      <c r="AQ21" s="95"/>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c r="BQ21" s="95"/>
      <c r="BR21" s="95"/>
      <c r="BS21" s="95"/>
      <c r="BT21" s="95"/>
      <c r="BU21" s="95"/>
      <c r="BV21" s="94"/>
      <c r="BW21" s="93">
        <f t="shared" si="19"/>
        <v>0</v>
      </c>
      <c r="BX21" s="94"/>
      <c r="BY21" s="94"/>
      <c r="BZ21" s="94"/>
      <c r="CA21" s="94"/>
      <c r="CB21" s="95"/>
      <c r="CC21" s="152"/>
      <c r="CD21" s="60" t="s">
        <v>809</v>
      </c>
      <c r="CE21" s="60">
        <v>1</v>
      </c>
      <c r="CF21" s="153"/>
      <c r="CG21" s="60"/>
      <c r="CH21" s="162"/>
      <c r="CI21" s="60"/>
      <c r="CJ21" s="60"/>
      <c r="CK21" s="60"/>
      <c r="CL21" s="242"/>
      <c r="CM21" s="242"/>
      <c r="CN21" s="60"/>
      <c r="CP21" s="95"/>
      <c r="CQ21" s="95"/>
      <c r="CR21" s="95"/>
      <c r="CS21" s="95"/>
      <c r="CT21" s="95"/>
      <c r="CU21" s="94">
        <f t="shared" si="20"/>
        <v>0</v>
      </c>
      <c r="CV21" s="94">
        <v>0</v>
      </c>
      <c r="CW21" s="339">
        <f t="shared" si="21"/>
        <v>0</v>
      </c>
      <c r="CX21" s="339">
        <f t="shared" si="22"/>
        <v>0</v>
      </c>
      <c r="CY21" s="339">
        <v>0</v>
      </c>
      <c r="CZ21" s="95"/>
      <c r="DA21" s="95"/>
      <c r="DB21" s="339">
        <f t="shared" si="23"/>
        <v>0</v>
      </c>
    </row>
    <row r="22" spans="2:106" ht="18.95" customHeight="1" thickBot="1">
      <c r="B22" s="27">
        <v>10</v>
      </c>
      <c r="C22" s="28" t="str">
        <f t="shared" si="1"/>
        <v/>
      </c>
      <c r="D22" s="28" t="str">
        <f t="shared" si="2"/>
        <v/>
      </c>
      <c r="E22" s="92" t="str">
        <f t="shared" si="3"/>
        <v/>
      </c>
      <c r="F22" s="898" t="str">
        <f t="shared" si="4"/>
        <v/>
      </c>
      <c r="G22" s="898"/>
      <c r="H22" s="898"/>
      <c r="I22" s="898"/>
      <c r="J22" s="898"/>
      <c r="K22" s="83" t="str">
        <f t="shared" si="5"/>
        <v/>
      </c>
      <c r="L22" s="85" t="str">
        <f t="shared" si="6"/>
        <v/>
      </c>
      <c r="M22" s="88" t="str">
        <f t="shared" si="7"/>
        <v/>
      </c>
      <c r="N22" s="28" t="str">
        <f t="shared" si="8"/>
        <v/>
      </c>
      <c r="O22" s="28" t="str">
        <f t="shared" si="9"/>
        <v/>
      </c>
      <c r="P22" s="89" t="str">
        <f t="shared" si="10"/>
        <v/>
      </c>
      <c r="Q22" s="65"/>
      <c r="R22" s="29"/>
      <c r="S22" s="7"/>
      <c r="Y22" s="73">
        <f t="shared" si="11"/>
        <v>0</v>
      </c>
      <c r="Z22" s="73">
        <f t="shared" si="12"/>
        <v>0</v>
      </c>
      <c r="AA22" s="73">
        <f t="shared" si="13"/>
        <v>0</v>
      </c>
      <c r="AB22" s="73">
        <f t="shared" si="14"/>
        <v>0</v>
      </c>
      <c r="AC22" s="75">
        <f t="shared" si="15"/>
        <v>0</v>
      </c>
      <c r="AD22" s="75">
        <f t="shared" si="0"/>
        <v>0</v>
      </c>
      <c r="AE22" s="74">
        <f t="shared" si="16"/>
        <v>0</v>
      </c>
      <c r="AF22" s="74">
        <f t="shared" si="17"/>
        <v>0</v>
      </c>
      <c r="AG22" s="75">
        <f t="shared" si="18"/>
        <v>0</v>
      </c>
      <c r="AH22" s="243"/>
      <c r="AI22" s="94"/>
      <c r="AJ22" s="94"/>
      <c r="AK22" s="94"/>
      <c r="AL22" s="94"/>
      <c r="AM22" s="95"/>
      <c r="AN22" s="95"/>
      <c r="AO22" s="95"/>
      <c r="AP22" s="95"/>
      <c r="AQ22" s="95"/>
      <c r="AR22" s="95"/>
      <c r="AS22" s="95"/>
      <c r="AT22" s="95"/>
      <c r="AU22" s="95"/>
      <c r="AV22" s="95"/>
      <c r="AW22" s="95"/>
      <c r="AX22" s="95"/>
      <c r="AY22" s="95"/>
      <c r="AZ22" s="95"/>
      <c r="BA22" s="95"/>
      <c r="BB22" s="95"/>
      <c r="BC22" s="95"/>
      <c r="BD22" s="95"/>
      <c r="BE22" s="95"/>
      <c r="BF22" s="95"/>
      <c r="BG22" s="95"/>
      <c r="BH22" s="95"/>
      <c r="BI22" s="95"/>
      <c r="BJ22" s="95"/>
      <c r="BK22" s="95"/>
      <c r="BL22" s="95"/>
      <c r="BM22" s="95"/>
      <c r="BN22" s="95"/>
      <c r="BO22" s="95"/>
      <c r="BP22" s="95"/>
      <c r="BQ22" s="95"/>
      <c r="BR22" s="95"/>
      <c r="BS22" s="95"/>
      <c r="BT22" s="95"/>
      <c r="BU22" s="95"/>
      <c r="BV22" s="94"/>
      <c r="BW22" s="93">
        <f t="shared" si="19"/>
        <v>0</v>
      </c>
      <c r="BX22" s="94"/>
      <c r="BY22" s="94"/>
      <c r="BZ22" s="94"/>
      <c r="CA22" s="94"/>
      <c r="CB22" s="95"/>
      <c r="CC22" s="152"/>
      <c r="CD22" s="60" t="s">
        <v>812</v>
      </c>
      <c r="CE22" s="60">
        <v>2</v>
      </c>
      <c r="CF22" s="153"/>
      <c r="CG22" s="60"/>
      <c r="CH22" s="162"/>
      <c r="CI22" s="60"/>
      <c r="CJ22" s="60"/>
      <c r="CK22" s="60"/>
      <c r="CL22" s="242"/>
      <c r="CM22" s="242"/>
      <c r="CN22" s="60"/>
      <c r="CP22" s="95"/>
      <c r="CQ22" s="95"/>
      <c r="CR22" s="95"/>
      <c r="CS22" s="95"/>
      <c r="CT22" s="95"/>
      <c r="CU22" s="94">
        <f t="shared" si="20"/>
        <v>0</v>
      </c>
      <c r="CV22" s="94">
        <v>0</v>
      </c>
      <c r="CW22" s="339">
        <f t="shared" si="21"/>
        <v>0</v>
      </c>
      <c r="CX22" s="339">
        <f t="shared" si="22"/>
        <v>0</v>
      </c>
      <c r="CY22" s="339">
        <v>0</v>
      </c>
      <c r="CZ22" s="95"/>
      <c r="DA22" s="95"/>
      <c r="DB22" s="339">
        <f t="shared" si="23"/>
        <v>0</v>
      </c>
    </row>
    <row r="23" spans="2:106" ht="18.95" customHeight="1">
      <c r="B23" s="21">
        <v>11</v>
      </c>
      <c r="C23" s="22" t="str">
        <f t="shared" si="1"/>
        <v/>
      </c>
      <c r="D23" s="22" t="str">
        <f t="shared" si="2"/>
        <v/>
      </c>
      <c r="E23" s="90" t="str">
        <f t="shared" si="3"/>
        <v/>
      </c>
      <c r="F23" s="899" t="str">
        <f t="shared" si="4"/>
        <v/>
      </c>
      <c r="G23" s="899"/>
      <c r="H23" s="899"/>
      <c r="I23" s="899"/>
      <c r="J23" s="899"/>
      <c r="K23" s="78" t="str">
        <f t="shared" si="5"/>
        <v/>
      </c>
      <c r="L23" s="79" t="str">
        <f t="shared" si="6"/>
        <v/>
      </c>
      <c r="M23" s="80" t="str">
        <f t="shared" si="7"/>
        <v/>
      </c>
      <c r="N23" s="22" t="str">
        <f t="shared" si="8"/>
        <v/>
      </c>
      <c r="O23" s="22" t="str">
        <f t="shared" si="9"/>
        <v/>
      </c>
      <c r="P23" s="81" t="str">
        <f t="shared" si="10"/>
        <v/>
      </c>
      <c r="Q23" s="63"/>
      <c r="R23" s="23"/>
      <c r="S23" s="7"/>
      <c r="Y23" s="73">
        <f t="shared" si="11"/>
        <v>0</v>
      </c>
      <c r="Z23" s="73">
        <f t="shared" si="12"/>
        <v>0</v>
      </c>
      <c r="AA23" s="73">
        <f t="shared" si="13"/>
        <v>0</v>
      </c>
      <c r="AB23" s="73">
        <f t="shared" si="14"/>
        <v>0</v>
      </c>
      <c r="AC23" s="75">
        <f t="shared" si="15"/>
        <v>0</v>
      </c>
      <c r="AD23" s="75">
        <f t="shared" si="0"/>
        <v>0</v>
      </c>
      <c r="AE23" s="74">
        <f t="shared" si="16"/>
        <v>0</v>
      </c>
      <c r="AF23" s="74">
        <f t="shared" si="17"/>
        <v>0</v>
      </c>
      <c r="AG23" s="75">
        <f t="shared" si="18"/>
        <v>0</v>
      </c>
      <c r="AH23" s="96"/>
      <c r="AI23" s="94"/>
      <c r="AJ23" s="94"/>
      <c r="AK23" s="94"/>
      <c r="AL23" s="94"/>
      <c r="AM23" s="95"/>
      <c r="AN23" s="95"/>
      <c r="AO23" s="95"/>
      <c r="AP23" s="95"/>
      <c r="AQ23" s="95"/>
      <c r="AR23" s="95"/>
      <c r="AS23" s="95"/>
      <c r="AT23" s="95"/>
      <c r="AU23" s="95"/>
      <c r="AV23" s="95"/>
      <c r="AW23" s="95"/>
      <c r="AX23" s="95"/>
      <c r="AY23" s="95"/>
      <c r="AZ23" s="95"/>
      <c r="BA23" s="95"/>
      <c r="BB23" s="95"/>
      <c r="BC23" s="95"/>
      <c r="BD23" s="95"/>
      <c r="BE23" s="95"/>
      <c r="BF23" s="95"/>
      <c r="BG23" s="95"/>
      <c r="BH23" s="95"/>
      <c r="BI23" s="95"/>
      <c r="BJ23" s="95"/>
      <c r="BK23" s="95"/>
      <c r="BL23" s="95"/>
      <c r="BM23" s="95"/>
      <c r="BN23" s="95"/>
      <c r="BO23" s="95"/>
      <c r="BP23" s="95"/>
      <c r="BQ23" s="95"/>
      <c r="BR23" s="95"/>
      <c r="BS23" s="95"/>
      <c r="BT23" s="95"/>
      <c r="BU23" s="95"/>
      <c r="BV23" s="94"/>
      <c r="BW23" s="93">
        <f t="shared" si="19"/>
        <v>0</v>
      </c>
      <c r="BX23" s="94"/>
      <c r="BY23" s="94"/>
      <c r="BZ23" s="94"/>
      <c r="CA23" s="94"/>
      <c r="CB23" s="95"/>
      <c r="CC23" s="152"/>
      <c r="CD23" s="60"/>
      <c r="CE23" s="60"/>
      <c r="CF23" s="153"/>
      <c r="CG23" s="60" t="s">
        <v>816</v>
      </c>
      <c r="CH23" s="162"/>
      <c r="CI23" s="60"/>
      <c r="CJ23" s="60"/>
      <c r="CK23" s="60"/>
      <c r="CL23" s="242"/>
      <c r="CM23" s="242"/>
      <c r="CN23" s="60"/>
      <c r="CP23" s="95"/>
      <c r="CQ23" s="95"/>
      <c r="CR23" s="95"/>
      <c r="CS23" s="95"/>
      <c r="CT23" s="95"/>
      <c r="CU23" s="94">
        <f t="shared" si="20"/>
        <v>0</v>
      </c>
      <c r="CV23" s="94">
        <v>0</v>
      </c>
      <c r="CW23" s="339">
        <f t="shared" si="21"/>
        <v>0</v>
      </c>
      <c r="CX23" s="339">
        <f t="shared" si="22"/>
        <v>0</v>
      </c>
      <c r="CY23" s="339">
        <v>0</v>
      </c>
      <c r="CZ23" s="95"/>
      <c r="DA23" s="95"/>
      <c r="DB23" s="339">
        <f t="shared" si="23"/>
        <v>0</v>
      </c>
    </row>
    <row r="24" spans="2:106" ht="18.95" customHeight="1">
      <c r="B24" s="24">
        <v>12</v>
      </c>
      <c r="C24" s="25" t="str">
        <f t="shared" si="1"/>
        <v>9:30</v>
      </c>
      <c r="D24" s="25" t="str">
        <f t="shared" si="2"/>
        <v>18:15</v>
      </c>
      <c r="E24" s="91" t="str">
        <f t="shared" si="3"/>
        <v/>
      </c>
      <c r="F24" s="897" t="str">
        <f t="shared" si="4"/>
        <v/>
      </c>
      <c r="G24" s="897"/>
      <c r="H24" s="897"/>
      <c r="I24" s="897"/>
      <c r="J24" s="897"/>
      <c r="K24" s="82" t="str">
        <f t="shared" si="5"/>
        <v/>
      </c>
      <c r="L24" s="84" t="str">
        <f t="shared" si="6"/>
        <v/>
      </c>
      <c r="M24" s="86">
        <f t="shared" si="7"/>
        <v>0.32291666666666669</v>
      </c>
      <c r="N24" s="25" t="str">
        <f t="shared" si="8"/>
        <v/>
      </c>
      <c r="O24" s="25" t="str">
        <f t="shared" si="9"/>
        <v/>
      </c>
      <c r="P24" s="87" t="str">
        <f t="shared" si="10"/>
        <v/>
      </c>
      <c r="Q24" s="64"/>
      <c r="R24" s="26"/>
      <c r="S24" s="7"/>
      <c r="Y24" s="73">
        <f t="shared" si="11"/>
        <v>465</v>
      </c>
      <c r="Z24" s="73">
        <f t="shared" si="12"/>
        <v>0</v>
      </c>
      <c r="AA24" s="73">
        <f t="shared" si="13"/>
        <v>0</v>
      </c>
      <c r="AB24" s="73">
        <f t="shared" si="14"/>
        <v>0</v>
      </c>
      <c r="AC24" s="75">
        <f t="shared" si="15"/>
        <v>1</v>
      </c>
      <c r="AD24" s="75">
        <f t="shared" si="0"/>
        <v>0</v>
      </c>
      <c r="AE24" s="74">
        <f t="shared" si="16"/>
        <v>0</v>
      </c>
      <c r="AF24" s="74">
        <f t="shared" si="17"/>
        <v>0</v>
      </c>
      <c r="AG24" s="75">
        <f t="shared" si="18"/>
        <v>0</v>
      </c>
      <c r="AH24" s="243"/>
      <c r="AI24" s="94">
        <v>0</v>
      </c>
      <c r="AJ24" s="94">
        <v>0</v>
      </c>
      <c r="AK24" s="94">
        <v>0</v>
      </c>
      <c r="AL24" s="94"/>
      <c r="AM24" s="95" t="s">
        <v>817</v>
      </c>
      <c r="AN24" s="95" t="s">
        <v>818</v>
      </c>
      <c r="AO24" s="95"/>
      <c r="AP24" s="95"/>
      <c r="AQ24" s="95" t="s">
        <v>819</v>
      </c>
      <c r="AR24" s="95" t="s">
        <v>32</v>
      </c>
      <c r="AS24" s="95" t="s">
        <v>32</v>
      </c>
      <c r="AT24" s="95" t="s">
        <v>32</v>
      </c>
      <c r="AU24" s="95" t="s">
        <v>817</v>
      </c>
      <c r="AV24" s="95" t="s">
        <v>818</v>
      </c>
      <c r="AW24" s="95"/>
      <c r="AX24" s="95"/>
      <c r="AY24" s="95"/>
      <c r="AZ24" s="95"/>
      <c r="BA24" s="95"/>
      <c r="BB24" s="95"/>
      <c r="BC24" s="95" t="s">
        <v>820</v>
      </c>
      <c r="BD24" s="95"/>
      <c r="BE24" s="95"/>
      <c r="BF24" s="95"/>
      <c r="BG24" s="95"/>
      <c r="BH24" s="95"/>
      <c r="BI24" s="95"/>
      <c r="BJ24" s="95"/>
      <c r="BK24" s="95"/>
      <c r="BL24" s="95"/>
      <c r="BM24" s="95"/>
      <c r="BN24" s="95"/>
      <c r="BO24" s="95" t="s">
        <v>821</v>
      </c>
      <c r="BP24" s="95" t="s">
        <v>822</v>
      </c>
      <c r="BQ24" s="95"/>
      <c r="BR24" s="95" t="s">
        <v>823</v>
      </c>
      <c r="BS24" s="95" t="s">
        <v>821</v>
      </c>
      <c r="BT24" s="95" t="s">
        <v>822</v>
      </c>
      <c r="BU24" s="95"/>
      <c r="BV24" s="94">
        <v>0</v>
      </c>
      <c r="BW24" s="93">
        <f t="shared" si="19"/>
        <v>0</v>
      </c>
      <c r="BX24" s="94"/>
      <c r="BY24" s="94"/>
      <c r="BZ24" s="94"/>
      <c r="CA24" s="94">
        <v>0</v>
      </c>
      <c r="CB24" s="95"/>
      <c r="CC24" s="152"/>
      <c r="CD24" s="60"/>
      <c r="CE24" s="60"/>
      <c r="CF24" s="153">
        <v>1</v>
      </c>
      <c r="CG24" s="60"/>
      <c r="CH24" s="162">
        <v>1</v>
      </c>
      <c r="CI24" s="60">
        <v>0</v>
      </c>
      <c r="CJ24" s="60">
        <v>0</v>
      </c>
      <c r="CK24" s="60">
        <v>0</v>
      </c>
      <c r="CL24" s="242"/>
      <c r="CM24" s="60"/>
      <c r="CN24" s="60"/>
      <c r="CP24" s="95" t="s">
        <v>819</v>
      </c>
      <c r="CQ24" s="95"/>
      <c r="CR24" s="95"/>
      <c r="CS24" s="95" t="s">
        <v>32</v>
      </c>
      <c r="CT24" s="95"/>
      <c r="CU24" s="94">
        <f t="shared" si="20"/>
        <v>0</v>
      </c>
      <c r="CV24" s="94">
        <v>0</v>
      </c>
      <c r="CW24" s="339">
        <f t="shared" si="21"/>
        <v>0</v>
      </c>
      <c r="CX24" s="339">
        <f t="shared" si="22"/>
        <v>0</v>
      </c>
      <c r="CY24" s="339">
        <v>1</v>
      </c>
      <c r="CZ24" s="95" t="s">
        <v>32</v>
      </c>
      <c r="DA24" s="95" t="s">
        <v>32</v>
      </c>
      <c r="DB24" s="339">
        <f t="shared" si="23"/>
        <v>0</v>
      </c>
    </row>
    <row r="25" spans="2:106" ht="18.95" customHeight="1">
      <c r="B25" s="24">
        <v>13</v>
      </c>
      <c r="C25" s="25" t="str">
        <f t="shared" si="1"/>
        <v>9:30</v>
      </c>
      <c r="D25" s="25" t="str">
        <f t="shared" si="2"/>
        <v>18:15</v>
      </c>
      <c r="E25" s="91" t="str">
        <f t="shared" si="3"/>
        <v/>
      </c>
      <c r="F25" s="897" t="str">
        <f t="shared" si="4"/>
        <v/>
      </c>
      <c r="G25" s="897"/>
      <c r="H25" s="897"/>
      <c r="I25" s="897"/>
      <c r="J25" s="897"/>
      <c r="K25" s="82" t="str">
        <f t="shared" si="5"/>
        <v/>
      </c>
      <c r="L25" s="84" t="str">
        <f t="shared" si="6"/>
        <v/>
      </c>
      <c r="M25" s="86">
        <f t="shared" si="7"/>
        <v>0.32291666666666669</v>
      </c>
      <c r="N25" s="25" t="str">
        <f t="shared" si="8"/>
        <v/>
      </c>
      <c r="O25" s="25" t="str">
        <f t="shared" si="9"/>
        <v/>
      </c>
      <c r="P25" s="87" t="str">
        <f t="shared" si="10"/>
        <v/>
      </c>
      <c r="Q25" s="64"/>
      <c r="R25" s="26"/>
      <c r="S25" s="7"/>
      <c r="Y25" s="73">
        <f t="shared" si="11"/>
        <v>465</v>
      </c>
      <c r="Z25" s="73">
        <f t="shared" si="12"/>
        <v>0</v>
      </c>
      <c r="AA25" s="73">
        <f t="shared" si="13"/>
        <v>0</v>
      </c>
      <c r="AB25" s="73">
        <f t="shared" si="14"/>
        <v>0</v>
      </c>
      <c r="AC25" s="75">
        <f t="shared" si="15"/>
        <v>1</v>
      </c>
      <c r="AD25" s="75">
        <f t="shared" si="0"/>
        <v>0</v>
      </c>
      <c r="AE25" s="74">
        <f t="shared" si="16"/>
        <v>0</v>
      </c>
      <c r="AF25" s="74">
        <f t="shared" si="17"/>
        <v>0</v>
      </c>
      <c r="AG25" s="75">
        <f t="shared" si="18"/>
        <v>0</v>
      </c>
      <c r="AH25" s="243"/>
      <c r="AI25" s="94">
        <v>0</v>
      </c>
      <c r="AJ25" s="94">
        <v>0</v>
      </c>
      <c r="AK25" s="94">
        <v>0</v>
      </c>
      <c r="AL25" s="94"/>
      <c r="AM25" s="95" t="s">
        <v>817</v>
      </c>
      <c r="AN25" s="95" t="s">
        <v>818</v>
      </c>
      <c r="AO25" s="95"/>
      <c r="AP25" s="95"/>
      <c r="AQ25" s="95" t="s">
        <v>819</v>
      </c>
      <c r="AR25" s="95" t="s">
        <v>32</v>
      </c>
      <c r="AS25" s="95" t="s">
        <v>32</v>
      </c>
      <c r="AT25" s="95" t="s">
        <v>32</v>
      </c>
      <c r="AU25" s="95" t="s">
        <v>817</v>
      </c>
      <c r="AV25" s="95" t="s">
        <v>818</v>
      </c>
      <c r="AW25" s="95"/>
      <c r="AX25" s="95"/>
      <c r="AY25" s="95"/>
      <c r="AZ25" s="95"/>
      <c r="BA25" s="95"/>
      <c r="BB25" s="95"/>
      <c r="BC25" s="95" t="s">
        <v>820</v>
      </c>
      <c r="BD25" s="95"/>
      <c r="BE25" s="95"/>
      <c r="BF25" s="95"/>
      <c r="BG25" s="95"/>
      <c r="BH25" s="95"/>
      <c r="BI25" s="95"/>
      <c r="BJ25" s="95"/>
      <c r="BK25" s="95"/>
      <c r="BL25" s="95"/>
      <c r="BM25" s="95"/>
      <c r="BN25" s="95"/>
      <c r="BO25" s="95" t="s">
        <v>821</v>
      </c>
      <c r="BP25" s="95" t="s">
        <v>822</v>
      </c>
      <c r="BQ25" s="95"/>
      <c r="BR25" s="95" t="s">
        <v>823</v>
      </c>
      <c r="BS25" s="95" t="s">
        <v>821</v>
      </c>
      <c r="BT25" s="95" t="s">
        <v>822</v>
      </c>
      <c r="BU25" s="95"/>
      <c r="BV25" s="94">
        <v>0</v>
      </c>
      <c r="BW25" s="93">
        <f t="shared" si="19"/>
        <v>0</v>
      </c>
      <c r="BX25" s="94"/>
      <c r="BY25" s="94"/>
      <c r="BZ25" s="94"/>
      <c r="CA25" s="94">
        <v>0</v>
      </c>
      <c r="CB25" s="95"/>
      <c r="CC25" s="152"/>
      <c r="CD25" s="60"/>
      <c r="CE25" s="60"/>
      <c r="CF25" s="153">
        <v>1</v>
      </c>
      <c r="CG25" s="60"/>
      <c r="CH25" s="162">
        <v>1</v>
      </c>
      <c r="CI25" s="60">
        <v>0</v>
      </c>
      <c r="CJ25" s="60">
        <v>0</v>
      </c>
      <c r="CK25" s="60">
        <v>0</v>
      </c>
      <c r="CL25" s="242"/>
      <c r="CM25" s="242"/>
      <c r="CN25" s="60"/>
      <c r="CP25" s="95" t="s">
        <v>819</v>
      </c>
      <c r="CQ25" s="95"/>
      <c r="CR25" s="95"/>
      <c r="CS25" s="95" t="s">
        <v>32</v>
      </c>
      <c r="CT25" s="95"/>
      <c r="CU25" s="94">
        <f t="shared" si="20"/>
        <v>0</v>
      </c>
      <c r="CV25" s="94">
        <v>0</v>
      </c>
      <c r="CW25" s="339">
        <f t="shared" si="21"/>
        <v>0</v>
      </c>
      <c r="CX25" s="339">
        <f t="shared" si="22"/>
        <v>0</v>
      </c>
      <c r="CY25" s="339">
        <v>1</v>
      </c>
      <c r="CZ25" s="95" t="s">
        <v>32</v>
      </c>
      <c r="DA25" s="95" t="s">
        <v>32</v>
      </c>
      <c r="DB25" s="339">
        <f t="shared" si="23"/>
        <v>0</v>
      </c>
    </row>
    <row r="26" spans="2:106" ht="18.95" customHeight="1">
      <c r="B26" s="24">
        <v>14</v>
      </c>
      <c r="C26" s="25" t="str">
        <f t="shared" si="1"/>
        <v>9:30</v>
      </c>
      <c r="D26" s="25" t="str">
        <f t="shared" si="2"/>
        <v>19:30</v>
      </c>
      <c r="E26" s="91" t="str">
        <f t="shared" si="3"/>
        <v/>
      </c>
      <c r="F26" s="897" t="str">
        <f t="shared" si="4"/>
        <v/>
      </c>
      <c r="G26" s="897"/>
      <c r="H26" s="897"/>
      <c r="I26" s="897"/>
      <c r="J26" s="897"/>
      <c r="K26" s="82">
        <f t="shared" si="5"/>
        <v>45</v>
      </c>
      <c r="L26" s="84" t="str">
        <f t="shared" si="6"/>
        <v/>
      </c>
      <c r="M26" s="86">
        <f t="shared" si="7"/>
        <v>0.35416666666666669</v>
      </c>
      <c r="N26" s="25" t="str">
        <f t="shared" si="8"/>
        <v/>
      </c>
      <c r="O26" s="25" t="str">
        <f t="shared" si="9"/>
        <v/>
      </c>
      <c r="P26" s="87" t="str">
        <f t="shared" si="10"/>
        <v/>
      </c>
      <c r="Q26" s="64"/>
      <c r="R26" s="26"/>
      <c r="S26" s="7"/>
      <c r="Y26" s="73">
        <f t="shared" si="11"/>
        <v>510</v>
      </c>
      <c r="Z26" s="73">
        <f t="shared" si="12"/>
        <v>0</v>
      </c>
      <c r="AA26" s="73">
        <f t="shared" si="13"/>
        <v>0</v>
      </c>
      <c r="AB26" s="73">
        <f t="shared" si="14"/>
        <v>0</v>
      </c>
      <c r="AC26" s="75">
        <f t="shared" si="15"/>
        <v>1</v>
      </c>
      <c r="AD26" s="75">
        <f t="shared" si="0"/>
        <v>0</v>
      </c>
      <c r="AE26" s="74">
        <f t="shared" si="16"/>
        <v>0</v>
      </c>
      <c r="AF26" s="74">
        <f t="shared" si="17"/>
        <v>0</v>
      </c>
      <c r="AG26" s="75">
        <f t="shared" si="18"/>
        <v>0</v>
      </c>
      <c r="AH26" s="243"/>
      <c r="AI26" s="94">
        <v>45</v>
      </c>
      <c r="AJ26" s="94">
        <v>0</v>
      </c>
      <c r="AK26" s="94">
        <v>0</v>
      </c>
      <c r="AL26" s="94"/>
      <c r="AM26" s="95" t="s">
        <v>851</v>
      </c>
      <c r="AN26" s="95" t="s">
        <v>856</v>
      </c>
      <c r="AO26" s="95"/>
      <c r="AP26" s="95"/>
      <c r="AQ26" s="95" t="s">
        <v>857</v>
      </c>
      <c r="AR26" s="95" t="s">
        <v>32</v>
      </c>
      <c r="AS26" s="95" t="s">
        <v>32</v>
      </c>
      <c r="AT26" s="95" t="s">
        <v>32</v>
      </c>
      <c r="AU26" s="95" t="s">
        <v>851</v>
      </c>
      <c r="AV26" s="95" t="s">
        <v>856</v>
      </c>
      <c r="AW26" s="95"/>
      <c r="AX26" s="95"/>
      <c r="AY26" s="95"/>
      <c r="AZ26" s="95"/>
      <c r="BA26" s="95"/>
      <c r="BB26" s="95"/>
      <c r="BC26" s="95" t="s">
        <v>858</v>
      </c>
      <c r="BD26" s="95"/>
      <c r="BE26" s="95"/>
      <c r="BF26" s="95"/>
      <c r="BG26" s="95"/>
      <c r="BH26" s="95"/>
      <c r="BI26" s="95"/>
      <c r="BJ26" s="95"/>
      <c r="BK26" s="95"/>
      <c r="BL26" s="95"/>
      <c r="BM26" s="95"/>
      <c r="BN26" s="95"/>
      <c r="BO26" s="95" t="s">
        <v>852</v>
      </c>
      <c r="BP26" s="95" t="s">
        <v>853</v>
      </c>
      <c r="BQ26" s="95"/>
      <c r="BR26" s="95" t="s">
        <v>854</v>
      </c>
      <c r="BS26" s="95" t="s">
        <v>852</v>
      </c>
      <c r="BT26" s="95" t="s">
        <v>853</v>
      </c>
      <c r="BU26" s="95"/>
      <c r="BV26" s="94">
        <v>0</v>
      </c>
      <c r="BW26" s="93">
        <f t="shared" si="19"/>
        <v>0</v>
      </c>
      <c r="BX26" s="94"/>
      <c r="BY26" s="94"/>
      <c r="BZ26" s="94"/>
      <c r="CA26" s="94">
        <v>0</v>
      </c>
      <c r="CB26" s="95"/>
      <c r="CC26" s="152"/>
      <c r="CD26" s="60" t="s">
        <v>32</v>
      </c>
      <c r="CE26" s="60"/>
      <c r="CF26" s="153">
        <v>1</v>
      </c>
      <c r="CG26" s="60"/>
      <c r="CH26" s="162">
        <v>1</v>
      </c>
      <c r="CI26" s="60">
        <v>0</v>
      </c>
      <c r="CJ26" s="60">
        <v>0</v>
      </c>
      <c r="CK26" s="60">
        <v>0</v>
      </c>
      <c r="CL26" s="242"/>
      <c r="CM26" s="242"/>
      <c r="CN26" s="60"/>
      <c r="CP26" s="95" t="s">
        <v>855</v>
      </c>
      <c r="CQ26" s="95"/>
      <c r="CR26" s="95"/>
      <c r="CS26" s="95" t="s">
        <v>32</v>
      </c>
      <c r="CT26" s="95"/>
      <c r="CU26" s="94">
        <f t="shared" si="20"/>
        <v>0</v>
      </c>
      <c r="CV26" s="94">
        <v>0</v>
      </c>
      <c r="CW26" s="339">
        <f t="shared" si="21"/>
        <v>0</v>
      </c>
      <c r="CX26" s="339">
        <f t="shared" si="22"/>
        <v>0</v>
      </c>
      <c r="CY26" s="339">
        <v>1</v>
      </c>
      <c r="CZ26" s="95" t="s">
        <v>32</v>
      </c>
      <c r="DA26" s="95" t="s">
        <v>32</v>
      </c>
      <c r="DB26" s="339">
        <f t="shared" si="23"/>
        <v>0</v>
      </c>
    </row>
    <row r="27" spans="2:106" ht="18.95" customHeight="1" thickBot="1">
      <c r="B27" s="27">
        <v>15</v>
      </c>
      <c r="C27" s="28" t="str">
        <f t="shared" si="1"/>
        <v>9:30</v>
      </c>
      <c r="D27" s="28" t="str">
        <f t="shared" si="2"/>
        <v>16:30</v>
      </c>
      <c r="E27" s="92" t="str">
        <f t="shared" si="3"/>
        <v/>
      </c>
      <c r="F27" s="898" t="str">
        <f t="shared" si="4"/>
        <v/>
      </c>
      <c r="G27" s="898"/>
      <c r="H27" s="898"/>
      <c r="I27" s="898"/>
      <c r="J27" s="898"/>
      <c r="K27" s="83" t="str">
        <f t="shared" si="5"/>
        <v/>
      </c>
      <c r="L27" s="85" t="str">
        <f t="shared" si="6"/>
        <v/>
      </c>
      <c r="M27" s="88">
        <f t="shared" si="7"/>
        <v>0.25</v>
      </c>
      <c r="N27" s="28" t="str">
        <f t="shared" si="8"/>
        <v/>
      </c>
      <c r="O27" s="28" t="str">
        <f t="shared" si="9"/>
        <v/>
      </c>
      <c r="P27" s="89" t="str">
        <f t="shared" si="10"/>
        <v/>
      </c>
      <c r="Q27" s="65"/>
      <c r="R27" s="29"/>
      <c r="S27" s="7"/>
      <c r="Y27" s="73">
        <f t="shared" si="11"/>
        <v>360</v>
      </c>
      <c r="Z27" s="73">
        <f t="shared" si="12"/>
        <v>0</v>
      </c>
      <c r="AA27" s="73">
        <f t="shared" si="13"/>
        <v>0</v>
      </c>
      <c r="AB27" s="73">
        <f t="shared" si="14"/>
        <v>0</v>
      </c>
      <c r="AC27" s="75">
        <f t="shared" si="15"/>
        <v>1</v>
      </c>
      <c r="AD27" s="75">
        <f t="shared" si="0"/>
        <v>0</v>
      </c>
      <c r="AE27" s="74">
        <f t="shared" si="16"/>
        <v>0</v>
      </c>
      <c r="AF27" s="74">
        <f t="shared" si="17"/>
        <v>0</v>
      </c>
      <c r="AG27" s="75">
        <f t="shared" si="18"/>
        <v>0</v>
      </c>
      <c r="AH27" s="243"/>
      <c r="AI27" s="94">
        <v>0</v>
      </c>
      <c r="AJ27" s="94">
        <v>0</v>
      </c>
      <c r="AK27" s="94">
        <v>0</v>
      </c>
      <c r="AL27" s="94"/>
      <c r="AM27" s="95" t="s">
        <v>859</v>
      </c>
      <c r="AN27" s="95" t="s">
        <v>860</v>
      </c>
      <c r="AO27" s="95"/>
      <c r="AP27" s="95"/>
      <c r="AQ27" s="95" t="s">
        <v>861</v>
      </c>
      <c r="AR27" s="95" t="s">
        <v>32</v>
      </c>
      <c r="AS27" s="95" t="s">
        <v>32</v>
      </c>
      <c r="AT27" s="95" t="s">
        <v>32</v>
      </c>
      <c r="AU27" s="95" t="s">
        <v>859</v>
      </c>
      <c r="AV27" s="95" t="s">
        <v>860</v>
      </c>
      <c r="AW27" s="95"/>
      <c r="AX27" s="95"/>
      <c r="AY27" s="95"/>
      <c r="AZ27" s="95"/>
      <c r="BA27" s="95"/>
      <c r="BB27" s="95"/>
      <c r="BC27" s="95" t="s">
        <v>862</v>
      </c>
      <c r="BD27" s="95"/>
      <c r="BE27" s="95"/>
      <c r="BF27" s="95"/>
      <c r="BG27" s="95"/>
      <c r="BH27" s="95"/>
      <c r="BI27" s="95"/>
      <c r="BJ27" s="95"/>
      <c r="BK27" s="95"/>
      <c r="BL27" s="95"/>
      <c r="BM27" s="95"/>
      <c r="BN27" s="95"/>
      <c r="BO27" s="95" t="s">
        <v>863</v>
      </c>
      <c r="BP27" s="95" t="s">
        <v>864</v>
      </c>
      <c r="BQ27" s="95"/>
      <c r="BR27" s="95" t="s">
        <v>865</v>
      </c>
      <c r="BS27" s="95" t="s">
        <v>863</v>
      </c>
      <c r="BT27" s="95" t="s">
        <v>864</v>
      </c>
      <c r="BU27" s="95"/>
      <c r="BV27" s="94">
        <v>0</v>
      </c>
      <c r="BW27" s="93">
        <f t="shared" si="19"/>
        <v>0</v>
      </c>
      <c r="BX27" s="94"/>
      <c r="BY27" s="94"/>
      <c r="BZ27" s="94"/>
      <c r="CA27" s="94">
        <v>0</v>
      </c>
      <c r="CB27" s="95"/>
      <c r="CC27" s="152"/>
      <c r="CD27" s="60"/>
      <c r="CE27" s="60"/>
      <c r="CF27" s="153">
        <v>1</v>
      </c>
      <c r="CG27" s="60"/>
      <c r="CH27" s="162">
        <v>1</v>
      </c>
      <c r="CI27" s="60">
        <v>0</v>
      </c>
      <c r="CJ27" s="60">
        <v>0</v>
      </c>
      <c r="CK27" s="60">
        <v>0</v>
      </c>
      <c r="CL27" s="242"/>
      <c r="CM27" s="60"/>
      <c r="CN27" s="60"/>
      <c r="CP27" s="95" t="s">
        <v>866</v>
      </c>
      <c r="CQ27" s="95"/>
      <c r="CR27" s="95"/>
      <c r="CS27" s="95" t="s">
        <v>32</v>
      </c>
      <c r="CT27" s="95"/>
      <c r="CU27" s="94">
        <f t="shared" si="20"/>
        <v>0</v>
      </c>
      <c r="CV27" s="94">
        <v>0</v>
      </c>
      <c r="CW27" s="339">
        <f t="shared" si="21"/>
        <v>0</v>
      </c>
      <c r="CX27" s="339">
        <f t="shared" si="22"/>
        <v>0</v>
      </c>
      <c r="CY27" s="339">
        <v>1</v>
      </c>
      <c r="CZ27" s="95" t="s">
        <v>32</v>
      </c>
      <c r="DA27" s="95" t="s">
        <v>32</v>
      </c>
      <c r="DB27" s="339">
        <f t="shared" si="23"/>
        <v>0</v>
      </c>
    </row>
    <row r="28" spans="2:106" ht="18.95" customHeight="1">
      <c r="B28" s="21">
        <v>16</v>
      </c>
      <c r="C28" s="22" t="str">
        <f t="shared" si="1"/>
        <v/>
      </c>
      <c r="D28" s="22" t="str">
        <f t="shared" si="2"/>
        <v/>
      </c>
      <c r="E28" s="90" t="str">
        <f t="shared" si="3"/>
        <v/>
      </c>
      <c r="F28" s="899" t="str">
        <f t="shared" si="4"/>
        <v/>
      </c>
      <c r="G28" s="899"/>
      <c r="H28" s="899"/>
      <c r="I28" s="899"/>
      <c r="J28" s="899"/>
      <c r="K28" s="78" t="str">
        <f t="shared" si="5"/>
        <v/>
      </c>
      <c r="L28" s="79" t="str">
        <f t="shared" si="6"/>
        <v/>
      </c>
      <c r="M28" s="80" t="str">
        <f t="shared" si="7"/>
        <v/>
      </c>
      <c r="N28" s="22" t="str">
        <f t="shared" si="8"/>
        <v/>
      </c>
      <c r="O28" s="22" t="str">
        <f t="shared" si="9"/>
        <v/>
      </c>
      <c r="P28" s="81" t="str">
        <f t="shared" si="10"/>
        <v/>
      </c>
      <c r="Q28" s="63"/>
      <c r="R28" s="23"/>
      <c r="S28" s="7"/>
      <c r="Y28" s="73">
        <f t="shared" si="11"/>
        <v>0</v>
      </c>
      <c r="Z28" s="73">
        <f t="shared" si="12"/>
        <v>0</v>
      </c>
      <c r="AA28" s="73">
        <f t="shared" si="13"/>
        <v>0</v>
      </c>
      <c r="AB28" s="73">
        <f t="shared" si="14"/>
        <v>0</v>
      </c>
      <c r="AC28" s="75">
        <f t="shared" si="15"/>
        <v>0</v>
      </c>
      <c r="AD28" s="75">
        <f t="shared" si="0"/>
        <v>0</v>
      </c>
      <c r="AE28" s="74">
        <f t="shared" si="16"/>
        <v>0</v>
      </c>
      <c r="AF28" s="74">
        <f t="shared" si="17"/>
        <v>0</v>
      </c>
      <c r="AG28" s="75">
        <f t="shared" si="18"/>
        <v>0</v>
      </c>
      <c r="AH28" s="243"/>
      <c r="AI28" s="94"/>
      <c r="AJ28" s="94"/>
      <c r="AK28" s="94"/>
      <c r="AL28" s="94"/>
      <c r="AM28" s="95"/>
      <c r="AN28" s="95"/>
      <c r="AO28" s="95"/>
      <c r="AP28" s="95"/>
      <c r="AQ28" s="95"/>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4"/>
      <c r="BW28" s="93">
        <f t="shared" si="19"/>
        <v>0</v>
      </c>
      <c r="BX28" s="94"/>
      <c r="BY28" s="94"/>
      <c r="BZ28" s="94"/>
      <c r="CA28" s="94"/>
      <c r="CB28" s="95"/>
      <c r="CC28" s="152"/>
      <c r="CD28" s="60"/>
      <c r="CE28" s="60"/>
      <c r="CF28" s="153"/>
      <c r="CG28" s="60"/>
      <c r="CH28" s="162"/>
      <c r="CI28" s="60"/>
      <c r="CJ28" s="60"/>
      <c r="CK28" s="60"/>
      <c r="CL28" s="242"/>
      <c r="CM28" s="60"/>
      <c r="CN28" s="60"/>
      <c r="CP28" s="95"/>
      <c r="CQ28" s="95"/>
      <c r="CR28" s="95"/>
      <c r="CS28" s="95"/>
      <c r="CT28" s="95"/>
      <c r="CU28" s="94">
        <f t="shared" si="20"/>
        <v>0</v>
      </c>
      <c r="CV28" s="94">
        <v>0</v>
      </c>
      <c r="CW28" s="339">
        <f t="shared" si="21"/>
        <v>0</v>
      </c>
      <c r="CX28" s="339">
        <f t="shared" si="22"/>
        <v>0</v>
      </c>
      <c r="CY28" s="339">
        <v>0</v>
      </c>
      <c r="CZ28" s="95"/>
      <c r="DA28" s="95"/>
      <c r="DB28" s="339">
        <f t="shared" si="23"/>
        <v>0</v>
      </c>
    </row>
    <row r="29" spans="2:106" ht="18.95" customHeight="1">
      <c r="B29" s="24">
        <v>17</v>
      </c>
      <c r="C29" s="25" t="str">
        <f t="shared" si="1"/>
        <v/>
      </c>
      <c r="D29" s="25" t="str">
        <f t="shared" si="2"/>
        <v/>
      </c>
      <c r="E29" s="91" t="str">
        <f t="shared" si="3"/>
        <v/>
      </c>
      <c r="F29" s="897" t="str">
        <f t="shared" si="4"/>
        <v/>
      </c>
      <c r="G29" s="897"/>
      <c r="H29" s="897"/>
      <c r="I29" s="897"/>
      <c r="J29" s="897"/>
      <c r="K29" s="82" t="str">
        <f t="shared" si="5"/>
        <v/>
      </c>
      <c r="L29" s="84" t="str">
        <f t="shared" si="6"/>
        <v/>
      </c>
      <c r="M29" s="86" t="str">
        <f t="shared" si="7"/>
        <v/>
      </c>
      <c r="N29" s="25" t="str">
        <f t="shared" si="8"/>
        <v/>
      </c>
      <c r="O29" s="25" t="str">
        <f t="shared" si="9"/>
        <v/>
      </c>
      <c r="P29" s="87" t="str">
        <f t="shared" si="10"/>
        <v/>
      </c>
      <c r="Q29" s="64"/>
      <c r="R29" s="26"/>
      <c r="S29" s="7"/>
      <c r="Y29" s="73">
        <f t="shared" si="11"/>
        <v>0</v>
      </c>
      <c r="Z29" s="73">
        <f t="shared" si="12"/>
        <v>0</v>
      </c>
      <c r="AA29" s="73">
        <f t="shared" si="13"/>
        <v>0</v>
      </c>
      <c r="AB29" s="73">
        <f t="shared" si="14"/>
        <v>0</v>
      </c>
      <c r="AC29" s="75">
        <f t="shared" si="15"/>
        <v>0</v>
      </c>
      <c r="AD29" s="75">
        <f t="shared" si="0"/>
        <v>0</v>
      </c>
      <c r="AE29" s="74">
        <f t="shared" si="16"/>
        <v>0</v>
      </c>
      <c r="AF29" s="74">
        <f t="shared" si="17"/>
        <v>0</v>
      </c>
      <c r="AG29" s="75">
        <f t="shared" si="18"/>
        <v>0</v>
      </c>
      <c r="AH29" s="243"/>
      <c r="AI29" s="94"/>
      <c r="AJ29" s="94"/>
      <c r="AK29" s="94"/>
      <c r="AL29" s="94"/>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4"/>
      <c r="BW29" s="93">
        <f t="shared" si="19"/>
        <v>0</v>
      </c>
      <c r="BX29" s="94"/>
      <c r="BY29" s="94"/>
      <c r="BZ29" s="94"/>
      <c r="CA29" s="94"/>
      <c r="CB29" s="95"/>
      <c r="CC29" s="152"/>
      <c r="CD29" s="60"/>
      <c r="CE29" s="60"/>
      <c r="CF29" s="153"/>
      <c r="CG29" s="60"/>
      <c r="CH29" s="162"/>
      <c r="CI29" s="60"/>
      <c r="CJ29" s="60"/>
      <c r="CK29" s="60"/>
      <c r="CL29" s="242"/>
      <c r="CM29" s="242"/>
      <c r="CN29" s="60"/>
      <c r="CP29" s="95"/>
      <c r="CQ29" s="95"/>
      <c r="CR29" s="95"/>
      <c r="CS29" s="95"/>
      <c r="CT29" s="95"/>
      <c r="CU29" s="94">
        <f t="shared" si="20"/>
        <v>0</v>
      </c>
      <c r="CV29" s="94">
        <v>0</v>
      </c>
      <c r="CW29" s="339">
        <f t="shared" si="21"/>
        <v>0</v>
      </c>
      <c r="CX29" s="339">
        <f t="shared" si="22"/>
        <v>0</v>
      </c>
      <c r="CY29" s="339">
        <v>0</v>
      </c>
      <c r="CZ29" s="95"/>
      <c r="DA29" s="95"/>
      <c r="DB29" s="339">
        <f t="shared" si="23"/>
        <v>0</v>
      </c>
    </row>
    <row r="30" spans="2:106" ht="18.95" customHeight="1">
      <c r="B30" s="24">
        <v>18</v>
      </c>
      <c r="C30" s="25" t="str">
        <f t="shared" si="1"/>
        <v>9:30</v>
      </c>
      <c r="D30" s="25" t="str">
        <f t="shared" si="2"/>
        <v>18:15</v>
      </c>
      <c r="E30" s="91" t="str">
        <f t="shared" si="3"/>
        <v/>
      </c>
      <c r="F30" s="897" t="str">
        <f t="shared" si="4"/>
        <v/>
      </c>
      <c r="G30" s="897"/>
      <c r="H30" s="897"/>
      <c r="I30" s="897"/>
      <c r="J30" s="897"/>
      <c r="K30" s="82" t="str">
        <f t="shared" si="5"/>
        <v/>
      </c>
      <c r="L30" s="84" t="str">
        <f t="shared" si="6"/>
        <v/>
      </c>
      <c r="M30" s="86">
        <f t="shared" si="7"/>
        <v>0.32291666666666669</v>
      </c>
      <c r="N30" s="25" t="str">
        <f t="shared" si="8"/>
        <v/>
      </c>
      <c r="O30" s="25" t="str">
        <f t="shared" si="9"/>
        <v/>
      </c>
      <c r="P30" s="87" t="str">
        <f t="shared" si="10"/>
        <v/>
      </c>
      <c r="Q30" s="64"/>
      <c r="R30" s="26"/>
      <c r="S30" s="7"/>
      <c r="Y30" s="73">
        <f t="shared" si="11"/>
        <v>465</v>
      </c>
      <c r="Z30" s="73">
        <f t="shared" si="12"/>
        <v>0</v>
      </c>
      <c r="AA30" s="73">
        <f t="shared" si="13"/>
        <v>0</v>
      </c>
      <c r="AB30" s="73">
        <f t="shared" si="14"/>
        <v>0</v>
      </c>
      <c r="AC30" s="75">
        <f t="shared" si="15"/>
        <v>1</v>
      </c>
      <c r="AD30" s="75">
        <f t="shared" si="0"/>
        <v>0</v>
      </c>
      <c r="AE30" s="74">
        <f t="shared" si="16"/>
        <v>0</v>
      </c>
      <c r="AF30" s="74">
        <f t="shared" si="17"/>
        <v>0</v>
      </c>
      <c r="AG30" s="75">
        <f t="shared" si="18"/>
        <v>0</v>
      </c>
      <c r="AH30" s="96"/>
      <c r="AI30" s="94">
        <v>0</v>
      </c>
      <c r="AJ30" s="94">
        <v>0</v>
      </c>
      <c r="AK30" s="94">
        <v>0</v>
      </c>
      <c r="AL30" s="94"/>
      <c r="AM30" s="95" t="s">
        <v>817</v>
      </c>
      <c r="AN30" s="95" t="s">
        <v>818</v>
      </c>
      <c r="AO30" s="95"/>
      <c r="AP30" s="95"/>
      <c r="AQ30" s="95" t="s">
        <v>819</v>
      </c>
      <c r="AR30" s="95" t="s">
        <v>32</v>
      </c>
      <c r="AS30" s="95" t="s">
        <v>32</v>
      </c>
      <c r="AT30" s="95" t="s">
        <v>32</v>
      </c>
      <c r="AU30" s="95" t="s">
        <v>817</v>
      </c>
      <c r="AV30" s="95" t="s">
        <v>818</v>
      </c>
      <c r="AW30" s="95"/>
      <c r="AX30" s="95"/>
      <c r="AY30" s="95"/>
      <c r="AZ30" s="95"/>
      <c r="BA30" s="95"/>
      <c r="BB30" s="95"/>
      <c r="BC30" s="95" t="s">
        <v>820</v>
      </c>
      <c r="BD30" s="95"/>
      <c r="BE30" s="95"/>
      <c r="BF30" s="95"/>
      <c r="BG30" s="95"/>
      <c r="BH30" s="95"/>
      <c r="BI30" s="95"/>
      <c r="BJ30" s="95"/>
      <c r="BK30" s="95"/>
      <c r="BL30" s="95"/>
      <c r="BM30" s="95"/>
      <c r="BN30" s="95"/>
      <c r="BO30" s="95" t="s">
        <v>821</v>
      </c>
      <c r="BP30" s="95" t="s">
        <v>822</v>
      </c>
      <c r="BQ30" s="95"/>
      <c r="BR30" s="95" t="s">
        <v>823</v>
      </c>
      <c r="BS30" s="95" t="s">
        <v>821</v>
      </c>
      <c r="BT30" s="95" t="s">
        <v>822</v>
      </c>
      <c r="BU30" s="95"/>
      <c r="BV30" s="94">
        <v>0</v>
      </c>
      <c r="BW30" s="93">
        <f t="shared" si="19"/>
        <v>0</v>
      </c>
      <c r="BX30" s="94"/>
      <c r="BY30" s="94"/>
      <c r="BZ30" s="94"/>
      <c r="CA30" s="94">
        <v>0</v>
      </c>
      <c r="CB30" s="95"/>
      <c r="CC30" s="152"/>
      <c r="CD30" s="60"/>
      <c r="CE30" s="60"/>
      <c r="CF30" s="153">
        <v>1</v>
      </c>
      <c r="CG30" s="60"/>
      <c r="CH30" s="162">
        <v>1</v>
      </c>
      <c r="CI30" s="60">
        <v>0</v>
      </c>
      <c r="CJ30" s="60">
        <v>0</v>
      </c>
      <c r="CK30" s="60">
        <v>0</v>
      </c>
      <c r="CL30" s="242"/>
      <c r="CM30" s="242"/>
      <c r="CN30" s="60"/>
      <c r="CP30" s="95" t="s">
        <v>819</v>
      </c>
      <c r="CQ30" s="95"/>
      <c r="CR30" s="95"/>
      <c r="CS30" s="95" t="s">
        <v>32</v>
      </c>
      <c r="CT30" s="95"/>
      <c r="CU30" s="94">
        <f t="shared" si="20"/>
        <v>0</v>
      </c>
      <c r="CV30" s="94">
        <v>0</v>
      </c>
      <c r="CW30" s="339">
        <f t="shared" si="21"/>
        <v>0</v>
      </c>
      <c r="CX30" s="339">
        <f t="shared" si="22"/>
        <v>0</v>
      </c>
      <c r="CY30" s="339">
        <v>1</v>
      </c>
      <c r="CZ30" s="95" t="s">
        <v>32</v>
      </c>
      <c r="DA30" s="95" t="s">
        <v>32</v>
      </c>
      <c r="DB30" s="339">
        <f t="shared" si="23"/>
        <v>0</v>
      </c>
    </row>
    <row r="31" spans="2:106" ht="18.95" customHeight="1">
      <c r="B31" s="24">
        <v>19</v>
      </c>
      <c r="C31" s="25" t="str">
        <f t="shared" si="1"/>
        <v>9:30</v>
      </c>
      <c r="D31" s="25" t="str">
        <f t="shared" si="2"/>
        <v>18:15</v>
      </c>
      <c r="E31" s="91" t="str">
        <f t="shared" si="3"/>
        <v/>
      </c>
      <c r="F31" s="897" t="str">
        <f t="shared" si="4"/>
        <v/>
      </c>
      <c r="G31" s="897"/>
      <c r="H31" s="897"/>
      <c r="I31" s="897"/>
      <c r="J31" s="897"/>
      <c r="K31" s="82" t="str">
        <f t="shared" si="5"/>
        <v/>
      </c>
      <c r="L31" s="84" t="str">
        <f t="shared" si="6"/>
        <v/>
      </c>
      <c r="M31" s="86">
        <f t="shared" si="7"/>
        <v>0.32291666666666669</v>
      </c>
      <c r="N31" s="25" t="str">
        <f t="shared" si="8"/>
        <v/>
      </c>
      <c r="O31" s="25" t="str">
        <f t="shared" si="9"/>
        <v/>
      </c>
      <c r="P31" s="87" t="str">
        <f t="shared" si="10"/>
        <v/>
      </c>
      <c r="Q31" s="64"/>
      <c r="R31" s="26"/>
      <c r="S31" s="7"/>
      <c r="Y31" s="73">
        <f t="shared" si="11"/>
        <v>465</v>
      </c>
      <c r="Z31" s="73">
        <f t="shared" si="12"/>
        <v>0</v>
      </c>
      <c r="AA31" s="73">
        <f t="shared" si="13"/>
        <v>0</v>
      </c>
      <c r="AB31" s="73">
        <f t="shared" si="14"/>
        <v>0</v>
      </c>
      <c r="AC31" s="75">
        <f t="shared" si="15"/>
        <v>1</v>
      </c>
      <c r="AD31" s="75">
        <f t="shared" si="0"/>
        <v>0</v>
      </c>
      <c r="AE31" s="74">
        <f t="shared" si="16"/>
        <v>0</v>
      </c>
      <c r="AF31" s="74">
        <f t="shared" si="17"/>
        <v>0</v>
      </c>
      <c r="AG31" s="75">
        <f t="shared" si="18"/>
        <v>0</v>
      </c>
      <c r="AH31" s="243"/>
      <c r="AI31" s="94">
        <v>0</v>
      </c>
      <c r="AJ31" s="94">
        <v>0</v>
      </c>
      <c r="AK31" s="94">
        <v>0</v>
      </c>
      <c r="AL31" s="94"/>
      <c r="AM31" s="95" t="s">
        <v>817</v>
      </c>
      <c r="AN31" s="95" t="s">
        <v>818</v>
      </c>
      <c r="AO31" s="95"/>
      <c r="AP31" s="95"/>
      <c r="AQ31" s="95" t="s">
        <v>819</v>
      </c>
      <c r="AR31" s="95" t="s">
        <v>32</v>
      </c>
      <c r="AS31" s="95" t="s">
        <v>32</v>
      </c>
      <c r="AT31" s="95" t="s">
        <v>32</v>
      </c>
      <c r="AU31" s="95" t="s">
        <v>817</v>
      </c>
      <c r="AV31" s="95" t="s">
        <v>818</v>
      </c>
      <c r="AW31" s="95"/>
      <c r="AX31" s="95"/>
      <c r="AY31" s="95"/>
      <c r="AZ31" s="95"/>
      <c r="BA31" s="95"/>
      <c r="BB31" s="95"/>
      <c r="BC31" s="95" t="s">
        <v>820</v>
      </c>
      <c r="BD31" s="95"/>
      <c r="BE31" s="95"/>
      <c r="BF31" s="95"/>
      <c r="BG31" s="95"/>
      <c r="BH31" s="95"/>
      <c r="BI31" s="95"/>
      <c r="BJ31" s="95"/>
      <c r="BK31" s="95"/>
      <c r="BL31" s="95"/>
      <c r="BM31" s="95"/>
      <c r="BN31" s="95"/>
      <c r="BO31" s="95" t="s">
        <v>821</v>
      </c>
      <c r="BP31" s="95" t="s">
        <v>822</v>
      </c>
      <c r="BQ31" s="95"/>
      <c r="BR31" s="95" t="s">
        <v>823</v>
      </c>
      <c r="BS31" s="95" t="s">
        <v>821</v>
      </c>
      <c r="BT31" s="95" t="s">
        <v>822</v>
      </c>
      <c r="BU31" s="95"/>
      <c r="BV31" s="94">
        <v>0</v>
      </c>
      <c r="BW31" s="93">
        <f t="shared" si="19"/>
        <v>0</v>
      </c>
      <c r="BX31" s="94"/>
      <c r="BY31" s="94"/>
      <c r="BZ31" s="94"/>
      <c r="CA31" s="94">
        <v>0</v>
      </c>
      <c r="CB31" s="95"/>
      <c r="CC31" s="152"/>
      <c r="CD31" s="60"/>
      <c r="CE31" s="60"/>
      <c r="CF31" s="153">
        <v>1</v>
      </c>
      <c r="CG31" s="60"/>
      <c r="CH31" s="162">
        <v>1</v>
      </c>
      <c r="CI31" s="60">
        <v>0</v>
      </c>
      <c r="CJ31" s="60">
        <v>0</v>
      </c>
      <c r="CK31" s="60">
        <v>0</v>
      </c>
      <c r="CL31" s="242"/>
      <c r="CM31" s="242"/>
      <c r="CN31" s="60"/>
      <c r="CP31" s="95" t="s">
        <v>819</v>
      </c>
      <c r="CQ31" s="95"/>
      <c r="CR31" s="95"/>
      <c r="CS31" s="95" t="s">
        <v>32</v>
      </c>
      <c r="CT31" s="95"/>
      <c r="CU31" s="94">
        <f t="shared" si="20"/>
        <v>0</v>
      </c>
      <c r="CV31" s="94">
        <v>0</v>
      </c>
      <c r="CW31" s="339">
        <f t="shared" si="21"/>
        <v>0</v>
      </c>
      <c r="CX31" s="339">
        <f t="shared" si="22"/>
        <v>0</v>
      </c>
      <c r="CY31" s="339">
        <v>1</v>
      </c>
      <c r="CZ31" s="95" t="s">
        <v>32</v>
      </c>
      <c r="DA31" s="95" t="s">
        <v>32</v>
      </c>
      <c r="DB31" s="339">
        <f t="shared" si="23"/>
        <v>0</v>
      </c>
    </row>
    <row r="32" spans="2:106" ht="18.95" customHeight="1" thickBot="1">
      <c r="B32" s="27">
        <v>20</v>
      </c>
      <c r="C32" s="28" t="str">
        <f t="shared" si="1"/>
        <v>9:30</v>
      </c>
      <c r="D32" s="28" t="str">
        <f t="shared" si="2"/>
        <v>18:15</v>
      </c>
      <c r="E32" s="92" t="str">
        <f t="shared" si="3"/>
        <v/>
      </c>
      <c r="F32" s="898" t="str">
        <f t="shared" si="4"/>
        <v/>
      </c>
      <c r="G32" s="898"/>
      <c r="H32" s="898"/>
      <c r="I32" s="898"/>
      <c r="J32" s="898"/>
      <c r="K32" s="83" t="str">
        <f t="shared" si="5"/>
        <v/>
      </c>
      <c r="L32" s="85" t="str">
        <f t="shared" si="6"/>
        <v/>
      </c>
      <c r="M32" s="88">
        <f t="shared" si="7"/>
        <v>0.32291666666666669</v>
      </c>
      <c r="N32" s="28" t="str">
        <f t="shared" si="8"/>
        <v/>
      </c>
      <c r="O32" s="28" t="str">
        <f t="shared" si="9"/>
        <v/>
      </c>
      <c r="P32" s="89" t="str">
        <f t="shared" si="10"/>
        <v/>
      </c>
      <c r="Q32" s="65"/>
      <c r="R32" s="29"/>
      <c r="S32" s="7"/>
      <c r="Y32" s="73">
        <f t="shared" si="11"/>
        <v>465</v>
      </c>
      <c r="Z32" s="73">
        <f t="shared" si="12"/>
        <v>0</v>
      </c>
      <c r="AA32" s="73">
        <f t="shared" si="13"/>
        <v>0</v>
      </c>
      <c r="AB32" s="73">
        <f t="shared" si="14"/>
        <v>0</v>
      </c>
      <c r="AC32" s="75">
        <f t="shared" si="15"/>
        <v>1</v>
      </c>
      <c r="AD32" s="75">
        <f t="shared" si="0"/>
        <v>0</v>
      </c>
      <c r="AE32" s="74">
        <f t="shared" si="16"/>
        <v>0</v>
      </c>
      <c r="AF32" s="74">
        <f t="shared" si="17"/>
        <v>0</v>
      </c>
      <c r="AG32" s="75">
        <f t="shared" si="18"/>
        <v>0</v>
      </c>
      <c r="AH32" s="243"/>
      <c r="AI32" s="94">
        <v>0</v>
      </c>
      <c r="AJ32" s="94">
        <v>0</v>
      </c>
      <c r="AK32" s="94">
        <v>0</v>
      </c>
      <c r="AL32" s="94"/>
      <c r="AM32" s="95" t="s">
        <v>817</v>
      </c>
      <c r="AN32" s="95" t="s">
        <v>818</v>
      </c>
      <c r="AO32" s="95"/>
      <c r="AP32" s="95"/>
      <c r="AQ32" s="95" t="s">
        <v>819</v>
      </c>
      <c r="AR32" s="95" t="s">
        <v>32</v>
      </c>
      <c r="AS32" s="95" t="s">
        <v>32</v>
      </c>
      <c r="AT32" s="95" t="s">
        <v>32</v>
      </c>
      <c r="AU32" s="95" t="s">
        <v>817</v>
      </c>
      <c r="AV32" s="95" t="s">
        <v>818</v>
      </c>
      <c r="AW32" s="95"/>
      <c r="AX32" s="95"/>
      <c r="AY32" s="95"/>
      <c r="AZ32" s="95"/>
      <c r="BA32" s="95"/>
      <c r="BB32" s="95"/>
      <c r="BC32" s="95" t="s">
        <v>820</v>
      </c>
      <c r="BD32" s="95"/>
      <c r="BE32" s="95"/>
      <c r="BF32" s="95"/>
      <c r="BG32" s="95"/>
      <c r="BH32" s="95"/>
      <c r="BI32" s="95"/>
      <c r="BJ32" s="95"/>
      <c r="BK32" s="95"/>
      <c r="BL32" s="95"/>
      <c r="BM32" s="95"/>
      <c r="BN32" s="95"/>
      <c r="BO32" s="95" t="s">
        <v>821</v>
      </c>
      <c r="BP32" s="95" t="s">
        <v>822</v>
      </c>
      <c r="BQ32" s="95"/>
      <c r="BR32" s="95" t="s">
        <v>823</v>
      </c>
      <c r="BS32" s="95" t="s">
        <v>821</v>
      </c>
      <c r="BT32" s="95" t="s">
        <v>822</v>
      </c>
      <c r="BU32" s="95"/>
      <c r="BV32" s="94">
        <v>0</v>
      </c>
      <c r="BW32" s="93">
        <f t="shared" si="19"/>
        <v>0</v>
      </c>
      <c r="BX32" s="94"/>
      <c r="BY32" s="94"/>
      <c r="BZ32" s="94"/>
      <c r="CA32" s="94">
        <v>0</v>
      </c>
      <c r="CB32" s="95"/>
      <c r="CC32" s="152"/>
      <c r="CD32" s="60"/>
      <c r="CE32" s="60"/>
      <c r="CF32" s="153">
        <v>1</v>
      </c>
      <c r="CG32" s="60"/>
      <c r="CH32" s="162">
        <v>1</v>
      </c>
      <c r="CI32" s="60">
        <v>0</v>
      </c>
      <c r="CJ32" s="60">
        <v>0</v>
      </c>
      <c r="CK32" s="60">
        <v>0</v>
      </c>
      <c r="CL32" s="242"/>
      <c r="CM32" s="242"/>
      <c r="CN32" s="60"/>
      <c r="CP32" s="95" t="s">
        <v>819</v>
      </c>
      <c r="CQ32" s="95"/>
      <c r="CR32" s="95"/>
      <c r="CS32" s="95" t="s">
        <v>32</v>
      </c>
      <c r="CT32" s="95"/>
      <c r="CU32" s="94">
        <f t="shared" si="20"/>
        <v>0</v>
      </c>
      <c r="CV32" s="94">
        <v>0</v>
      </c>
      <c r="CW32" s="339">
        <f t="shared" si="21"/>
        <v>0</v>
      </c>
      <c r="CX32" s="339">
        <f t="shared" si="22"/>
        <v>0</v>
      </c>
      <c r="CY32" s="339">
        <v>1</v>
      </c>
      <c r="CZ32" s="95" t="s">
        <v>32</v>
      </c>
      <c r="DA32" s="95" t="s">
        <v>32</v>
      </c>
      <c r="DB32" s="339">
        <f t="shared" si="23"/>
        <v>0</v>
      </c>
    </row>
    <row r="33" spans="2:106" ht="18.95" customHeight="1">
      <c r="B33" s="21">
        <v>21</v>
      </c>
      <c r="C33" s="22" t="str">
        <f t="shared" si="1"/>
        <v>9:30</v>
      </c>
      <c r="D33" s="22" t="str">
        <f t="shared" si="2"/>
        <v>19:15</v>
      </c>
      <c r="E33" s="90" t="str">
        <f t="shared" si="3"/>
        <v/>
      </c>
      <c r="F33" s="899" t="str">
        <f t="shared" si="4"/>
        <v/>
      </c>
      <c r="G33" s="899"/>
      <c r="H33" s="899"/>
      <c r="I33" s="899"/>
      <c r="J33" s="899"/>
      <c r="K33" s="78">
        <f t="shared" si="5"/>
        <v>30</v>
      </c>
      <c r="L33" s="79" t="str">
        <f t="shared" si="6"/>
        <v/>
      </c>
      <c r="M33" s="80">
        <f t="shared" si="7"/>
        <v>0.34375</v>
      </c>
      <c r="N33" s="22" t="str">
        <f t="shared" si="8"/>
        <v/>
      </c>
      <c r="O33" s="22" t="str">
        <f t="shared" si="9"/>
        <v/>
      </c>
      <c r="P33" s="81" t="str">
        <f t="shared" si="10"/>
        <v/>
      </c>
      <c r="Q33" s="63"/>
      <c r="R33" s="23"/>
      <c r="S33" s="7"/>
      <c r="Y33" s="73">
        <f t="shared" si="11"/>
        <v>495</v>
      </c>
      <c r="Z33" s="73">
        <f t="shared" si="12"/>
        <v>0</v>
      </c>
      <c r="AA33" s="73">
        <f t="shared" si="13"/>
        <v>0</v>
      </c>
      <c r="AB33" s="73">
        <f t="shared" si="14"/>
        <v>0</v>
      </c>
      <c r="AC33" s="75">
        <f t="shared" si="15"/>
        <v>1</v>
      </c>
      <c r="AD33" s="75">
        <f t="shared" si="0"/>
        <v>0</v>
      </c>
      <c r="AE33" s="74">
        <f t="shared" si="16"/>
        <v>0</v>
      </c>
      <c r="AF33" s="74">
        <f t="shared" si="17"/>
        <v>0</v>
      </c>
      <c r="AG33" s="75">
        <f t="shared" si="18"/>
        <v>0</v>
      </c>
      <c r="AH33" s="243"/>
      <c r="AI33" s="94">
        <v>30</v>
      </c>
      <c r="AJ33" s="94">
        <v>0</v>
      </c>
      <c r="AK33" s="94">
        <v>0</v>
      </c>
      <c r="AL33" s="94"/>
      <c r="AM33" s="95" t="s">
        <v>867</v>
      </c>
      <c r="AN33" s="95" t="s">
        <v>868</v>
      </c>
      <c r="AO33" s="95"/>
      <c r="AP33" s="95"/>
      <c r="AQ33" s="95" t="s">
        <v>869</v>
      </c>
      <c r="AR33" s="95" t="s">
        <v>32</v>
      </c>
      <c r="AS33" s="95" t="s">
        <v>32</v>
      </c>
      <c r="AT33" s="95" t="s">
        <v>32</v>
      </c>
      <c r="AU33" s="95" t="s">
        <v>867</v>
      </c>
      <c r="AV33" s="95" t="s">
        <v>868</v>
      </c>
      <c r="AW33" s="95"/>
      <c r="AX33" s="95"/>
      <c r="AY33" s="95"/>
      <c r="AZ33" s="95"/>
      <c r="BA33" s="95"/>
      <c r="BB33" s="95"/>
      <c r="BC33" s="95" t="s">
        <v>870</v>
      </c>
      <c r="BD33" s="95"/>
      <c r="BE33" s="95"/>
      <c r="BF33" s="95"/>
      <c r="BG33" s="95"/>
      <c r="BH33" s="95"/>
      <c r="BI33" s="95"/>
      <c r="BJ33" s="95"/>
      <c r="BK33" s="95"/>
      <c r="BL33" s="95"/>
      <c r="BM33" s="95"/>
      <c r="BN33" s="95"/>
      <c r="BO33" s="95" t="s">
        <v>871</v>
      </c>
      <c r="BP33" s="95" t="s">
        <v>872</v>
      </c>
      <c r="BQ33" s="95"/>
      <c r="BR33" s="95" t="s">
        <v>873</v>
      </c>
      <c r="BS33" s="95" t="s">
        <v>871</v>
      </c>
      <c r="BT33" s="95" t="s">
        <v>872</v>
      </c>
      <c r="BU33" s="95"/>
      <c r="BV33" s="94">
        <v>0</v>
      </c>
      <c r="BW33" s="93">
        <f t="shared" si="19"/>
        <v>0</v>
      </c>
      <c r="BX33" s="94"/>
      <c r="BY33" s="94"/>
      <c r="BZ33" s="94"/>
      <c r="CA33" s="94">
        <v>0</v>
      </c>
      <c r="CB33" s="95"/>
      <c r="CC33" s="152"/>
      <c r="CD33" s="60"/>
      <c r="CE33" s="60"/>
      <c r="CF33" s="153">
        <v>1</v>
      </c>
      <c r="CG33" s="60"/>
      <c r="CH33" s="162">
        <v>1</v>
      </c>
      <c r="CI33" s="60">
        <v>0</v>
      </c>
      <c r="CJ33" s="60">
        <v>0</v>
      </c>
      <c r="CK33" s="60">
        <v>0</v>
      </c>
      <c r="CL33" s="242"/>
      <c r="CM33" s="60"/>
      <c r="CN33" s="60"/>
      <c r="CP33" s="95" t="s">
        <v>874</v>
      </c>
      <c r="CQ33" s="95"/>
      <c r="CR33" s="95"/>
      <c r="CS33" s="95" t="s">
        <v>32</v>
      </c>
      <c r="CT33" s="95"/>
      <c r="CU33" s="94">
        <f t="shared" si="20"/>
        <v>0</v>
      </c>
      <c r="CV33" s="94">
        <v>0</v>
      </c>
      <c r="CW33" s="339">
        <f t="shared" si="21"/>
        <v>0</v>
      </c>
      <c r="CX33" s="339">
        <f t="shared" si="22"/>
        <v>0</v>
      </c>
      <c r="CY33" s="339">
        <v>1</v>
      </c>
      <c r="CZ33" s="95" t="s">
        <v>32</v>
      </c>
      <c r="DA33" s="95" t="s">
        <v>32</v>
      </c>
      <c r="DB33" s="339">
        <f t="shared" si="23"/>
        <v>0</v>
      </c>
    </row>
    <row r="34" spans="2:106" ht="18.95" customHeight="1">
      <c r="B34" s="24">
        <v>22</v>
      </c>
      <c r="C34" s="25" t="str">
        <f t="shared" si="1"/>
        <v>9:30</v>
      </c>
      <c r="D34" s="25" t="str">
        <f t="shared" si="2"/>
        <v>18:15</v>
      </c>
      <c r="E34" s="91" t="str">
        <f t="shared" si="3"/>
        <v/>
      </c>
      <c r="F34" s="897" t="str">
        <f t="shared" si="4"/>
        <v/>
      </c>
      <c r="G34" s="897"/>
      <c r="H34" s="897"/>
      <c r="I34" s="897"/>
      <c r="J34" s="897"/>
      <c r="K34" s="82" t="str">
        <f t="shared" si="5"/>
        <v/>
      </c>
      <c r="L34" s="84" t="str">
        <f t="shared" si="6"/>
        <v/>
      </c>
      <c r="M34" s="86">
        <f t="shared" si="7"/>
        <v>0.32291666666666669</v>
      </c>
      <c r="N34" s="25" t="str">
        <f t="shared" si="8"/>
        <v/>
      </c>
      <c r="O34" s="25" t="str">
        <f t="shared" si="9"/>
        <v/>
      </c>
      <c r="P34" s="87" t="str">
        <f t="shared" si="10"/>
        <v/>
      </c>
      <c r="Q34" s="64"/>
      <c r="R34" s="26"/>
      <c r="S34" s="7"/>
      <c r="Y34" s="73">
        <f t="shared" si="11"/>
        <v>465</v>
      </c>
      <c r="Z34" s="73">
        <f t="shared" si="12"/>
        <v>0</v>
      </c>
      <c r="AA34" s="73">
        <f t="shared" si="13"/>
        <v>0</v>
      </c>
      <c r="AB34" s="73">
        <f t="shared" si="14"/>
        <v>0</v>
      </c>
      <c r="AC34" s="75">
        <f t="shared" si="15"/>
        <v>1</v>
      </c>
      <c r="AD34" s="75">
        <f t="shared" si="0"/>
        <v>0</v>
      </c>
      <c r="AE34" s="74">
        <f t="shared" si="16"/>
        <v>0</v>
      </c>
      <c r="AF34" s="74">
        <f t="shared" si="17"/>
        <v>0</v>
      </c>
      <c r="AG34" s="75">
        <f t="shared" si="18"/>
        <v>0</v>
      </c>
      <c r="AH34" s="243"/>
      <c r="AI34" s="94">
        <v>0</v>
      </c>
      <c r="AJ34" s="94">
        <v>0</v>
      </c>
      <c r="AK34" s="94">
        <v>0</v>
      </c>
      <c r="AL34" s="94"/>
      <c r="AM34" s="95" t="s">
        <v>817</v>
      </c>
      <c r="AN34" s="95" t="s">
        <v>818</v>
      </c>
      <c r="AO34" s="95"/>
      <c r="AP34" s="95"/>
      <c r="AQ34" s="95" t="s">
        <v>819</v>
      </c>
      <c r="AR34" s="95" t="s">
        <v>32</v>
      </c>
      <c r="AS34" s="95" t="s">
        <v>32</v>
      </c>
      <c r="AT34" s="95" t="s">
        <v>32</v>
      </c>
      <c r="AU34" s="95" t="s">
        <v>817</v>
      </c>
      <c r="AV34" s="95" t="s">
        <v>818</v>
      </c>
      <c r="AW34" s="95"/>
      <c r="AX34" s="95"/>
      <c r="AY34" s="95"/>
      <c r="AZ34" s="95"/>
      <c r="BA34" s="95"/>
      <c r="BB34" s="95"/>
      <c r="BC34" s="95" t="s">
        <v>820</v>
      </c>
      <c r="BD34" s="95"/>
      <c r="BE34" s="95"/>
      <c r="BF34" s="95"/>
      <c r="BG34" s="95"/>
      <c r="BH34" s="95"/>
      <c r="BI34" s="95"/>
      <c r="BJ34" s="95"/>
      <c r="BK34" s="95"/>
      <c r="BL34" s="95"/>
      <c r="BM34" s="95"/>
      <c r="BN34" s="95"/>
      <c r="BO34" s="95" t="s">
        <v>821</v>
      </c>
      <c r="BP34" s="95" t="s">
        <v>822</v>
      </c>
      <c r="BQ34" s="95"/>
      <c r="BR34" s="95" t="s">
        <v>823</v>
      </c>
      <c r="BS34" s="95" t="s">
        <v>821</v>
      </c>
      <c r="BT34" s="95" t="s">
        <v>822</v>
      </c>
      <c r="BU34" s="95"/>
      <c r="BV34" s="94">
        <v>0</v>
      </c>
      <c r="BW34" s="93">
        <f t="shared" si="19"/>
        <v>0</v>
      </c>
      <c r="BX34" s="94"/>
      <c r="BY34" s="94"/>
      <c r="BZ34" s="94"/>
      <c r="CA34" s="94">
        <v>0</v>
      </c>
      <c r="CB34" s="95"/>
      <c r="CC34" s="152"/>
      <c r="CD34" s="60"/>
      <c r="CE34" s="60"/>
      <c r="CF34" s="153">
        <v>1</v>
      </c>
      <c r="CG34" s="60"/>
      <c r="CH34" s="162">
        <v>1</v>
      </c>
      <c r="CI34" s="60">
        <v>0</v>
      </c>
      <c r="CJ34" s="60">
        <v>0</v>
      </c>
      <c r="CK34" s="60">
        <v>0</v>
      </c>
      <c r="CL34" s="242"/>
      <c r="CM34" s="60"/>
      <c r="CN34" s="60"/>
      <c r="CP34" s="95" t="s">
        <v>819</v>
      </c>
      <c r="CQ34" s="95"/>
      <c r="CR34" s="95"/>
      <c r="CS34" s="95" t="s">
        <v>32</v>
      </c>
      <c r="CT34" s="95"/>
      <c r="CU34" s="94">
        <f t="shared" si="20"/>
        <v>0</v>
      </c>
      <c r="CV34" s="94">
        <v>0</v>
      </c>
      <c r="CW34" s="339">
        <f t="shared" si="21"/>
        <v>0</v>
      </c>
      <c r="CX34" s="339">
        <f t="shared" si="22"/>
        <v>0</v>
      </c>
      <c r="CY34" s="339">
        <v>1</v>
      </c>
      <c r="CZ34" s="95" t="s">
        <v>32</v>
      </c>
      <c r="DA34" s="95" t="s">
        <v>32</v>
      </c>
      <c r="DB34" s="339">
        <f t="shared" si="23"/>
        <v>0</v>
      </c>
    </row>
    <row r="35" spans="2:106" ht="18.95" customHeight="1">
      <c r="B35" s="24">
        <v>23</v>
      </c>
      <c r="C35" s="25" t="str">
        <f t="shared" si="1"/>
        <v/>
      </c>
      <c r="D35" s="25" t="str">
        <f t="shared" si="2"/>
        <v/>
      </c>
      <c r="E35" s="91" t="str">
        <f t="shared" si="3"/>
        <v/>
      </c>
      <c r="F35" s="897" t="str">
        <f t="shared" si="4"/>
        <v/>
      </c>
      <c r="G35" s="897"/>
      <c r="H35" s="897"/>
      <c r="I35" s="897"/>
      <c r="J35" s="897"/>
      <c r="K35" s="82" t="str">
        <f t="shared" si="5"/>
        <v/>
      </c>
      <c r="L35" s="84" t="str">
        <f t="shared" si="6"/>
        <v/>
      </c>
      <c r="M35" s="86" t="str">
        <f t="shared" si="7"/>
        <v/>
      </c>
      <c r="N35" s="25" t="str">
        <f t="shared" si="8"/>
        <v/>
      </c>
      <c r="O35" s="25" t="str">
        <f t="shared" si="9"/>
        <v/>
      </c>
      <c r="P35" s="87" t="str">
        <f t="shared" si="10"/>
        <v/>
      </c>
      <c r="Q35" s="64"/>
      <c r="R35" s="26"/>
      <c r="S35" s="7"/>
      <c r="Y35" s="73">
        <f t="shared" si="11"/>
        <v>0</v>
      </c>
      <c r="Z35" s="73">
        <f t="shared" si="12"/>
        <v>0</v>
      </c>
      <c r="AA35" s="73">
        <f t="shared" si="13"/>
        <v>0</v>
      </c>
      <c r="AB35" s="73">
        <f t="shared" si="14"/>
        <v>0</v>
      </c>
      <c r="AC35" s="75">
        <f t="shared" si="15"/>
        <v>0</v>
      </c>
      <c r="AD35" s="75">
        <f t="shared" si="0"/>
        <v>0</v>
      </c>
      <c r="AE35" s="74">
        <f t="shared" si="16"/>
        <v>0</v>
      </c>
      <c r="AF35" s="74">
        <f t="shared" si="17"/>
        <v>0</v>
      </c>
      <c r="AG35" s="75">
        <f t="shared" si="18"/>
        <v>0</v>
      </c>
      <c r="AH35" s="243"/>
      <c r="AI35" s="94"/>
      <c r="AJ35" s="94"/>
      <c r="AK35" s="94"/>
      <c r="AL35" s="94"/>
      <c r="AM35" s="95"/>
      <c r="AN35" s="95"/>
      <c r="AO35" s="95"/>
      <c r="AP35" s="95"/>
      <c r="AQ35" s="95"/>
      <c r="AR35" s="95"/>
      <c r="AS35" s="95"/>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4"/>
      <c r="BW35" s="93">
        <f t="shared" si="19"/>
        <v>0</v>
      </c>
      <c r="BX35" s="94"/>
      <c r="BY35" s="94"/>
      <c r="BZ35" s="94"/>
      <c r="CA35" s="94"/>
      <c r="CB35" s="95"/>
      <c r="CC35" s="152"/>
      <c r="CD35" s="60"/>
      <c r="CE35" s="60"/>
      <c r="CF35" s="153"/>
      <c r="CG35" s="60"/>
      <c r="CH35" s="162"/>
      <c r="CI35" s="60"/>
      <c r="CJ35" s="60"/>
      <c r="CK35" s="60"/>
      <c r="CL35" s="242"/>
      <c r="CM35" s="242"/>
      <c r="CN35" s="60"/>
      <c r="CP35" s="95"/>
      <c r="CQ35" s="95"/>
      <c r="CR35" s="95"/>
      <c r="CS35" s="95"/>
      <c r="CT35" s="95"/>
      <c r="CU35" s="94">
        <f t="shared" si="20"/>
        <v>0</v>
      </c>
      <c r="CV35" s="94">
        <v>0</v>
      </c>
      <c r="CW35" s="339">
        <f t="shared" si="21"/>
        <v>0</v>
      </c>
      <c r="CX35" s="339">
        <f t="shared" si="22"/>
        <v>0</v>
      </c>
      <c r="CY35" s="339">
        <v>0</v>
      </c>
      <c r="CZ35" s="95"/>
      <c r="DA35" s="95"/>
      <c r="DB35" s="339">
        <f t="shared" si="23"/>
        <v>0</v>
      </c>
    </row>
    <row r="36" spans="2:106" ht="18.95" customHeight="1">
      <c r="B36" s="24">
        <v>24</v>
      </c>
      <c r="C36" s="25" t="str">
        <f t="shared" si="1"/>
        <v/>
      </c>
      <c r="D36" s="25" t="str">
        <f t="shared" si="2"/>
        <v/>
      </c>
      <c r="E36" s="91" t="str">
        <f t="shared" si="3"/>
        <v/>
      </c>
      <c r="F36" s="897" t="str">
        <f t="shared" si="4"/>
        <v/>
      </c>
      <c r="G36" s="897"/>
      <c r="H36" s="897"/>
      <c r="I36" s="897"/>
      <c r="J36" s="897"/>
      <c r="K36" s="82" t="str">
        <f t="shared" si="5"/>
        <v/>
      </c>
      <c r="L36" s="84" t="str">
        <f t="shared" si="6"/>
        <v/>
      </c>
      <c r="M36" s="86" t="str">
        <f t="shared" si="7"/>
        <v/>
      </c>
      <c r="N36" s="25" t="str">
        <f t="shared" si="8"/>
        <v/>
      </c>
      <c r="O36" s="25" t="str">
        <f t="shared" si="9"/>
        <v/>
      </c>
      <c r="P36" s="87" t="str">
        <f t="shared" si="10"/>
        <v/>
      </c>
      <c r="Q36" s="64"/>
      <c r="R36" s="26"/>
      <c r="S36" s="7"/>
      <c r="Y36" s="73">
        <f t="shared" si="11"/>
        <v>0</v>
      </c>
      <c r="Z36" s="73">
        <f t="shared" si="12"/>
        <v>0</v>
      </c>
      <c r="AA36" s="73">
        <f t="shared" si="13"/>
        <v>0</v>
      </c>
      <c r="AB36" s="73">
        <f t="shared" si="14"/>
        <v>0</v>
      </c>
      <c r="AC36" s="75">
        <f t="shared" si="15"/>
        <v>0</v>
      </c>
      <c r="AD36" s="75">
        <f t="shared" si="0"/>
        <v>0</v>
      </c>
      <c r="AE36" s="74">
        <f t="shared" si="16"/>
        <v>0</v>
      </c>
      <c r="AF36" s="74">
        <f t="shared" si="17"/>
        <v>0</v>
      </c>
      <c r="AG36" s="75">
        <f t="shared" si="18"/>
        <v>0</v>
      </c>
      <c r="AH36" s="96"/>
      <c r="AI36" s="94"/>
      <c r="AJ36" s="94"/>
      <c r="AK36" s="94"/>
      <c r="AL36" s="94"/>
      <c r="AM36" s="95"/>
      <c r="AN36" s="95"/>
      <c r="AO36" s="95"/>
      <c r="AP36" s="95"/>
      <c r="AQ36" s="95"/>
      <c r="AR36" s="95"/>
      <c r="AS36" s="95"/>
      <c r="AT36" s="95"/>
      <c r="AU36" s="95"/>
      <c r="AV36" s="95"/>
      <c r="AW36" s="95"/>
      <c r="AX36" s="95"/>
      <c r="AY36" s="95"/>
      <c r="AZ36" s="95"/>
      <c r="BA36" s="95"/>
      <c r="BB36" s="95"/>
      <c r="BC36" s="95"/>
      <c r="BD36" s="95"/>
      <c r="BE36" s="95"/>
      <c r="BF36" s="95"/>
      <c r="BG36" s="95"/>
      <c r="BH36" s="95"/>
      <c r="BI36" s="95"/>
      <c r="BJ36" s="95"/>
      <c r="BK36" s="95"/>
      <c r="BL36" s="95"/>
      <c r="BM36" s="95"/>
      <c r="BN36" s="95"/>
      <c r="BO36" s="95"/>
      <c r="BP36" s="95"/>
      <c r="BQ36" s="95"/>
      <c r="BR36" s="95"/>
      <c r="BS36" s="95"/>
      <c r="BT36" s="95"/>
      <c r="BU36" s="95"/>
      <c r="BV36" s="94"/>
      <c r="BW36" s="93">
        <f t="shared" si="19"/>
        <v>0</v>
      </c>
      <c r="BX36" s="94"/>
      <c r="BY36" s="94"/>
      <c r="BZ36" s="94"/>
      <c r="CA36" s="94"/>
      <c r="CB36" s="95"/>
      <c r="CC36" s="152"/>
      <c r="CD36" s="60"/>
      <c r="CE36" s="60"/>
      <c r="CF36" s="153"/>
      <c r="CG36" s="60"/>
      <c r="CH36" s="162"/>
      <c r="CI36" s="60"/>
      <c r="CJ36" s="60"/>
      <c r="CK36" s="60"/>
      <c r="CL36" s="242"/>
      <c r="CM36" s="60"/>
      <c r="CN36" s="60"/>
      <c r="CP36" s="95"/>
      <c r="CQ36" s="95"/>
      <c r="CR36" s="95"/>
      <c r="CS36" s="95"/>
      <c r="CT36" s="95"/>
      <c r="CU36" s="94">
        <f t="shared" si="20"/>
        <v>0</v>
      </c>
      <c r="CV36" s="94">
        <v>0</v>
      </c>
      <c r="CW36" s="339">
        <f t="shared" si="21"/>
        <v>0</v>
      </c>
      <c r="CX36" s="339">
        <f t="shared" si="22"/>
        <v>0</v>
      </c>
      <c r="CY36" s="339">
        <v>0</v>
      </c>
      <c r="CZ36" s="95"/>
      <c r="DA36" s="95"/>
      <c r="DB36" s="339">
        <f t="shared" si="23"/>
        <v>0</v>
      </c>
    </row>
    <row r="37" spans="2:106" ht="18.95" customHeight="1" thickBot="1">
      <c r="B37" s="27">
        <v>25</v>
      </c>
      <c r="C37" s="28" t="str">
        <f t="shared" si="1"/>
        <v>9:30</v>
      </c>
      <c r="D37" s="28" t="str">
        <f t="shared" si="2"/>
        <v>18:15</v>
      </c>
      <c r="E37" s="92" t="str">
        <f t="shared" si="3"/>
        <v/>
      </c>
      <c r="F37" s="898" t="str">
        <f t="shared" si="4"/>
        <v/>
      </c>
      <c r="G37" s="898"/>
      <c r="H37" s="898"/>
      <c r="I37" s="898"/>
      <c r="J37" s="898"/>
      <c r="K37" s="83" t="str">
        <f t="shared" si="5"/>
        <v/>
      </c>
      <c r="L37" s="85" t="str">
        <f t="shared" si="6"/>
        <v/>
      </c>
      <c r="M37" s="88">
        <f t="shared" si="7"/>
        <v>0.32291666666666669</v>
      </c>
      <c r="N37" s="28" t="str">
        <f t="shared" si="8"/>
        <v/>
      </c>
      <c r="O37" s="28" t="str">
        <f t="shared" si="9"/>
        <v/>
      </c>
      <c r="P37" s="89" t="str">
        <f t="shared" si="10"/>
        <v/>
      </c>
      <c r="Q37" s="65"/>
      <c r="R37" s="29"/>
      <c r="S37" s="7"/>
      <c r="Y37" s="73">
        <f t="shared" si="11"/>
        <v>465</v>
      </c>
      <c r="Z37" s="73">
        <f t="shared" si="12"/>
        <v>0</v>
      </c>
      <c r="AA37" s="73">
        <f t="shared" si="13"/>
        <v>0</v>
      </c>
      <c r="AB37" s="73">
        <f t="shared" si="14"/>
        <v>0</v>
      </c>
      <c r="AC37" s="75">
        <f t="shared" si="15"/>
        <v>1</v>
      </c>
      <c r="AD37" s="75">
        <f t="shared" si="0"/>
        <v>0</v>
      </c>
      <c r="AE37" s="74">
        <f t="shared" si="16"/>
        <v>0</v>
      </c>
      <c r="AF37" s="74">
        <f t="shared" si="17"/>
        <v>0</v>
      </c>
      <c r="AG37" s="75">
        <f t="shared" si="18"/>
        <v>0</v>
      </c>
      <c r="AH37" s="243"/>
      <c r="AI37" s="94">
        <v>0</v>
      </c>
      <c r="AJ37" s="94">
        <v>0</v>
      </c>
      <c r="AK37" s="94">
        <v>0</v>
      </c>
      <c r="AL37" s="94"/>
      <c r="AM37" s="95" t="s">
        <v>817</v>
      </c>
      <c r="AN37" s="95" t="s">
        <v>818</v>
      </c>
      <c r="AO37" s="95"/>
      <c r="AP37" s="95"/>
      <c r="AQ37" s="95" t="s">
        <v>819</v>
      </c>
      <c r="AR37" s="95" t="s">
        <v>32</v>
      </c>
      <c r="AS37" s="95" t="s">
        <v>32</v>
      </c>
      <c r="AT37" s="95" t="s">
        <v>32</v>
      </c>
      <c r="AU37" s="95" t="s">
        <v>817</v>
      </c>
      <c r="AV37" s="95" t="s">
        <v>818</v>
      </c>
      <c r="AW37" s="95"/>
      <c r="AX37" s="95"/>
      <c r="AY37" s="95"/>
      <c r="AZ37" s="95"/>
      <c r="BA37" s="95"/>
      <c r="BB37" s="95"/>
      <c r="BC37" s="95" t="s">
        <v>820</v>
      </c>
      <c r="BD37" s="95"/>
      <c r="BE37" s="95"/>
      <c r="BF37" s="95"/>
      <c r="BG37" s="95"/>
      <c r="BH37" s="95"/>
      <c r="BI37" s="95"/>
      <c r="BJ37" s="95"/>
      <c r="BK37" s="95"/>
      <c r="BL37" s="95"/>
      <c r="BM37" s="95"/>
      <c r="BN37" s="95"/>
      <c r="BO37" s="95" t="s">
        <v>821</v>
      </c>
      <c r="BP37" s="95" t="s">
        <v>822</v>
      </c>
      <c r="BQ37" s="95"/>
      <c r="BR37" s="95" t="s">
        <v>823</v>
      </c>
      <c r="BS37" s="95" t="s">
        <v>821</v>
      </c>
      <c r="BT37" s="95" t="s">
        <v>822</v>
      </c>
      <c r="BU37" s="95"/>
      <c r="BV37" s="94">
        <v>0</v>
      </c>
      <c r="BW37" s="93">
        <f t="shared" si="19"/>
        <v>0</v>
      </c>
      <c r="BX37" s="94"/>
      <c r="BY37" s="94"/>
      <c r="BZ37" s="94"/>
      <c r="CA37" s="94">
        <v>0</v>
      </c>
      <c r="CB37" s="95"/>
      <c r="CC37" s="152"/>
      <c r="CD37" s="60"/>
      <c r="CE37" s="60"/>
      <c r="CF37" s="153">
        <v>1</v>
      </c>
      <c r="CG37" s="60"/>
      <c r="CH37" s="162">
        <v>1</v>
      </c>
      <c r="CI37" s="60">
        <v>0</v>
      </c>
      <c r="CJ37" s="60">
        <v>0</v>
      </c>
      <c r="CK37" s="60">
        <v>0</v>
      </c>
      <c r="CL37" s="60"/>
      <c r="CM37" s="60"/>
      <c r="CN37" s="60"/>
      <c r="CP37" s="95" t="s">
        <v>819</v>
      </c>
      <c r="CQ37" s="95"/>
      <c r="CR37" s="95"/>
      <c r="CS37" s="95" t="s">
        <v>32</v>
      </c>
      <c r="CT37" s="95"/>
      <c r="CU37" s="94">
        <f t="shared" si="20"/>
        <v>0</v>
      </c>
      <c r="CV37" s="94">
        <v>0</v>
      </c>
      <c r="CW37" s="339">
        <f t="shared" si="21"/>
        <v>0</v>
      </c>
      <c r="CX37" s="339">
        <f t="shared" si="22"/>
        <v>0</v>
      </c>
      <c r="CY37" s="339">
        <v>1</v>
      </c>
      <c r="CZ37" s="95" t="s">
        <v>32</v>
      </c>
      <c r="DA37" s="95" t="s">
        <v>32</v>
      </c>
      <c r="DB37" s="339">
        <f t="shared" si="23"/>
        <v>0</v>
      </c>
    </row>
    <row r="38" spans="2:106" ht="18.95" customHeight="1">
      <c r="B38" s="21">
        <v>26</v>
      </c>
      <c r="C38" s="22" t="str">
        <f t="shared" si="1"/>
        <v>9:30</v>
      </c>
      <c r="D38" s="22" t="str">
        <f t="shared" si="2"/>
        <v>19:45</v>
      </c>
      <c r="E38" s="90" t="str">
        <f t="shared" si="3"/>
        <v/>
      </c>
      <c r="F38" s="899" t="str">
        <f t="shared" si="4"/>
        <v/>
      </c>
      <c r="G38" s="899"/>
      <c r="H38" s="899"/>
      <c r="I38" s="899"/>
      <c r="J38" s="899"/>
      <c r="K38" s="78">
        <f t="shared" si="5"/>
        <v>60</v>
      </c>
      <c r="L38" s="79" t="str">
        <f t="shared" si="6"/>
        <v/>
      </c>
      <c r="M38" s="80">
        <f t="shared" si="7"/>
        <v>0.36458333333333331</v>
      </c>
      <c r="N38" s="22" t="str">
        <f t="shared" si="8"/>
        <v/>
      </c>
      <c r="O38" s="22" t="str">
        <f t="shared" si="9"/>
        <v/>
      </c>
      <c r="P38" s="81" t="str">
        <f t="shared" si="10"/>
        <v/>
      </c>
      <c r="Q38" s="63"/>
      <c r="R38" s="23"/>
      <c r="S38" s="7"/>
      <c r="Y38" s="73">
        <f t="shared" si="11"/>
        <v>525</v>
      </c>
      <c r="Z38" s="73">
        <f t="shared" si="12"/>
        <v>0</v>
      </c>
      <c r="AA38" s="73">
        <f t="shared" si="13"/>
        <v>0</v>
      </c>
      <c r="AB38" s="73">
        <f t="shared" si="14"/>
        <v>0</v>
      </c>
      <c r="AC38" s="75">
        <f t="shared" si="15"/>
        <v>1</v>
      </c>
      <c r="AD38" s="75">
        <f t="shared" si="0"/>
        <v>0</v>
      </c>
      <c r="AE38" s="74">
        <f t="shared" si="16"/>
        <v>0</v>
      </c>
      <c r="AF38" s="74">
        <f t="shared" si="17"/>
        <v>0</v>
      </c>
      <c r="AG38" s="75">
        <f t="shared" si="18"/>
        <v>0</v>
      </c>
      <c r="AH38" s="243"/>
      <c r="AI38" s="94">
        <v>60</v>
      </c>
      <c r="AJ38" s="94">
        <v>0</v>
      </c>
      <c r="AK38" s="94">
        <v>0</v>
      </c>
      <c r="AL38" s="94"/>
      <c r="AM38" s="95" t="s">
        <v>875</v>
      </c>
      <c r="AN38" s="95" t="s">
        <v>881</v>
      </c>
      <c r="AO38" s="95"/>
      <c r="AP38" s="95"/>
      <c r="AQ38" s="95" t="s">
        <v>882</v>
      </c>
      <c r="AR38" s="95" t="s">
        <v>32</v>
      </c>
      <c r="AS38" s="95" t="s">
        <v>32</v>
      </c>
      <c r="AT38" s="95" t="s">
        <v>32</v>
      </c>
      <c r="AU38" s="95" t="s">
        <v>875</v>
      </c>
      <c r="AV38" s="95" t="s">
        <v>881</v>
      </c>
      <c r="AW38" s="95"/>
      <c r="AX38" s="95"/>
      <c r="AY38" s="95"/>
      <c r="AZ38" s="95"/>
      <c r="BA38" s="95"/>
      <c r="BB38" s="95"/>
      <c r="BC38" s="95" t="s">
        <v>876</v>
      </c>
      <c r="BD38" s="95"/>
      <c r="BE38" s="95"/>
      <c r="BF38" s="95"/>
      <c r="BG38" s="95"/>
      <c r="BH38" s="95"/>
      <c r="BI38" s="95"/>
      <c r="BJ38" s="95"/>
      <c r="BK38" s="95"/>
      <c r="BL38" s="95"/>
      <c r="BM38" s="95"/>
      <c r="BN38" s="95"/>
      <c r="BO38" s="95" t="s">
        <v>877</v>
      </c>
      <c r="BP38" s="95" t="s">
        <v>878</v>
      </c>
      <c r="BQ38" s="95"/>
      <c r="BR38" s="95" t="s">
        <v>879</v>
      </c>
      <c r="BS38" s="95" t="s">
        <v>877</v>
      </c>
      <c r="BT38" s="95" t="s">
        <v>878</v>
      </c>
      <c r="BU38" s="95"/>
      <c r="BV38" s="94">
        <v>0</v>
      </c>
      <c r="BW38" s="93">
        <f t="shared" si="19"/>
        <v>0</v>
      </c>
      <c r="BX38" s="94"/>
      <c r="BY38" s="94"/>
      <c r="BZ38" s="94"/>
      <c r="CA38" s="94">
        <v>0</v>
      </c>
      <c r="CB38" s="95"/>
      <c r="CC38" s="152"/>
      <c r="CD38" s="60"/>
      <c r="CE38" s="60"/>
      <c r="CF38" s="153">
        <v>1</v>
      </c>
      <c r="CG38" s="60"/>
      <c r="CH38" s="162">
        <v>1</v>
      </c>
      <c r="CI38" s="60">
        <v>0</v>
      </c>
      <c r="CJ38" s="60">
        <v>0</v>
      </c>
      <c r="CK38" s="60">
        <v>0</v>
      </c>
      <c r="CL38" s="242"/>
      <c r="CM38" s="242"/>
      <c r="CN38" s="60"/>
      <c r="CP38" s="95" t="s">
        <v>880</v>
      </c>
      <c r="CQ38" s="95"/>
      <c r="CR38" s="95"/>
      <c r="CS38" s="95" t="s">
        <v>32</v>
      </c>
      <c r="CT38" s="95"/>
      <c r="CU38" s="94">
        <f t="shared" si="20"/>
        <v>0</v>
      </c>
      <c r="CV38" s="94">
        <v>0</v>
      </c>
      <c r="CW38" s="339">
        <f t="shared" si="21"/>
        <v>0</v>
      </c>
      <c r="CX38" s="339">
        <f t="shared" si="22"/>
        <v>0</v>
      </c>
      <c r="CY38" s="339">
        <v>1</v>
      </c>
      <c r="CZ38" s="95" t="s">
        <v>32</v>
      </c>
      <c r="DA38" s="95" t="s">
        <v>32</v>
      </c>
      <c r="DB38" s="339">
        <f t="shared" si="23"/>
        <v>0</v>
      </c>
    </row>
    <row r="39" spans="2:106" ht="18.95" customHeight="1">
      <c r="B39" s="24">
        <v>27</v>
      </c>
      <c r="C39" s="25" t="str">
        <f t="shared" si="1"/>
        <v>9:30</v>
      </c>
      <c r="D39" s="25" t="str">
        <f t="shared" si="2"/>
        <v>18:15</v>
      </c>
      <c r="E39" s="91" t="str">
        <f t="shared" si="3"/>
        <v/>
      </c>
      <c r="F39" s="897" t="str">
        <f t="shared" si="4"/>
        <v/>
      </c>
      <c r="G39" s="897"/>
      <c r="H39" s="897"/>
      <c r="I39" s="897"/>
      <c r="J39" s="897"/>
      <c r="K39" s="82" t="str">
        <f t="shared" si="5"/>
        <v/>
      </c>
      <c r="L39" s="84" t="str">
        <f t="shared" si="6"/>
        <v/>
      </c>
      <c r="M39" s="86">
        <f t="shared" si="7"/>
        <v>0.32291666666666669</v>
      </c>
      <c r="N39" s="25" t="str">
        <f t="shared" si="8"/>
        <v/>
      </c>
      <c r="O39" s="25" t="str">
        <f t="shared" si="9"/>
        <v/>
      </c>
      <c r="P39" s="87" t="str">
        <f t="shared" si="10"/>
        <v/>
      </c>
      <c r="Q39" s="64"/>
      <c r="R39" s="26"/>
      <c r="S39" s="7"/>
      <c r="Y39" s="73">
        <f t="shared" si="11"/>
        <v>465</v>
      </c>
      <c r="Z39" s="73">
        <f t="shared" si="12"/>
        <v>0</v>
      </c>
      <c r="AA39" s="73">
        <f t="shared" si="13"/>
        <v>0</v>
      </c>
      <c r="AB39" s="73">
        <f t="shared" si="14"/>
        <v>0</v>
      </c>
      <c r="AC39" s="75">
        <f t="shared" si="15"/>
        <v>1</v>
      </c>
      <c r="AD39" s="75">
        <f t="shared" si="0"/>
        <v>0</v>
      </c>
      <c r="AE39" s="74">
        <f t="shared" si="16"/>
        <v>0</v>
      </c>
      <c r="AF39" s="74">
        <f t="shared" si="17"/>
        <v>0</v>
      </c>
      <c r="AG39" s="75">
        <f t="shared" si="18"/>
        <v>0</v>
      </c>
      <c r="AH39" s="243"/>
      <c r="AI39" s="94">
        <v>0</v>
      </c>
      <c r="AJ39" s="94">
        <v>0</v>
      </c>
      <c r="AK39" s="94">
        <v>0</v>
      </c>
      <c r="AL39" s="94"/>
      <c r="AM39" s="95" t="s">
        <v>817</v>
      </c>
      <c r="AN39" s="95" t="s">
        <v>818</v>
      </c>
      <c r="AO39" s="95"/>
      <c r="AP39" s="95"/>
      <c r="AQ39" s="95" t="s">
        <v>819</v>
      </c>
      <c r="AR39" s="95" t="s">
        <v>32</v>
      </c>
      <c r="AS39" s="95" t="s">
        <v>32</v>
      </c>
      <c r="AT39" s="95" t="s">
        <v>32</v>
      </c>
      <c r="AU39" s="95" t="s">
        <v>817</v>
      </c>
      <c r="AV39" s="95" t="s">
        <v>818</v>
      </c>
      <c r="AW39" s="95"/>
      <c r="AX39" s="95"/>
      <c r="AY39" s="95"/>
      <c r="AZ39" s="95"/>
      <c r="BA39" s="95"/>
      <c r="BB39" s="95"/>
      <c r="BC39" s="95" t="s">
        <v>820</v>
      </c>
      <c r="BD39" s="95"/>
      <c r="BE39" s="95"/>
      <c r="BF39" s="95"/>
      <c r="BG39" s="95"/>
      <c r="BH39" s="95"/>
      <c r="BI39" s="95"/>
      <c r="BJ39" s="95"/>
      <c r="BK39" s="95"/>
      <c r="BL39" s="95"/>
      <c r="BM39" s="95"/>
      <c r="BN39" s="95"/>
      <c r="BO39" s="95" t="s">
        <v>821</v>
      </c>
      <c r="BP39" s="95" t="s">
        <v>822</v>
      </c>
      <c r="BQ39" s="95"/>
      <c r="BR39" s="95" t="s">
        <v>823</v>
      </c>
      <c r="BS39" s="95" t="s">
        <v>821</v>
      </c>
      <c r="BT39" s="95" t="s">
        <v>822</v>
      </c>
      <c r="BU39" s="95"/>
      <c r="BV39" s="94">
        <v>0</v>
      </c>
      <c r="BW39" s="93">
        <f t="shared" si="19"/>
        <v>0</v>
      </c>
      <c r="BX39" s="94"/>
      <c r="BY39" s="94"/>
      <c r="BZ39" s="94"/>
      <c r="CA39" s="94">
        <v>0</v>
      </c>
      <c r="CB39" s="95"/>
      <c r="CC39" s="152"/>
      <c r="CD39" s="60"/>
      <c r="CE39" s="60"/>
      <c r="CF39" s="153">
        <v>1</v>
      </c>
      <c r="CG39" s="60"/>
      <c r="CH39" s="162">
        <v>1</v>
      </c>
      <c r="CI39" s="60">
        <v>0</v>
      </c>
      <c r="CJ39" s="60">
        <v>0</v>
      </c>
      <c r="CK39" s="60">
        <v>0</v>
      </c>
      <c r="CL39" s="242"/>
      <c r="CM39" s="60"/>
      <c r="CN39" s="60"/>
      <c r="CP39" s="95" t="s">
        <v>819</v>
      </c>
      <c r="CQ39" s="95"/>
      <c r="CR39" s="95"/>
      <c r="CS39" s="95" t="s">
        <v>32</v>
      </c>
      <c r="CT39" s="95"/>
      <c r="CU39" s="94">
        <f t="shared" si="20"/>
        <v>0</v>
      </c>
      <c r="CV39" s="94">
        <v>0</v>
      </c>
      <c r="CW39" s="339">
        <f t="shared" si="21"/>
        <v>0</v>
      </c>
      <c r="CX39" s="339">
        <f t="shared" si="22"/>
        <v>0</v>
      </c>
      <c r="CY39" s="339">
        <v>1</v>
      </c>
      <c r="CZ39" s="95" t="s">
        <v>32</v>
      </c>
      <c r="DA39" s="95" t="s">
        <v>32</v>
      </c>
      <c r="DB39" s="339">
        <f t="shared" si="23"/>
        <v>0</v>
      </c>
    </row>
    <row r="40" spans="2:106" ht="18.95" customHeight="1">
      <c r="B40" s="24">
        <v>28</v>
      </c>
      <c r="C40" s="25" t="str">
        <f t="shared" si="1"/>
        <v>9:30</v>
      </c>
      <c r="D40" s="25" t="str">
        <f t="shared" si="2"/>
        <v>18:15</v>
      </c>
      <c r="E40" s="91" t="str">
        <f t="shared" si="3"/>
        <v/>
      </c>
      <c r="F40" s="897" t="str">
        <f t="shared" si="4"/>
        <v/>
      </c>
      <c r="G40" s="897"/>
      <c r="H40" s="897"/>
      <c r="I40" s="897"/>
      <c r="J40" s="897"/>
      <c r="K40" s="82" t="str">
        <f t="shared" si="5"/>
        <v/>
      </c>
      <c r="L40" s="84" t="str">
        <f t="shared" si="6"/>
        <v/>
      </c>
      <c r="M40" s="86">
        <f t="shared" si="7"/>
        <v>0.32291666666666669</v>
      </c>
      <c r="N40" s="25" t="str">
        <f t="shared" si="8"/>
        <v/>
      </c>
      <c r="O40" s="25" t="str">
        <f t="shared" si="9"/>
        <v/>
      </c>
      <c r="P40" s="87" t="str">
        <f t="shared" si="10"/>
        <v/>
      </c>
      <c r="Q40" s="64"/>
      <c r="R40" s="26"/>
      <c r="S40" s="7"/>
      <c r="Y40" s="73">
        <f t="shared" si="11"/>
        <v>465</v>
      </c>
      <c r="Z40" s="73">
        <f t="shared" si="12"/>
        <v>0</v>
      </c>
      <c r="AA40" s="73">
        <f t="shared" si="13"/>
        <v>0</v>
      </c>
      <c r="AB40" s="73">
        <f t="shared" si="14"/>
        <v>0</v>
      </c>
      <c r="AC40" s="75">
        <f t="shared" si="15"/>
        <v>1</v>
      </c>
      <c r="AD40" s="75">
        <f t="shared" si="0"/>
        <v>0</v>
      </c>
      <c r="AE40" s="74">
        <f t="shared" si="16"/>
        <v>0</v>
      </c>
      <c r="AF40" s="74">
        <f t="shared" si="17"/>
        <v>0</v>
      </c>
      <c r="AG40" s="75">
        <f>IF(E40="夜勤",1,0)</f>
        <v>0</v>
      </c>
      <c r="AH40" s="243"/>
      <c r="AI40" s="94">
        <v>0</v>
      </c>
      <c r="AJ40" s="94">
        <v>0</v>
      </c>
      <c r="AK40" s="94">
        <v>0</v>
      </c>
      <c r="AL40" s="94"/>
      <c r="AM40" s="95" t="s">
        <v>817</v>
      </c>
      <c r="AN40" s="95" t="s">
        <v>818</v>
      </c>
      <c r="AO40" s="95"/>
      <c r="AP40" s="95"/>
      <c r="AQ40" s="95" t="s">
        <v>819</v>
      </c>
      <c r="AR40" s="95" t="s">
        <v>32</v>
      </c>
      <c r="AS40" s="95" t="s">
        <v>32</v>
      </c>
      <c r="AT40" s="95" t="s">
        <v>32</v>
      </c>
      <c r="AU40" s="95" t="s">
        <v>817</v>
      </c>
      <c r="AV40" s="95" t="s">
        <v>818</v>
      </c>
      <c r="AW40" s="95"/>
      <c r="AX40" s="95"/>
      <c r="AY40" s="95"/>
      <c r="AZ40" s="95"/>
      <c r="BA40" s="95"/>
      <c r="BB40" s="95"/>
      <c r="BC40" s="95" t="s">
        <v>820</v>
      </c>
      <c r="BD40" s="95"/>
      <c r="BE40" s="95"/>
      <c r="BF40" s="95"/>
      <c r="BG40" s="95"/>
      <c r="BH40" s="95"/>
      <c r="BI40" s="95"/>
      <c r="BJ40" s="95"/>
      <c r="BK40" s="95"/>
      <c r="BL40" s="95"/>
      <c r="BM40" s="95"/>
      <c r="BN40" s="95"/>
      <c r="BO40" s="95" t="s">
        <v>821</v>
      </c>
      <c r="BP40" s="95" t="s">
        <v>822</v>
      </c>
      <c r="BQ40" s="95"/>
      <c r="BR40" s="95" t="s">
        <v>823</v>
      </c>
      <c r="BS40" s="95" t="s">
        <v>821</v>
      </c>
      <c r="BT40" s="95" t="s">
        <v>822</v>
      </c>
      <c r="BU40" s="95"/>
      <c r="BV40" s="94">
        <v>0</v>
      </c>
      <c r="BW40" s="93">
        <f t="shared" si="19"/>
        <v>0</v>
      </c>
      <c r="BX40" s="94"/>
      <c r="BY40" s="94"/>
      <c r="BZ40" s="94"/>
      <c r="CA40" s="94">
        <v>0</v>
      </c>
      <c r="CB40" s="95"/>
      <c r="CC40" s="152"/>
      <c r="CD40" s="60"/>
      <c r="CE40" s="60"/>
      <c r="CF40" s="153">
        <v>1</v>
      </c>
      <c r="CG40" s="60"/>
      <c r="CH40" s="162">
        <v>1</v>
      </c>
      <c r="CI40" s="60">
        <v>0</v>
      </c>
      <c r="CJ40" s="60">
        <v>0</v>
      </c>
      <c r="CK40" s="60">
        <v>0</v>
      </c>
      <c r="CL40" s="242"/>
      <c r="CM40" s="60"/>
      <c r="CN40" s="60"/>
      <c r="CP40" s="95" t="s">
        <v>819</v>
      </c>
      <c r="CQ40" s="95"/>
      <c r="CR40" s="95"/>
      <c r="CS40" s="95" t="s">
        <v>32</v>
      </c>
      <c r="CT40" s="95"/>
      <c r="CU40" s="94">
        <f t="shared" si="20"/>
        <v>0</v>
      </c>
      <c r="CV40" s="94">
        <v>0</v>
      </c>
      <c r="CW40" s="339">
        <f t="shared" si="21"/>
        <v>0</v>
      </c>
      <c r="CX40" s="339">
        <f t="shared" si="22"/>
        <v>0</v>
      </c>
      <c r="CY40" s="339">
        <v>1</v>
      </c>
      <c r="CZ40" s="95" t="s">
        <v>32</v>
      </c>
      <c r="DA40" s="95" t="s">
        <v>32</v>
      </c>
      <c r="DB40" s="339">
        <f t="shared" si="23"/>
        <v>0</v>
      </c>
    </row>
    <row r="41" spans="2:106" ht="18.95" customHeight="1">
      <c r="B41" s="24">
        <f>IF(MONTH(H5)&lt;&gt;2,29,IF(MOD(YEAR(H5),4)=0,"29",""))</f>
        <v>29</v>
      </c>
      <c r="C41" s="25" t="str">
        <f t="shared" si="1"/>
        <v>9:30</v>
      </c>
      <c r="D41" s="25" t="str">
        <f t="shared" si="2"/>
        <v>18:15</v>
      </c>
      <c r="E41" s="91" t="str">
        <f t="shared" si="3"/>
        <v/>
      </c>
      <c r="F41" s="897" t="str">
        <f t="shared" si="4"/>
        <v/>
      </c>
      <c r="G41" s="897"/>
      <c r="H41" s="897"/>
      <c r="I41" s="897"/>
      <c r="J41" s="897"/>
      <c r="K41" s="82" t="str">
        <f t="shared" si="5"/>
        <v/>
      </c>
      <c r="L41" s="84" t="str">
        <f t="shared" si="6"/>
        <v/>
      </c>
      <c r="M41" s="86">
        <f t="shared" si="7"/>
        <v>0.32291666666666669</v>
      </c>
      <c r="N41" s="25" t="str">
        <f t="shared" si="8"/>
        <v/>
      </c>
      <c r="O41" s="25" t="str">
        <f t="shared" si="9"/>
        <v/>
      </c>
      <c r="P41" s="87" t="str">
        <f t="shared" si="10"/>
        <v/>
      </c>
      <c r="Q41" s="64"/>
      <c r="R41" s="26"/>
      <c r="S41" s="7"/>
      <c r="Y41" s="73">
        <f t="shared" si="11"/>
        <v>465</v>
      </c>
      <c r="Z41" s="73">
        <f t="shared" si="12"/>
        <v>0</v>
      </c>
      <c r="AA41" s="73">
        <f t="shared" si="13"/>
        <v>0</v>
      </c>
      <c r="AB41" s="73">
        <f t="shared" si="14"/>
        <v>0</v>
      </c>
      <c r="AC41" s="75">
        <f t="shared" si="15"/>
        <v>1</v>
      </c>
      <c r="AD41" s="75">
        <f t="shared" si="0"/>
        <v>0</v>
      </c>
      <c r="AE41" s="74">
        <f t="shared" si="16"/>
        <v>0</v>
      </c>
      <c r="AF41" s="74">
        <f t="shared" si="17"/>
        <v>0</v>
      </c>
      <c r="AG41" s="75">
        <f>IF(E41="夜勤",1,0)</f>
        <v>0</v>
      </c>
      <c r="AH41" s="96"/>
      <c r="AI41" s="94">
        <v>0</v>
      </c>
      <c r="AJ41" s="94">
        <v>0</v>
      </c>
      <c r="AK41" s="94">
        <v>0</v>
      </c>
      <c r="AL41" s="94"/>
      <c r="AM41" s="95" t="s">
        <v>817</v>
      </c>
      <c r="AN41" s="95" t="s">
        <v>818</v>
      </c>
      <c r="AO41" s="95"/>
      <c r="AP41" s="95"/>
      <c r="AQ41" s="95" t="s">
        <v>819</v>
      </c>
      <c r="AR41" s="95" t="s">
        <v>32</v>
      </c>
      <c r="AS41" s="95" t="s">
        <v>32</v>
      </c>
      <c r="AT41" s="95" t="s">
        <v>32</v>
      </c>
      <c r="AU41" s="95" t="s">
        <v>817</v>
      </c>
      <c r="AV41" s="95" t="s">
        <v>818</v>
      </c>
      <c r="AW41" s="95"/>
      <c r="AX41" s="95"/>
      <c r="AY41" s="95"/>
      <c r="AZ41" s="95"/>
      <c r="BA41" s="95"/>
      <c r="BB41" s="95"/>
      <c r="BC41" s="95" t="s">
        <v>820</v>
      </c>
      <c r="BD41" s="95"/>
      <c r="BE41" s="95"/>
      <c r="BF41" s="95"/>
      <c r="BG41" s="95"/>
      <c r="BH41" s="95"/>
      <c r="BI41" s="95"/>
      <c r="BJ41" s="95"/>
      <c r="BK41" s="95"/>
      <c r="BL41" s="95"/>
      <c r="BM41" s="95"/>
      <c r="BN41" s="95"/>
      <c r="BO41" s="95" t="s">
        <v>821</v>
      </c>
      <c r="BP41" s="95" t="s">
        <v>822</v>
      </c>
      <c r="BQ41" s="95"/>
      <c r="BR41" s="95" t="s">
        <v>823</v>
      </c>
      <c r="BS41" s="95" t="s">
        <v>821</v>
      </c>
      <c r="BT41" s="95" t="s">
        <v>822</v>
      </c>
      <c r="BU41" s="95"/>
      <c r="BV41" s="94">
        <v>0</v>
      </c>
      <c r="BW41" s="93">
        <f t="shared" si="19"/>
        <v>0</v>
      </c>
      <c r="BX41" s="94"/>
      <c r="BY41" s="94"/>
      <c r="BZ41" s="94"/>
      <c r="CA41" s="94">
        <v>0</v>
      </c>
      <c r="CB41" s="95"/>
      <c r="CC41" s="152"/>
      <c r="CD41" s="60"/>
      <c r="CE41" s="60"/>
      <c r="CF41" s="153">
        <v>1</v>
      </c>
      <c r="CG41" s="60"/>
      <c r="CH41" s="162">
        <v>1</v>
      </c>
      <c r="CI41" s="60">
        <v>0</v>
      </c>
      <c r="CJ41" s="60">
        <v>0</v>
      </c>
      <c r="CK41" s="60">
        <v>0</v>
      </c>
      <c r="CL41" s="242"/>
      <c r="CM41" s="60"/>
      <c r="CN41" s="60"/>
      <c r="CP41" s="95" t="s">
        <v>819</v>
      </c>
      <c r="CQ41" s="95"/>
      <c r="CR41" s="95"/>
      <c r="CS41" s="95" t="s">
        <v>32</v>
      </c>
      <c r="CT41" s="95"/>
      <c r="CU41" s="94">
        <f t="shared" si="20"/>
        <v>0</v>
      </c>
      <c r="CV41" s="94">
        <v>0</v>
      </c>
      <c r="CW41" s="339">
        <f t="shared" si="21"/>
        <v>0</v>
      </c>
      <c r="CX41" s="339">
        <f t="shared" si="22"/>
        <v>0</v>
      </c>
      <c r="CY41" s="339">
        <v>1</v>
      </c>
      <c r="CZ41" s="95" t="s">
        <v>32</v>
      </c>
      <c r="DA41" s="95" t="s">
        <v>32</v>
      </c>
      <c r="DB41" s="339">
        <f t="shared" si="23"/>
        <v>0</v>
      </c>
    </row>
    <row r="42" spans="2:106" ht="18.95" customHeight="1">
      <c r="B42" s="24">
        <f>IF(MONTH(H5)=2,"",30)</f>
        <v>30</v>
      </c>
      <c r="C42" s="25" t="str">
        <f t="shared" si="1"/>
        <v/>
      </c>
      <c r="D42" s="25" t="str">
        <f t="shared" si="2"/>
        <v/>
      </c>
      <c r="E42" s="91" t="str">
        <f t="shared" si="3"/>
        <v/>
      </c>
      <c r="F42" s="897" t="str">
        <f t="shared" si="4"/>
        <v/>
      </c>
      <c r="G42" s="897"/>
      <c r="H42" s="897"/>
      <c r="I42" s="897"/>
      <c r="J42" s="897"/>
      <c r="K42" s="82" t="str">
        <f t="shared" si="5"/>
        <v/>
      </c>
      <c r="L42" s="84" t="str">
        <f t="shared" si="6"/>
        <v/>
      </c>
      <c r="M42" s="86" t="str">
        <f t="shared" si="7"/>
        <v/>
      </c>
      <c r="N42" s="25" t="str">
        <f t="shared" si="8"/>
        <v/>
      </c>
      <c r="O42" s="25" t="str">
        <f t="shared" si="9"/>
        <v/>
      </c>
      <c r="P42" s="87" t="str">
        <f t="shared" si="10"/>
        <v/>
      </c>
      <c r="Q42" s="64"/>
      <c r="R42" s="26"/>
      <c r="S42" s="7"/>
      <c r="Y42" s="73">
        <f t="shared" si="11"/>
        <v>0</v>
      </c>
      <c r="Z42" s="73">
        <f t="shared" si="12"/>
        <v>0</v>
      </c>
      <c r="AA42" s="73">
        <f t="shared" si="13"/>
        <v>0</v>
      </c>
      <c r="AB42" s="73">
        <f t="shared" si="14"/>
        <v>0</v>
      </c>
      <c r="AC42" s="75">
        <f t="shared" si="15"/>
        <v>0</v>
      </c>
      <c r="AD42" s="75">
        <f t="shared" si="0"/>
        <v>0</v>
      </c>
      <c r="AE42" s="74">
        <f t="shared" si="16"/>
        <v>0</v>
      </c>
      <c r="AF42" s="74">
        <f t="shared" si="17"/>
        <v>0</v>
      </c>
      <c r="AG42" s="75">
        <f>IF(E42="夜勤",1,0)</f>
        <v>0</v>
      </c>
      <c r="AH42" s="243"/>
      <c r="AI42" s="94"/>
      <c r="AJ42" s="94"/>
      <c r="AK42" s="94"/>
      <c r="AL42" s="94"/>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4"/>
      <c r="BW42" s="93">
        <f t="shared" si="19"/>
        <v>0</v>
      </c>
      <c r="BX42" s="94"/>
      <c r="BY42" s="94"/>
      <c r="BZ42" s="94"/>
      <c r="CA42" s="94"/>
      <c r="CB42" s="95"/>
      <c r="CC42" s="152"/>
      <c r="CD42" s="60"/>
      <c r="CE42" s="60"/>
      <c r="CF42" s="153"/>
      <c r="CG42" s="60"/>
      <c r="CH42" s="162"/>
      <c r="CI42" s="60"/>
      <c r="CJ42" s="60"/>
      <c r="CK42" s="60"/>
      <c r="CL42" s="242"/>
      <c r="CM42" s="60"/>
      <c r="CN42" s="60"/>
      <c r="CP42" s="95"/>
      <c r="CQ42" s="95"/>
      <c r="CR42" s="95"/>
      <c r="CS42" s="95"/>
      <c r="CT42" s="95"/>
      <c r="CU42" s="94">
        <f t="shared" si="20"/>
        <v>0</v>
      </c>
      <c r="CV42" s="94">
        <v>0</v>
      </c>
      <c r="CW42" s="339">
        <f t="shared" si="21"/>
        <v>0</v>
      </c>
      <c r="CX42" s="339">
        <f t="shared" si="22"/>
        <v>0</v>
      </c>
      <c r="CY42" s="339">
        <v>0</v>
      </c>
      <c r="CZ42" s="95"/>
      <c r="DA42" s="95"/>
      <c r="DB42" s="339">
        <f t="shared" si="23"/>
        <v>0</v>
      </c>
    </row>
    <row r="43" spans="2:106" ht="18.95" customHeight="1" thickBot="1">
      <c r="B43" s="27">
        <f>IF(OR(MONTH(H5)=1,MONTH(H5)=3,MONTH(H5)=5,MONTH(H5)=7,MONTH(H5)=8,MONTH(H5)=10,MONTH(H5)=12),31,"")</f>
        <v>31</v>
      </c>
      <c r="C43" s="28" t="str">
        <f t="shared" si="1"/>
        <v/>
      </c>
      <c r="D43" s="28" t="str">
        <f t="shared" si="2"/>
        <v/>
      </c>
      <c r="E43" s="92" t="str">
        <f t="shared" si="3"/>
        <v/>
      </c>
      <c r="F43" s="898" t="str">
        <f t="shared" si="4"/>
        <v/>
      </c>
      <c r="G43" s="898"/>
      <c r="H43" s="898"/>
      <c r="I43" s="898"/>
      <c r="J43" s="898"/>
      <c r="K43" s="83" t="str">
        <f t="shared" si="5"/>
        <v/>
      </c>
      <c r="L43" s="85" t="str">
        <f t="shared" si="6"/>
        <v/>
      </c>
      <c r="M43" s="88" t="str">
        <f t="shared" si="7"/>
        <v/>
      </c>
      <c r="N43" s="28" t="str">
        <f t="shared" si="8"/>
        <v/>
      </c>
      <c r="O43" s="28" t="str">
        <f t="shared" si="9"/>
        <v/>
      </c>
      <c r="P43" s="89" t="str">
        <f t="shared" si="10"/>
        <v/>
      </c>
      <c r="Q43" s="65"/>
      <c r="R43" s="29"/>
      <c r="S43" s="7"/>
      <c r="Y43" s="73">
        <f t="shared" si="11"/>
        <v>0</v>
      </c>
      <c r="Z43" s="73">
        <f t="shared" si="12"/>
        <v>0</v>
      </c>
      <c r="AA43" s="73">
        <f t="shared" si="13"/>
        <v>0</v>
      </c>
      <c r="AB43" s="73">
        <f t="shared" si="14"/>
        <v>0</v>
      </c>
      <c r="AC43" s="75">
        <f t="shared" si="15"/>
        <v>0</v>
      </c>
      <c r="AD43" s="75">
        <f t="shared" si="0"/>
        <v>0</v>
      </c>
      <c r="AE43" s="74">
        <f t="shared" si="16"/>
        <v>0</v>
      </c>
      <c r="AF43" s="74">
        <f t="shared" si="17"/>
        <v>0</v>
      </c>
      <c r="AG43" s="75">
        <f>IF(E43="夜勤",1,0)</f>
        <v>0</v>
      </c>
      <c r="AH43" s="243"/>
      <c r="AI43" s="94"/>
      <c r="AJ43" s="94"/>
      <c r="AK43" s="94"/>
      <c r="AL43" s="94"/>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4"/>
      <c r="BW43" s="93">
        <f t="shared" si="19"/>
        <v>0</v>
      </c>
      <c r="BX43" s="94"/>
      <c r="BY43" s="94"/>
      <c r="BZ43" s="94"/>
      <c r="CA43" s="94"/>
      <c r="CB43" s="95"/>
      <c r="CC43" s="152"/>
      <c r="CD43" s="60"/>
      <c r="CE43" s="60"/>
      <c r="CF43" s="153"/>
      <c r="CG43" s="60"/>
      <c r="CH43" s="162"/>
      <c r="CI43" s="60"/>
      <c r="CJ43" s="60"/>
      <c r="CK43" s="60"/>
      <c r="CL43" s="60"/>
      <c r="CM43" s="242"/>
      <c r="CN43" s="60"/>
      <c r="CP43" s="95"/>
      <c r="CQ43" s="95"/>
      <c r="CR43" s="95"/>
      <c r="CS43" s="95"/>
      <c r="CT43" s="95"/>
      <c r="CU43" s="94">
        <f t="shared" si="20"/>
        <v>0</v>
      </c>
      <c r="CV43" s="94">
        <v>0</v>
      </c>
      <c r="CW43" s="339">
        <f t="shared" si="21"/>
        <v>0</v>
      </c>
      <c r="CX43" s="339">
        <f t="shared" si="22"/>
        <v>0</v>
      </c>
      <c r="CY43" s="339">
        <v>0</v>
      </c>
      <c r="CZ43" s="95"/>
      <c r="DA43" s="95"/>
      <c r="DB43" s="339">
        <f t="shared" si="23"/>
        <v>0</v>
      </c>
    </row>
    <row r="44" spans="2:106" ht="7.5" customHeight="1" thickBot="1">
      <c r="M44" s="9"/>
      <c r="N44" s="9"/>
      <c r="O44" s="9"/>
      <c r="P44" s="9"/>
      <c r="Y44" s="72"/>
      <c r="Z44" s="69"/>
      <c r="AA44" s="69"/>
      <c r="AB44" s="69"/>
      <c r="AC44" s="75"/>
      <c r="AD44" s="75"/>
      <c r="AE44" s="74"/>
      <c r="AF44" s="74"/>
      <c r="AG44" s="75"/>
      <c r="AH44" s="75"/>
      <c r="AI44" s="67"/>
      <c r="AJ44" s="67"/>
      <c r="AK44" s="67"/>
      <c r="AL44" s="67"/>
      <c r="CD44" s="60"/>
      <c r="CE44" s="60"/>
    </row>
    <row r="45" spans="2:106" ht="14.25" hidden="1" thickBot="1">
      <c r="C45" s="2" t="s">
        <v>41</v>
      </c>
      <c r="D45" s="2" t="s">
        <v>42</v>
      </c>
      <c r="E45" s="2" t="s">
        <v>43</v>
      </c>
      <c r="F45" s="2" t="s">
        <v>44</v>
      </c>
      <c r="G45" s="2" t="s">
        <v>46</v>
      </c>
      <c r="H45" s="2">
        <f>COUNT(C13:C43)</f>
        <v>0</v>
      </c>
      <c r="I45" s="2">
        <f>SUM(COUNTIF(E13:I43,"年休"),COUNTIF(E13:E43,"半休")/2)</f>
        <v>0</v>
      </c>
      <c r="J45" s="2">
        <f>COUNTIF(E13:I43,"特休")</f>
        <v>0</v>
      </c>
      <c r="K45" s="2">
        <f>SUM(COUNTIF(E13:I43,"遅刻"),COUNTIF(E13:E43,"早退"),COUNTIF(E13:E43,"欠勤"))</f>
        <v>0</v>
      </c>
      <c r="L45" s="2">
        <f>COUNTIF(E13:I43,"夜勤")</f>
        <v>0</v>
      </c>
      <c r="M45" s="10">
        <f>INT(SUM(M13:M43)*24)</f>
        <v>152</v>
      </c>
      <c r="N45" s="10">
        <f>INT(SUM(N13:N43)*24)</f>
        <v>0</v>
      </c>
      <c r="O45" s="10">
        <f>INT(SUM(O13:O43)*24)</f>
        <v>0</v>
      </c>
      <c r="P45" s="10">
        <f>INT(SUM(P13:P43)*24)</f>
        <v>0</v>
      </c>
      <c r="Q45" s="5">
        <f>INT(SUM(M13:P43)*24)</f>
        <v>152</v>
      </c>
      <c r="Y45" s="72"/>
      <c r="Z45" s="69"/>
      <c r="AA45" s="69"/>
      <c r="AB45" s="69"/>
      <c r="AC45" s="75"/>
      <c r="AD45" s="75"/>
      <c r="AE45" s="74"/>
      <c r="AF45" s="74"/>
      <c r="AG45" s="75"/>
      <c r="AH45" s="75"/>
      <c r="AI45" s="67"/>
      <c r="AJ45" s="67"/>
      <c r="AK45" s="67"/>
      <c r="AL45" s="67"/>
    </row>
    <row r="46" spans="2:106" ht="14.25" hidden="1" thickBot="1">
      <c r="C46" s="6" t="e">
        <f>SUM(K13:K43)-#REF!</f>
        <v>#REF!</v>
      </c>
      <c r="D46" s="6" t="e">
        <f>SUM(L13:L43)-#REF!</f>
        <v>#REF!</v>
      </c>
      <c r="E46" s="2" t="e">
        <f>#REF!</f>
        <v>#REF!</v>
      </c>
      <c r="F46" s="2" t="e">
        <f>#REF!</f>
        <v>#REF!</v>
      </c>
      <c r="G46" s="2" t="e">
        <f>MinToHour(C46)</f>
        <v>#VALUE!</v>
      </c>
      <c r="H46" s="2" t="e">
        <f>MinToHour(D46)</f>
        <v>#VALUE!</v>
      </c>
      <c r="I46" s="2" t="e">
        <f>MinToHour(E46)</f>
        <v>#VALUE!</v>
      </c>
      <c r="J46" s="2" t="e">
        <f>MinToHour(F46)</f>
        <v>#VALUE!</v>
      </c>
      <c r="M46" s="10">
        <f>MOD(INT(SUM(M13:M43)*24*60+0.5),60)</f>
        <v>0</v>
      </c>
      <c r="N46" s="10">
        <f>MOD(INT(SUM(N13:N43)*24*60+0.5),60)</f>
        <v>0</v>
      </c>
      <c r="O46" s="10">
        <f>MOD(INT(SUM(O13:O43)*24*60+0.5),60)</f>
        <v>0</v>
      </c>
      <c r="P46" s="10">
        <f>MOD(INT(SUM(P13:P43)*24*60+0.5),60)</f>
        <v>0</v>
      </c>
      <c r="Q46" s="5">
        <f>MOD(INT(SUM(M13:P43)*24*60+0.5),60)</f>
        <v>0</v>
      </c>
      <c r="Y46" s="72"/>
      <c r="Z46" s="69"/>
      <c r="AA46" s="69"/>
      <c r="AB46" s="69"/>
      <c r="AC46" s="75"/>
      <c r="AD46" s="75"/>
      <c r="AE46" s="74"/>
      <c r="AF46" s="74"/>
      <c r="AG46" s="75"/>
      <c r="AH46" s="75"/>
      <c r="AI46" s="67"/>
      <c r="AJ46" s="67"/>
      <c r="AK46" s="67"/>
      <c r="AL46" s="67"/>
    </row>
    <row r="47" spans="2:106" ht="14.25" thickBot="1">
      <c r="M47" s="68">
        <f>IF(Y53&lt;&gt;"0:00",Y53,"")</f>
        <v>6.333333333333333</v>
      </c>
      <c r="N47" s="68">
        <f>IF(Z53&lt;&gt;"0:00",Z53,"")</f>
        <v>0</v>
      </c>
      <c r="O47" s="68">
        <f>IF(AA53&lt;&gt;"0:00",AA53,"")</f>
        <v>0</v>
      </c>
      <c r="P47" s="68">
        <f>IF(AB53&lt;&gt;"0:00",AB53,"")</f>
        <v>0</v>
      </c>
      <c r="Q47" s="911">
        <f>IF(AB58&lt;&gt;"0:00",AB58,"")</f>
        <v>6.333333333333333</v>
      </c>
      <c r="R47" s="912"/>
      <c r="Y47" s="73">
        <f>SUM(Y13:Y43)</f>
        <v>9120</v>
      </c>
      <c r="Z47" s="67">
        <f>SUM(Z13:Z43)</f>
        <v>0</v>
      </c>
      <c r="AA47" s="67">
        <f>SUM(AA13:AA43)</f>
        <v>0</v>
      </c>
      <c r="AB47" s="70">
        <f>SUM(AB13:AB43)</f>
        <v>0</v>
      </c>
      <c r="AC47" s="75"/>
      <c r="AD47" s="75"/>
      <c r="AE47" s="74"/>
      <c r="AF47" s="74"/>
      <c r="AG47" s="75"/>
      <c r="AH47" s="75"/>
      <c r="AI47" s="67"/>
      <c r="AJ47" s="67"/>
      <c r="AK47" s="67"/>
      <c r="AL47" s="67"/>
      <c r="CU47" s="73">
        <f>SUM(CU13:CU43)</f>
        <v>0</v>
      </c>
      <c r="CV47" s="73">
        <f>SUM(CV13:CV43)</f>
        <v>0</v>
      </c>
    </row>
    <row r="48" spans="2:106" ht="14.25" thickBot="1">
      <c r="Y48" s="72"/>
      <c r="Z48" s="69"/>
      <c r="AA48" s="69" t="s">
        <v>140</v>
      </c>
      <c r="AB48" s="97">
        <f>SUM(Y47:AB47) + CU47</f>
        <v>9120</v>
      </c>
      <c r="AC48" s="76">
        <f>SUM(AC13:AC47)</f>
        <v>19</v>
      </c>
      <c r="AD48" s="76">
        <f>SUM(AD13:AD47)</f>
        <v>0</v>
      </c>
      <c r="AE48" s="76">
        <f>SUM(AE13:AE47)</f>
        <v>0</v>
      </c>
      <c r="AF48" s="76">
        <f>SUM(AF13:AF47)</f>
        <v>0</v>
      </c>
      <c r="AG48" s="76">
        <f>SUM(AG13:AG47)</f>
        <v>0</v>
      </c>
      <c r="AH48" s="244">
        <f>SUM(AH13:AH43)</f>
        <v>0</v>
      </c>
      <c r="AI48" s="77">
        <f>SUM(AI13:AI43)</f>
        <v>885</v>
      </c>
      <c r="AJ48" s="77">
        <f>SUM(AJ13:AJ43)</f>
        <v>0</v>
      </c>
      <c r="AK48" s="77">
        <f>SUM(AK13:AK43)</f>
        <v>0</v>
      </c>
      <c r="AL48" s="77">
        <f>SUM(AL13:AL43)</f>
        <v>0</v>
      </c>
      <c r="BV48" s="146">
        <f>SUM(BV13:BV43)</f>
        <v>465</v>
      </c>
      <c r="BW48" s="67">
        <f>SUM(BW13:BW43)</f>
        <v>1</v>
      </c>
      <c r="CI48" s="60">
        <f>SUM(CI13:CI43)</f>
        <v>0</v>
      </c>
      <c r="CJ48" s="60">
        <f>SUM(CJ13:CJ43)</f>
        <v>0</v>
      </c>
      <c r="CK48" s="60">
        <f>SUM(CK13:CK43)</f>
        <v>0</v>
      </c>
      <c r="CN48" s="60">
        <f>COUNT(CN13:CN43)</f>
        <v>0</v>
      </c>
      <c r="CU48" s="72"/>
      <c r="CV48" s="72"/>
      <c r="CW48" s="67">
        <f>SUM(CW13:CW43)</f>
        <v>0</v>
      </c>
      <c r="CX48" s="67">
        <f>SUM(CX13:CX43)</f>
        <v>0</v>
      </c>
      <c r="DB48" s="5">
        <f>SUM(DB13:DB43)</f>
        <v>0</v>
      </c>
    </row>
    <row r="49" spans="25:106">
      <c r="Y49" s="67">
        <f>Y47/60</f>
        <v>152</v>
      </c>
      <c r="Z49" s="67">
        <f>Z47/60</f>
        <v>0</v>
      </c>
      <c r="AA49" s="67">
        <f>AA47/60</f>
        <v>0</v>
      </c>
      <c r="AB49" s="67">
        <f>AB47/60</f>
        <v>0</v>
      </c>
      <c r="AH49" s="60" t="str">
        <f>HOUR(AH48)&amp;":"&amp;IF(MINUTE(AH48)&lt;10,"0","")&amp;MINUTE(AH48)</f>
        <v>0:00</v>
      </c>
      <c r="AI49" s="67">
        <f>MinToHour(AI48)</f>
        <v>15</v>
      </c>
      <c r="AJ49" s="67">
        <f>MinToHour(AJ48)</f>
        <v>0</v>
      </c>
      <c r="AK49" s="67">
        <f>MinToHour(AK48)</f>
        <v>0</v>
      </c>
      <c r="AL49" s="67">
        <f>MinToHour(AL48)</f>
        <v>0</v>
      </c>
      <c r="BV49" s="146">
        <f>INT(BV48/60)</f>
        <v>7</v>
      </c>
      <c r="BW49" s="67" t="str">
        <f>TEXT(BW48,"0")</f>
        <v>1</v>
      </c>
      <c r="CU49" s="67">
        <f>CU47/60</f>
        <v>0</v>
      </c>
      <c r="CV49" s="67">
        <f>CV47/60</f>
        <v>0</v>
      </c>
      <c r="CW49" s="60" t="str">
        <f>MMToHMM(CW48)</f>
        <v>0:00</v>
      </c>
      <c r="CX49" s="60" t="str">
        <f>MMToHMM(CX48)</f>
        <v>0:00</v>
      </c>
      <c r="DB49" s="2">
        <f>DB48/60</f>
        <v>0</v>
      </c>
    </row>
    <row r="50" spans="25:106">
      <c r="Y50" s="67">
        <f>MOD(Y47,60)</f>
        <v>0</v>
      </c>
      <c r="Z50" s="67">
        <f>MOD(Z47,60)</f>
        <v>0</v>
      </c>
      <c r="AA50" s="67">
        <f>MOD(AA47,60)</f>
        <v>0</v>
      </c>
      <c r="AB50" s="67">
        <f>MOD(AB47,60)</f>
        <v>0</v>
      </c>
      <c r="AI50" s="242" t="str">
        <f>hourTohhmm30min(AI49)</f>
        <v>15:00</v>
      </c>
      <c r="AJ50" s="322" t="str">
        <f>hourTohhmm30min(AJ49)</f>
        <v>0:00</v>
      </c>
      <c r="AK50" s="242" t="str">
        <f>hourTohhmm30min(AK49)</f>
        <v>0:00</v>
      </c>
      <c r="AL50" s="242" t="str">
        <f>hourTohhmm30min(AL49+AJ49)</f>
        <v>0:00</v>
      </c>
      <c r="BV50" s="146">
        <f>MOD(BV48,60)</f>
        <v>45</v>
      </c>
      <c r="BW50" s="67"/>
      <c r="CU50" s="67">
        <f>MOD(CU47,60)</f>
        <v>0</v>
      </c>
      <c r="CV50" s="67">
        <f>MOD(CV47,60)</f>
        <v>0</v>
      </c>
      <c r="DA50" s="66" t="s">
        <v>529</v>
      </c>
      <c r="DB50" s="2" t="str">
        <f>hourTohhmm30min(DB49)</f>
        <v>0:00</v>
      </c>
    </row>
    <row r="51" spans="25:106">
      <c r="Y51" s="67" t="str">
        <f>TEXT(INT(Y49),0)</f>
        <v>152</v>
      </c>
      <c r="Z51" s="67" t="str">
        <f>TEXT(INT(Z49),0)</f>
        <v>0</v>
      </c>
      <c r="AA51" s="67" t="str">
        <f>TEXT(INT(AA49),0)</f>
        <v>0</v>
      </c>
      <c r="AB51" s="67" t="str">
        <f>TEXT(INT(AB49),0)</f>
        <v>0</v>
      </c>
      <c r="BV51" s="146">
        <f>IF(BV50&gt;29,0.5,0)</f>
        <v>0.5</v>
      </c>
      <c r="BW51" s="67"/>
      <c r="CU51" s="67" t="str">
        <f>TEXT(INT(CU49),0)</f>
        <v>0</v>
      </c>
      <c r="CV51" s="67" t="str">
        <f>TEXT(INT(CV49),0)</f>
        <v>0</v>
      </c>
    </row>
    <row r="52" spans="25:106">
      <c r="Y52" s="67" t="str">
        <f>TEXT(Y50,"00")</f>
        <v>00</v>
      </c>
      <c r="Z52" s="67" t="str">
        <f>TEXT(Z50,"00")</f>
        <v>00</v>
      </c>
      <c r="AA52" s="67" t="str">
        <f>TEXT(AA50,"00")</f>
        <v>00</v>
      </c>
      <c r="AB52" s="67" t="str">
        <f>TEXT(AB50,"00")</f>
        <v>00</v>
      </c>
      <c r="BV52" s="67" t="str">
        <f>IF(BV51&gt;0,TEXT(BV49+BV51,"0.0"),TEXT(BV49,"0"))</f>
        <v>7.5</v>
      </c>
      <c r="BW52" s="147" t="str">
        <f>CONCATENATE("休日出勤日数合計／",BW49,"日")</f>
        <v>休日出勤日数合計／1日</v>
      </c>
      <c r="CU52" s="67" t="str">
        <f>TEXT(CU50,"00")</f>
        <v>00</v>
      </c>
      <c r="CV52" s="67" t="str">
        <f>TEXT(CV50,"00")</f>
        <v>00</v>
      </c>
    </row>
    <row r="53" spans="25:106">
      <c r="Y53" s="727">
        <f>VALUE(CONCATENATE(Y51,":",Y52))</f>
        <v>6.333333333333333</v>
      </c>
      <c r="Z53" s="727">
        <f>VALUE(CONCATENATE(Z51,":",Z52))</f>
        <v>0</v>
      </c>
      <c r="AA53" s="727">
        <f>VALUE(CONCATENATE(AA51,":",AA52))</f>
        <v>0</v>
      </c>
      <c r="AB53" s="727">
        <f>VALUE(CONCATENATE(AB51,":",AB52))</f>
        <v>0</v>
      </c>
      <c r="BV53" s="67">
        <f>MinToHour(BV48)</f>
        <v>8</v>
      </c>
      <c r="CU53" s="727">
        <f>VALUE(CONCATENATE(CU51,":",CU52))</f>
        <v>0</v>
      </c>
      <c r="CV53" s="67" t="str">
        <f>CONCATENATE(CV51,":",CV52)</f>
        <v>0:00</v>
      </c>
    </row>
    <row r="54" spans="25:106">
      <c r="AB54" s="67">
        <f>AB48/60</f>
        <v>152</v>
      </c>
      <c r="BV54" s="66" t="str">
        <f>IF(BV53=0,"",TEXT(BV53,"0.0"))</f>
        <v>8.0</v>
      </c>
    </row>
    <row r="55" spans="25:106">
      <c r="AB55" s="67">
        <f>MOD(AB48,60)</f>
        <v>0</v>
      </c>
    </row>
    <row r="56" spans="25:106">
      <c r="AB56" s="67" t="str">
        <f>TEXT(INT(AB54),0)</f>
        <v>152</v>
      </c>
    </row>
    <row r="57" spans="25:106">
      <c r="AB57" s="67" t="str">
        <f>TEXT(INT(AB55),"00")</f>
        <v>00</v>
      </c>
    </row>
    <row r="58" spans="25:106">
      <c r="AB58" s="727">
        <f>VALUE(CONCATENATE(AB56,":",AB57))</f>
        <v>6.333333333333333</v>
      </c>
    </row>
  </sheetData>
  <sheetProtection sheet="1" objects="1" scenarios="1"/>
  <mergeCells count="147">
    <mergeCell ref="AA6:AA12"/>
    <mergeCell ref="Z6:Z12"/>
    <mergeCell ref="AN5:AN12"/>
    <mergeCell ref="AS5:AS12"/>
    <mergeCell ref="AR5:AR12"/>
    <mergeCell ref="AM5:AM12"/>
    <mergeCell ref="AL5:AL12"/>
    <mergeCell ref="AD5:AD12"/>
    <mergeCell ref="AG5:AG12"/>
    <mergeCell ref="AF5:AF12"/>
    <mergeCell ref="AE5:AE12"/>
    <mergeCell ref="AK5:AK12"/>
    <mergeCell ref="AJ5:AJ12"/>
    <mergeCell ref="AI5:AI12"/>
    <mergeCell ref="AH5:AH12"/>
    <mergeCell ref="B7:B9"/>
    <mergeCell ref="B10:B12"/>
    <mergeCell ref="BR5:BR12"/>
    <mergeCell ref="BQ5:BQ12"/>
    <mergeCell ref="BP5:BP12"/>
    <mergeCell ref="BO5:BO12"/>
    <mergeCell ref="BA5:BA12"/>
    <mergeCell ref="BL5:BL12"/>
    <mergeCell ref="BK5:BK12"/>
    <mergeCell ref="BJ5:BJ12"/>
    <mergeCell ref="R9:R10"/>
    <mergeCell ref="R11:R12"/>
    <mergeCell ref="BD5:BD12"/>
    <mergeCell ref="BC5:BC12"/>
    <mergeCell ref="BB5:BB12"/>
    <mergeCell ref="AW5:AW12"/>
    <mergeCell ref="AV5:AV12"/>
    <mergeCell ref="AU5:AU12"/>
    <mergeCell ref="BI5:BI12"/>
    <mergeCell ref="BH5:BH12"/>
    <mergeCell ref="BG5:BG12"/>
    <mergeCell ref="BF5:BF12"/>
    <mergeCell ref="BE5:BE12"/>
    <mergeCell ref="AY5:AY12"/>
    <mergeCell ref="B3:C3"/>
    <mergeCell ref="D3:F3"/>
    <mergeCell ref="D4:F4"/>
    <mergeCell ref="D5:F5"/>
    <mergeCell ref="B5:C5"/>
    <mergeCell ref="B4:C4"/>
    <mergeCell ref="BX5:BX12"/>
    <mergeCell ref="BW5:BW12"/>
    <mergeCell ref="BV5:BV12"/>
    <mergeCell ref="BU5:BU12"/>
    <mergeCell ref="BN5:BN12"/>
    <mergeCell ref="BM5:BM12"/>
    <mergeCell ref="BT5:BT12"/>
    <mergeCell ref="BS5:BS12"/>
    <mergeCell ref="K7:L9"/>
    <mergeCell ref="E10:E12"/>
    <mergeCell ref="F7:J12"/>
    <mergeCell ref="K10:K12"/>
    <mergeCell ref="L10:L12"/>
    <mergeCell ref="M9:M10"/>
    <mergeCell ref="H5:M5"/>
    <mergeCell ref="Q7:Q8"/>
    <mergeCell ref="M11:M12"/>
    <mergeCell ref="R7:R8"/>
    <mergeCell ref="Q47:R47"/>
    <mergeCell ref="C10:C12"/>
    <mergeCell ref="D10:D12"/>
    <mergeCell ref="C7:D9"/>
    <mergeCell ref="M7:P8"/>
    <mergeCell ref="E7:E9"/>
    <mergeCell ref="N11:N12"/>
    <mergeCell ref="O11:O12"/>
    <mergeCell ref="P11:P12"/>
    <mergeCell ref="F13:J13"/>
    <mergeCell ref="F14:J14"/>
    <mergeCell ref="F15:J15"/>
    <mergeCell ref="F16:J16"/>
    <mergeCell ref="Q9:Q10"/>
    <mergeCell ref="Q11:Q12"/>
    <mergeCell ref="N9:N10"/>
    <mergeCell ref="F22:J22"/>
    <mergeCell ref="F23:J23"/>
    <mergeCell ref="F24:J24"/>
    <mergeCell ref="F25:J25"/>
    <mergeCell ref="F17:J17"/>
    <mergeCell ref="F18:J18"/>
    <mergeCell ref="F19:J19"/>
    <mergeCell ref="F20:J20"/>
    <mergeCell ref="F37:J37"/>
    <mergeCell ref="F30:J30"/>
    <mergeCell ref="F31:J31"/>
    <mergeCell ref="F32:J32"/>
    <mergeCell ref="F33:J33"/>
    <mergeCell ref="F35:J35"/>
    <mergeCell ref="F36:J36"/>
    <mergeCell ref="F43:J43"/>
    <mergeCell ref="F38:J38"/>
    <mergeCell ref="F39:J39"/>
    <mergeCell ref="F40:J40"/>
    <mergeCell ref="F41:J41"/>
    <mergeCell ref="F42:J42"/>
    <mergeCell ref="F34:J34"/>
    <mergeCell ref="F21:J21"/>
    <mergeCell ref="F26:J26"/>
    <mergeCell ref="F27:J27"/>
    <mergeCell ref="F28:J28"/>
    <mergeCell ref="F29:J29"/>
    <mergeCell ref="O9:O10"/>
    <mergeCell ref="P9:P10"/>
    <mergeCell ref="CF5:CF12"/>
    <mergeCell ref="CE5:CE12"/>
    <mergeCell ref="CD5:CD12"/>
    <mergeCell ref="CC5:CC12"/>
    <mergeCell ref="CB5:CB12"/>
    <mergeCell ref="CA5:CA12"/>
    <mergeCell ref="BZ5:BZ12"/>
    <mergeCell ref="BY5:BY12"/>
    <mergeCell ref="AZ5:AZ12"/>
    <mergeCell ref="AX5:AX12"/>
    <mergeCell ref="AT5:AT12"/>
    <mergeCell ref="AQ5:AQ12"/>
    <mergeCell ref="AP5:AP12"/>
    <mergeCell ref="AO5:AO12"/>
    <mergeCell ref="Y6:Y12"/>
    <mergeCell ref="AC5:AC12"/>
    <mergeCell ref="AB6:AB12"/>
    <mergeCell ref="CS5:CS12"/>
    <mergeCell ref="CO5:CO12"/>
    <mergeCell ref="CP5:CP12"/>
    <mergeCell ref="CN5:CN12"/>
    <mergeCell ref="CL5:CL12"/>
    <mergeCell ref="CK5:CK12"/>
    <mergeCell ref="CG5:CG12"/>
    <mergeCell ref="CH5:CH12"/>
    <mergeCell ref="CJ5:CJ12"/>
    <mergeCell ref="CI5:CI12"/>
    <mergeCell ref="CQ5:CQ12"/>
    <mergeCell ref="CR5:CR12"/>
    <mergeCell ref="CM5:CM12"/>
    <mergeCell ref="DB5:DB12"/>
    <mergeCell ref="DA5:DA12"/>
    <mergeCell ref="CW5:CW12"/>
    <mergeCell ref="CX5:CX12"/>
    <mergeCell ref="CT5:CT12"/>
    <mergeCell ref="CU5:CU12"/>
    <mergeCell ref="CV5:CV12"/>
    <mergeCell ref="CZ5:CZ12"/>
    <mergeCell ref="CY5:CY12"/>
  </mergeCells>
  <phoneticPr fontId="2"/>
  <pageMargins left="0.59055118110236227" right="0" top="0.59055118110236227" bottom="0.59055118110236227" header="0.51181102362204722" footer="0.51181102362204722"/>
  <pageSetup paperSize="9" orientation="portrait" r:id="rId1"/>
  <headerFooter alignWithMargins="0"/>
  <drawing r:id="rId2"/>
  <legacyDrawing r:id="rId3"/>
  <controls>
    <mc:AlternateContent xmlns:mc="http://schemas.openxmlformats.org/markup-compatibility/2006">
      <mc:Choice Requires="x14">
        <control shapeId="1151" r:id="rId4" name="Label16">
          <controlPr defaultSize="0" autoLine="0" autoPict="0" r:id="rId5">
            <anchor moveWithCells="1">
              <from>
                <xdr:col>12</xdr:col>
                <xdr:colOff>38100</xdr:colOff>
                <xdr:row>48</xdr:row>
                <xdr:rowOff>57150</xdr:rowOff>
              </from>
              <to>
                <xdr:col>12</xdr:col>
                <xdr:colOff>504825</xdr:colOff>
                <xdr:row>49</xdr:row>
                <xdr:rowOff>57150</xdr:rowOff>
              </to>
            </anchor>
          </controlPr>
        </control>
      </mc:Choice>
      <mc:Fallback>
        <control shapeId="1151" r:id="rId4" name="Label16"/>
      </mc:Fallback>
    </mc:AlternateContent>
    <mc:AlternateContent xmlns:mc="http://schemas.openxmlformats.org/markup-compatibility/2006">
      <mc:Choice Requires="x14">
        <control shapeId="1147" r:id="rId6" name="Label15">
          <controlPr defaultSize="0" autoLine="0" r:id="rId7">
            <anchor moveWithCells="1">
              <from>
                <xdr:col>13</xdr:col>
                <xdr:colOff>428625</xdr:colOff>
                <xdr:row>48</xdr:row>
                <xdr:rowOff>9525</xdr:rowOff>
              </from>
              <to>
                <xdr:col>17</xdr:col>
                <xdr:colOff>123825</xdr:colOff>
                <xdr:row>49</xdr:row>
                <xdr:rowOff>47625</xdr:rowOff>
              </to>
            </anchor>
          </controlPr>
        </control>
      </mc:Choice>
      <mc:Fallback>
        <control shapeId="1147" r:id="rId6" name="Label15"/>
      </mc:Fallback>
    </mc:AlternateContent>
    <mc:AlternateContent xmlns:mc="http://schemas.openxmlformats.org/markup-compatibility/2006">
      <mc:Choice Requires="x14">
        <control shapeId="1124" r:id="rId8" name="CommandButton1">
          <controlPr defaultSize="0" autoLine="0" r:id="rId9">
            <anchor moveWithCells="1">
              <from>
                <xdr:col>19</xdr:col>
                <xdr:colOff>0</xdr:colOff>
                <xdr:row>2</xdr:row>
                <xdr:rowOff>85725</xdr:rowOff>
              </from>
              <to>
                <xdr:col>20</xdr:col>
                <xdr:colOff>0</xdr:colOff>
                <xdr:row>3</xdr:row>
                <xdr:rowOff>142875</xdr:rowOff>
              </to>
            </anchor>
          </controlPr>
        </control>
      </mc:Choice>
      <mc:Fallback>
        <control shapeId="1124" r:id="rId8" name="CommandButton1"/>
      </mc:Fallback>
    </mc:AlternateContent>
    <mc:AlternateContent xmlns:mc="http://schemas.openxmlformats.org/markup-compatibility/2006">
      <mc:Choice Requires="x14">
        <control shapeId="1123" r:id="rId10" name="Label14">
          <controlPr defaultSize="0" autoLine="0" r:id="rId11">
            <anchor moveWithCells="1">
              <from>
                <xdr:col>28</xdr:col>
                <xdr:colOff>0</xdr:colOff>
                <xdr:row>48</xdr:row>
                <xdr:rowOff>133350</xdr:rowOff>
              </from>
              <to>
                <xdr:col>28</xdr:col>
                <xdr:colOff>371475</xdr:colOff>
                <xdr:row>49</xdr:row>
                <xdr:rowOff>142875</xdr:rowOff>
              </to>
            </anchor>
          </controlPr>
        </control>
      </mc:Choice>
      <mc:Fallback>
        <control shapeId="1123" r:id="rId10" name="Label14"/>
      </mc:Fallback>
    </mc:AlternateContent>
    <mc:AlternateContent xmlns:mc="http://schemas.openxmlformats.org/markup-compatibility/2006">
      <mc:Choice Requires="x14">
        <control shapeId="1121" r:id="rId12" name="Label13">
          <controlPr defaultSize="0" autoLine="0" r:id="rId13">
            <anchor moveWithCells="1">
              <from>
                <xdr:col>7</xdr:col>
                <xdr:colOff>85725</xdr:colOff>
                <xdr:row>48</xdr:row>
                <xdr:rowOff>142875</xdr:rowOff>
              </from>
              <to>
                <xdr:col>8</xdr:col>
                <xdr:colOff>38100</xdr:colOff>
                <xdr:row>49</xdr:row>
                <xdr:rowOff>152400</xdr:rowOff>
              </to>
            </anchor>
          </controlPr>
        </control>
      </mc:Choice>
      <mc:Fallback>
        <control shapeId="1121" r:id="rId12" name="Label13"/>
      </mc:Fallback>
    </mc:AlternateContent>
    <mc:AlternateContent xmlns:mc="http://schemas.openxmlformats.org/markup-compatibility/2006">
      <mc:Choice Requires="x14">
        <control shapeId="1120" r:id="rId14" name="Label12">
          <controlPr defaultSize="0" autoLine="0" r:id="rId15">
            <anchor moveWithCells="1">
              <from>
                <xdr:col>28</xdr:col>
                <xdr:colOff>0</xdr:colOff>
                <xdr:row>46</xdr:row>
                <xdr:rowOff>142875</xdr:rowOff>
              </from>
              <to>
                <xdr:col>28</xdr:col>
                <xdr:colOff>304800</xdr:colOff>
                <xdr:row>47</xdr:row>
                <xdr:rowOff>142875</xdr:rowOff>
              </to>
            </anchor>
          </controlPr>
        </control>
      </mc:Choice>
      <mc:Fallback>
        <control shapeId="1120" r:id="rId14" name="Label12"/>
      </mc:Fallback>
    </mc:AlternateContent>
    <mc:AlternateContent xmlns:mc="http://schemas.openxmlformats.org/markup-compatibility/2006">
      <mc:Choice Requires="x14">
        <control shapeId="1119" r:id="rId16" name="Label11">
          <controlPr defaultSize="0" autoLine="0" r:id="rId17">
            <anchor moveWithCells="1">
              <from>
                <xdr:col>6</xdr:col>
                <xdr:colOff>19050</xdr:colOff>
                <xdr:row>48</xdr:row>
                <xdr:rowOff>133350</xdr:rowOff>
              </from>
              <to>
                <xdr:col>6</xdr:col>
                <xdr:colOff>323850</xdr:colOff>
                <xdr:row>49</xdr:row>
                <xdr:rowOff>142875</xdr:rowOff>
              </to>
            </anchor>
          </controlPr>
        </control>
      </mc:Choice>
      <mc:Fallback>
        <control shapeId="1119" r:id="rId16" name="Label11"/>
      </mc:Fallback>
    </mc:AlternateContent>
    <mc:AlternateContent xmlns:mc="http://schemas.openxmlformats.org/markup-compatibility/2006">
      <mc:Choice Requires="x14">
        <control shapeId="1118" r:id="rId18" name="Label10">
          <controlPr defaultSize="0" autoLine="0" autoPict="0" r:id="rId19">
            <anchor moveWithCells="1">
              <from>
                <xdr:col>4</xdr:col>
                <xdr:colOff>228600</xdr:colOff>
                <xdr:row>48</xdr:row>
                <xdr:rowOff>133350</xdr:rowOff>
              </from>
              <to>
                <xdr:col>5</xdr:col>
                <xdr:colOff>295275</xdr:colOff>
                <xdr:row>49</xdr:row>
                <xdr:rowOff>142875</xdr:rowOff>
              </to>
            </anchor>
          </controlPr>
        </control>
      </mc:Choice>
      <mc:Fallback>
        <control shapeId="1118" r:id="rId18" name="Label10"/>
      </mc:Fallback>
    </mc:AlternateContent>
    <mc:AlternateContent xmlns:mc="http://schemas.openxmlformats.org/markup-compatibility/2006">
      <mc:Choice Requires="x14">
        <control shapeId="1117" r:id="rId20" name="Label9">
          <controlPr defaultSize="0" autoLine="0" r:id="rId21">
            <anchor moveWithCells="1">
              <from>
                <xdr:col>3</xdr:col>
                <xdr:colOff>276225</xdr:colOff>
                <xdr:row>48</xdr:row>
                <xdr:rowOff>133350</xdr:rowOff>
              </from>
              <to>
                <xdr:col>4</xdr:col>
                <xdr:colOff>152400</xdr:colOff>
                <xdr:row>49</xdr:row>
                <xdr:rowOff>142875</xdr:rowOff>
              </to>
            </anchor>
          </controlPr>
        </control>
      </mc:Choice>
      <mc:Fallback>
        <control shapeId="1117" r:id="rId20" name="Label9"/>
      </mc:Fallback>
    </mc:AlternateContent>
    <mc:AlternateContent xmlns:mc="http://schemas.openxmlformats.org/markup-compatibility/2006">
      <mc:Choice Requires="x14">
        <control shapeId="1085" r:id="rId22" name="Label8">
          <controlPr defaultSize="0" autoLine="0" r:id="rId23">
            <anchor moveWithCells="1">
              <from>
                <xdr:col>11</xdr:col>
                <xdr:colOff>152400</xdr:colOff>
                <xdr:row>49</xdr:row>
                <xdr:rowOff>28575</xdr:rowOff>
              </from>
              <to>
                <xdr:col>11</xdr:col>
                <xdr:colOff>457200</xdr:colOff>
                <xdr:row>50</xdr:row>
                <xdr:rowOff>0</xdr:rowOff>
              </to>
            </anchor>
          </controlPr>
        </control>
      </mc:Choice>
      <mc:Fallback>
        <control shapeId="1085" r:id="rId22" name="Label8"/>
      </mc:Fallback>
    </mc:AlternateContent>
    <mc:AlternateContent xmlns:mc="http://schemas.openxmlformats.org/markup-compatibility/2006">
      <mc:Choice Requires="x14">
        <control shapeId="1084" r:id="rId24" name="Label7">
          <controlPr defaultSize="0" autoLine="0" r:id="rId25">
            <anchor moveWithCells="1">
              <from>
                <xdr:col>11</xdr:col>
                <xdr:colOff>152400</xdr:colOff>
                <xdr:row>47</xdr:row>
                <xdr:rowOff>9525</xdr:rowOff>
              </from>
              <to>
                <xdr:col>11</xdr:col>
                <xdr:colOff>457200</xdr:colOff>
                <xdr:row>47</xdr:row>
                <xdr:rowOff>152400</xdr:rowOff>
              </to>
            </anchor>
          </controlPr>
        </control>
      </mc:Choice>
      <mc:Fallback>
        <control shapeId="1084" r:id="rId24" name="Label7"/>
      </mc:Fallback>
    </mc:AlternateContent>
    <mc:AlternateContent xmlns:mc="http://schemas.openxmlformats.org/markup-compatibility/2006">
      <mc:Choice Requires="x14">
        <control shapeId="1083" r:id="rId26" name="Label6">
          <controlPr defaultSize="0" autoLine="0" r:id="rId27">
            <anchor moveWithCells="1">
              <from>
                <xdr:col>10</xdr:col>
                <xdr:colOff>190500</xdr:colOff>
                <xdr:row>49</xdr:row>
                <xdr:rowOff>19050</xdr:rowOff>
              </from>
              <to>
                <xdr:col>10</xdr:col>
                <xdr:colOff>495300</xdr:colOff>
                <xdr:row>49</xdr:row>
                <xdr:rowOff>161925</xdr:rowOff>
              </to>
            </anchor>
          </controlPr>
        </control>
      </mc:Choice>
      <mc:Fallback>
        <control shapeId="1083" r:id="rId26" name="Label6"/>
      </mc:Fallback>
    </mc:AlternateContent>
    <mc:AlternateContent xmlns:mc="http://schemas.openxmlformats.org/markup-compatibility/2006">
      <mc:Choice Requires="x14">
        <control shapeId="1082" r:id="rId28" name="Label5">
          <controlPr defaultSize="0" autoLine="0" r:id="rId29">
            <anchor moveWithCells="1">
              <from>
                <xdr:col>10</xdr:col>
                <xdr:colOff>190500</xdr:colOff>
                <xdr:row>47</xdr:row>
                <xdr:rowOff>19050</xdr:rowOff>
              </from>
              <to>
                <xdr:col>10</xdr:col>
                <xdr:colOff>495300</xdr:colOff>
                <xdr:row>47</xdr:row>
                <xdr:rowOff>161925</xdr:rowOff>
              </to>
            </anchor>
          </controlPr>
        </control>
      </mc:Choice>
      <mc:Fallback>
        <control shapeId="1082" r:id="rId28" name="Label5"/>
      </mc:Fallback>
    </mc:AlternateContent>
    <mc:AlternateContent xmlns:mc="http://schemas.openxmlformats.org/markup-compatibility/2006">
      <mc:Choice Requires="x14">
        <control shapeId="1081" r:id="rId30" name="Label4">
          <controlPr defaultSize="0" autoLine="0" r:id="rId31">
            <anchor moveWithCells="1">
              <from>
                <xdr:col>28</xdr:col>
                <xdr:colOff>0</xdr:colOff>
                <xdr:row>48</xdr:row>
                <xdr:rowOff>9525</xdr:rowOff>
              </from>
              <to>
                <xdr:col>28</xdr:col>
                <xdr:colOff>304800</xdr:colOff>
                <xdr:row>48</xdr:row>
                <xdr:rowOff>152400</xdr:rowOff>
              </to>
            </anchor>
          </controlPr>
        </control>
      </mc:Choice>
      <mc:Fallback>
        <control shapeId="1081" r:id="rId30" name="Label4"/>
      </mc:Fallback>
    </mc:AlternateContent>
    <mc:AlternateContent xmlns:mc="http://schemas.openxmlformats.org/markup-compatibility/2006">
      <mc:Choice Requires="x14">
        <control shapeId="1080" r:id="rId32" name="Label3">
          <controlPr defaultSize="0" autoLine="0" autoPict="0" r:id="rId33">
            <anchor moveWithCells="1">
              <from>
                <xdr:col>10</xdr:col>
                <xdr:colOff>495300</xdr:colOff>
                <xdr:row>46</xdr:row>
                <xdr:rowOff>19050</xdr:rowOff>
              </from>
              <to>
                <xdr:col>11</xdr:col>
                <xdr:colOff>295275</xdr:colOff>
                <xdr:row>46</xdr:row>
                <xdr:rowOff>161925</xdr:rowOff>
              </to>
            </anchor>
          </controlPr>
        </control>
      </mc:Choice>
      <mc:Fallback>
        <control shapeId="1080" r:id="rId32" name="Label3"/>
      </mc:Fallback>
    </mc:AlternateContent>
    <mc:AlternateContent xmlns:mc="http://schemas.openxmlformats.org/markup-compatibility/2006">
      <mc:Choice Requires="x14">
        <control shapeId="1079" r:id="rId34" name="Label2">
          <controlPr defaultSize="0" autoLine="0" r:id="rId35">
            <anchor moveWithCells="1">
              <from>
                <xdr:col>28</xdr:col>
                <xdr:colOff>0</xdr:colOff>
                <xdr:row>48</xdr:row>
                <xdr:rowOff>19050</xdr:rowOff>
              </from>
              <to>
                <xdr:col>28</xdr:col>
                <xdr:colOff>304800</xdr:colOff>
                <xdr:row>48</xdr:row>
                <xdr:rowOff>161925</xdr:rowOff>
              </to>
            </anchor>
          </controlPr>
        </control>
      </mc:Choice>
      <mc:Fallback>
        <control shapeId="1079" r:id="rId34" name="Label2"/>
      </mc:Fallback>
    </mc:AlternateContent>
    <mc:AlternateContent xmlns:mc="http://schemas.openxmlformats.org/markup-compatibility/2006">
      <mc:Choice Requires="x14">
        <control shapeId="1078" r:id="rId36" name="Label1">
          <controlPr defaultSize="0" autoLine="0" r:id="rId37">
            <anchor moveWithCells="1">
              <from>
                <xdr:col>28</xdr:col>
                <xdr:colOff>0</xdr:colOff>
                <xdr:row>46</xdr:row>
                <xdr:rowOff>19050</xdr:rowOff>
              </from>
              <to>
                <xdr:col>28</xdr:col>
                <xdr:colOff>304800</xdr:colOff>
                <xdr:row>46</xdr:row>
                <xdr:rowOff>161925</xdr:rowOff>
              </to>
            </anchor>
          </controlPr>
        </control>
      </mc:Choice>
      <mc:Fallback>
        <control shapeId="1078" r:id="rId36" name="Label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E60"/>
  <sheetViews>
    <sheetView showGridLines="0" zoomScale="60" zoomScaleNormal="60" workbookViewId="0">
      <selection activeCell="K8" sqref="K8:P8"/>
    </sheetView>
  </sheetViews>
  <sheetFormatPr defaultRowHeight="14.25"/>
  <cols>
    <col min="1" max="1" width="5.625" style="45" customWidth="1"/>
    <col min="2" max="2" width="3.5" style="45" customWidth="1"/>
    <col min="3" max="3" width="9.375" style="53" customWidth="1"/>
    <col min="4" max="4" width="8.625" style="45" customWidth="1" collapsed="1"/>
    <col min="5" max="5" width="8.125" style="50" customWidth="1" collapsed="1"/>
    <col min="6" max="6" width="8.75" style="203" customWidth="1"/>
    <col min="7" max="7" width="7.5" style="45" customWidth="1"/>
    <col min="8" max="8" width="7.875" style="45" customWidth="1"/>
    <col min="9" max="9" width="7.75" style="45" customWidth="1"/>
    <col min="10" max="10" width="8.125" style="45" customWidth="1"/>
    <col min="11" max="11" width="8.25" style="45" customWidth="1"/>
    <col min="12" max="12" width="8.125" style="45" customWidth="1"/>
    <col min="13" max="13" width="0.75" style="45" hidden="1" customWidth="1"/>
    <col min="14" max="14" width="12.25" style="45" customWidth="1"/>
    <col min="15" max="15" width="11" style="45" customWidth="1"/>
    <col min="16" max="16" width="10.625" style="45" customWidth="1"/>
    <col min="17" max="17" width="8.125" style="45" customWidth="1" collapsed="1"/>
    <col min="18" max="18" width="8.125" style="45" bestFit="1" customWidth="1"/>
    <col min="19" max="19" width="8.625" style="45" customWidth="1" collapsed="1"/>
    <col min="20" max="20" width="8.625" style="45" customWidth="1"/>
    <col min="21" max="21" width="9.25" style="45" customWidth="1"/>
    <col min="22" max="23" width="9.5" style="45" customWidth="1"/>
    <col min="24" max="24" width="2" style="45" customWidth="1"/>
    <col min="25" max="25" width="1.875" customWidth="1"/>
    <col min="26" max="26" width="4.25" customWidth="1"/>
  </cols>
  <sheetData>
    <row r="1" spans="1:83" ht="33.75" customHeight="1">
      <c r="A1" s="208"/>
      <c r="B1" s="208"/>
      <c r="C1" s="626"/>
      <c r="D1" s="208"/>
      <c r="E1" s="331"/>
      <c r="F1" s="627"/>
      <c r="G1" s="208"/>
      <c r="H1" s="208"/>
      <c r="I1" s="208"/>
      <c r="J1" s="208"/>
      <c r="K1" s="208"/>
      <c r="L1" s="208"/>
      <c r="M1" s="208"/>
      <c r="N1" s="208"/>
      <c r="O1" s="208"/>
      <c r="P1" s="208"/>
      <c r="Q1" s="208"/>
      <c r="R1" s="208"/>
      <c r="S1" s="208"/>
      <c r="T1" s="208"/>
      <c r="U1" s="208"/>
      <c r="V1" s="208"/>
      <c r="W1" s="208"/>
      <c r="X1" s="44"/>
      <c r="Y1" s="306"/>
      <c r="Z1" s="306"/>
      <c r="AA1" s="306"/>
    </row>
    <row r="2" spans="1:83">
      <c r="A2" s="208"/>
      <c r="B2" s="208"/>
      <c r="C2" s="626"/>
      <c r="D2" s="208"/>
      <c r="E2" s="331"/>
      <c r="F2" s="627"/>
      <c r="G2" s="208"/>
      <c r="H2" s="208"/>
      <c r="I2" s="208"/>
      <c r="J2" s="208"/>
      <c r="K2" s="208"/>
      <c r="L2" s="208"/>
      <c r="M2" s="208"/>
      <c r="N2" s="208"/>
      <c r="O2" s="208"/>
      <c r="P2" s="208"/>
      <c r="Q2" s="208"/>
      <c r="R2" s="208"/>
      <c r="S2" s="208"/>
      <c r="T2" s="628"/>
      <c r="U2" s="208"/>
      <c r="V2" s="208"/>
      <c r="W2" s="208"/>
      <c r="X2" s="44"/>
      <c r="Y2" s="306"/>
      <c r="Z2" s="306"/>
      <c r="AA2" s="306"/>
    </row>
    <row r="3" spans="1:83">
      <c r="A3" s="208"/>
      <c r="B3" s="208"/>
      <c r="C3" s="211"/>
      <c r="D3" s="208"/>
      <c r="E3" s="331"/>
      <c r="F3" s="627"/>
      <c r="G3" s="208"/>
      <c r="H3" s="208"/>
      <c r="I3" s="208"/>
      <c r="J3" s="208"/>
      <c r="K3" s="208"/>
      <c r="L3" s="208"/>
      <c r="M3" s="208"/>
      <c r="N3" s="208"/>
      <c r="O3" s="208"/>
      <c r="P3" s="208"/>
      <c r="Q3" s="208"/>
      <c r="R3" s="208"/>
      <c r="S3" s="208"/>
      <c r="T3" s="208"/>
      <c r="U3" s="208"/>
      <c r="V3" s="208"/>
      <c r="W3" s="208"/>
      <c r="X3" s="44"/>
      <c r="Y3" s="306"/>
      <c r="Z3" s="306"/>
      <c r="AA3" s="306"/>
    </row>
    <row r="4" spans="1:83">
      <c r="A4" s="208"/>
      <c r="B4" s="208"/>
      <c r="C4" s="626"/>
      <c r="D4" s="208"/>
      <c r="E4" s="331"/>
      <c r="F4" s="627"/>
      <c r="G4" s="208"/>
      <c r="H4" s="208"/>
      <c r="I4" s="208"/>
      <c r="J4" s="208"/>
      <c r="K4" s="208"/>
      <c r="L4" s="208"/>
      <c r="M4" s="208"/>
      <c r="N4" s="208"/>
      <c r="O4" s="208"/>
      <c r="P4" s="208"/>
      <c r="Q4" s="208"/>
      <c r="R4" s="208"/>
      <c r="S4" s="208"/>
      <c r="T4" s="208"/>
      <c r="U4" s="208"/>
      <c r="V4" s="208"/>
      <c r="W4" s="208"/>
      <c r="X4" s="44"/>
      <c r="Y4" s="306"/>
      <c r="Z4" s="306"/>
      <c r="AA4" s="306"/>
    </row>
    <row r="5" spans="1:83" ht="19.5" customHeight="1">
      <c r="A5" s="208"/>
      <c r="B5" s="208"/>
      <c r="C5" s="629"/>
      <c r="D5" s="208"/>
      <c r="E5" s="331"/>
      <c r="F5" s="627"/>
      <c r="G5" s="208"/>
      <c r="H5" s="208"/>
      <c r="I5" s="208"/>
      <c r="J5" s="208"/>
      <c r="K5" s="208"/>
      <c r="L5" s="208"/>
      <c r="M5" s="208"/>
      <c r="N5" s="208"/>
      <c r="O5" s="208"/>
      <c r="P5" s="208"/>
      <c r="Q5" s="208"/>
      <c r="R5" s="208"/>
      <c r="S5" s="208"/>
      <c r="T5" s="208"/>
      <c r="U5" s="208"/>
      <c r="V5" s="208"/>
      <c r="W5" s="208"/>
      <c r="X5" s="44"/>
      <c r="Y5" s="306"/>
      <c r="Z5" s="306"/>
      <c r="AA5" s="306"/>
    </row>
    <row r="6" spans="1:83" ht="27.75" customHeight="1">
      <c r="A6" s="208"/>
      <c r="B6" s="630" t="s">
        <v>745</v>
      </c>
      <c r="C6" s="631"/>
      <c r="D6" s="971" t="s">
        <v>575</v>
      </c>
      <c r="E6" s="972"/>
      <c r="F6" s="973"/>
      <c r="G6" s="208"/>
      <c r="H6" s="208"/>
      <c r="I6" s="208"/>
      <c r="J6" s="208"/>
      <c r="K6" s="208"/>
      <c r="L6" s="208"/>
      <c r="M6" s="208"/>
      <c r="N6" s="208"/>
      <c r="O6" s="208"/>
      <c r="P6" s="208"/>
      <c r="Q6" s="30"/>
      <c r="R6" s="208"/>
      <c r="S6" s="632" t="s">
        <v>746</v>
      </c>
      <c r="T6" s="633"/>
      <c r="U6" s="634"/>
      <c r="V6" s="635" t="s">
        <v>747</v>
      </c>
      <c r="W6" s="636"/>
      <c r="X6" s="44"/>
      <c r="Y6" s="306"/>
      <c r="Z6" s="306"/>
      <c r="AA6" s="306"/>
    </row>
    <row r="7" spans="1:83" ht="27.75" customHeight="1">
      <c r="A7" s="208"/>
      <c r="B7" s="630" t="s">
        <v>748</v>
      </c>
      <c r="C7" s="631"/>
      <c r="D7" s="974">
        <v>123456</v>
      </c>
      <c r="E7" s="975"/>
      <c r="F7" s="976"/>
      <c r="G7" s="637"/>
      <c r="H7" s="637"/>
      <c r="I7" s="637"/>
      <c r="J7" s="637"/>
      <c r="K7" s="637"/>
      <c r="L7" s="637"/>
      <c r="M7" s="637"/>
      <c r="N7" s="208"/>
      <c r="O7" s="208"/>
      <c r="P7" s="208"/>
      <c r="Q7" s="30"/>
      <c r="R7" s="208"/>
      <c r="S7" s="638"/>
      <c r="T7" s="639"/>
      <c r="U7" s="640"/>
      <c r="V7" s="641"/>
      <c r="W7" s="641"/>
      <c r="X7" s="44"/>
      <c r="Y7" s="306"/>
      <c r="Z7" s="306"/>
      <c r="AA7" s="306"/>
    </row>
    <row r="8" spans="1:83" ht="27.75" customHeight="1">
      <c r="A8" s="208"/>
      <c r="B8" s="630" t="s">
        <v>749</v>
      </c>
      <c r="C8" s="642"/>
      <c r="D8" s="971" t="s">
        <v>576</v>
      </c>
      <c r="E8" s="972"/>
      <c r="F8" s="973"/>
      <c r="G8" s="332"/>
      <c r="H8" s="332"/>
      <c r="I8" s="332"/>
      <c r="J8" s="332"/>
      <c r="K8" s="224"/>
      <c r="L8" s="224"/>
      <c r="M8" s="225"/>
      <c r="N8" s="226">
        <v>2017</v>
      </c>
      <c r="O8" s="227" t="s">
        <v>750</v>
      </c>
      <c r="P8" s="207">
        <v>10</v>
      </c>
      <c r="Q8" s="30"/>
      <c r="R8" s="208"/>
      <c r="S8" s="643"/>
      <c r="T8" s="643"/>
      <c r="U8" s="643"/>
      <c r="V8" s="644"/>
      <c r="W8" s="644"/>
      <c r="X8" s="44"/>
      <c r="Y8" s="306"/>
      <c r="Z8" s="306"/>
      <c r="AA8" s="306"/>
    </row>
    <row r="9" spans="1:83" ht="20.25" customHeight="1">
      <c r="A9" s="208"/>
      <c r="B9" s="208"/>
      <c r="C9" s="645"/>
      <c r="D9" s="49"/>
      <c r="E9" s="208"/>
      <c r="F9" s="627"/>
      <c r="G9" s="332"/>
      <c r="H9" s="332"/>
      <c r="I9" s="332"/>
      <c r="J9" s="332"/>
      <c r="K9" s="332"/>
      <c r="L9" s="646"/>
      <c r="M9" s="333"/>
      <c r="N9" s="211"/>
      <c r="O9" s="49"/>
      <c r="P9" s="49"/>
      <c r="Q9" s="30"/>
      <c r="R9" s="208"/>
      <c r="S9" s="647"/>
      <c r="T9" s="648"/>
      <c r="U9" s="647"/>
      <c r="V9" s="649"/>
      <c r="W9" s="649"/>
      <c r="X9" s="44"/>
      <c r="Y9" s="306"/>
      <c r="Z9" s="306"/>
      <c r="AA9" s="306"/>
    </row>
    <row r="10" spans="1:83" ht="17.25">
      <c r="A10" s="208"/>
      <c r="B10" s="208"/>
      <c r="C10" s="650"/>
      <c r="D10" s="331"/>
      <c r="E10" s="310"/>
      <c r="F10" s="651"/>
      <c r="G10" s="314"/>
      <c r="H10" s="314"/>
      <c r="I10" s="314"/>
      <c r="J10" s="314"/>
      <c r="K10" s="314"/>
      <c r="L10" s="314"/>
      <c r="M10" s="314"/>
      <c r="N10" s="310"/>
      <c r="O10" s="313"/>
      <c r="P10" s="313"/>
      <c r="Q10" s="314"/>
      <c r="R10" s="314"/>
      <c r="S10" s="49"/>
      <c r="T10" s="314"/>
      <c r="U10" s="49"/>
      <c r="V10" s="208"/>
      <c r="W10" s="208"/>
      <c r="X10" s="44"/>
      <c r="Y10" s="306"/>
      <c r="Z10" s="306"/>
      <c r="AA10" s="306"/>
    </row>
    <row r="11" spans="1:83" ht="38.25" customHeight="1">
      <c r="A11" s="629"/>
      <c r="B11" s="977" t="s">
        <v>288</v>
      </c>
      <c r="C11" s="978"/>
      <c r="D11" s="652" t="s">
        <v>752</v>
      </c>
      <c r="E11" s="652"/>
      <c r="F11" s="653" t="s">
        <v>753</v>
      </c>
      <c r="G11" s="654"/>
      <c r="H11" s="654"/>
      <c r="I11" s="654"/>
      <c r="J11" s="654"/>
      <c r="K11" s="654"/>
      <c r="L11" s="621" t="s">
        <v>38</v>
      </c>
      <c r="M11" s="655"/>
      <c r="N11" s="656" t="s">
        <v>754</v>
      </c>
      <c r="O11" s="657"/>
      <c r="P11" s="658" t="s">
        <v>290</v>
      </c>
      <c r="Q11" s="659" t="s">
        <v>131</v>
      </c>
      <c r="R11" s="660"/>
      <c r="S11" s="660"/>
      <c r="T11" s="661"/>
      <c r="U11" s="662"/>
      <c r="V11" s="981" t="s">
        <v>755</v>
      </c>
      <c r="W11" s="969" t="s">
        <v>756</v>
      </c>
      <c r="X11" s="43"/>
      <c r="Y11" s="306"/>
      <c r="Z11" s="306"/>
      <c r="AA11" s="306"/>
    </row>
    <row r="12" spans="1:83" ht="31.5" customHeight="1">
      <c r="A12" s="629"/>
      <c r="B12" s="979"/>
      <c r="C12" s="980"/>
      <c r="D12" s="663" t="s">
        <v>132</v>
      </c>
      <c r="E12" s="664" t="s">
        <v>291</v>
      </c>
      <c r="F12" s="665" t="s">
        <v>757</v>
      </c>
      <c r="G12" s="666"/>
      <c r="H12" s="666"/>
      <c r="I12" s="666"/>
      <c r="J12" s="666"/>
      <c r="K12" s="666"/>
      <c r="L12" s="622" t="s">
        <v>522</v>
      </c>
      <c r="M12" s="667"/>
      <c r="N12" s="668" t="s">
        <v>292</v>
      </c>
      <c r="O12" s="669" t="s">
        <v>293</v>
      </c>
      <c r="P12" s="670" t="s">
        <v>294</v>
      </c>
      <c r="Q12" s="671"/>
      <c r="R12" s="671"/>
      <c r="S12" s="671"/>
      <c r="T12" s="671"/>
      <c r="U12" s="671"/>
      <c r="V12" s="982"/>
      <c r="W12" s="970"/>
      <c r="X12" s="43"/>
      <c r="Y12" s="306"/>
      <c r="Z12" s="306"/>
      <c r="AA12" s="306"/>
    </row>
    <row r="13" spans="1:83" ht="33.75" customHeight="1">
      <c r="A13" s="208"/>
      <c r="B13" s="672"/>
      <c r="C13" s="673">
        <f>DATE(年,月,1)</f>
        <v>43009</v>
      </c>
      <c r="D13" s="228" t="s">
        <v>32</v>
      </c>
      <c r="E13" s="228" t="s">
        <v>32</v>
      </c>
      <c r="F13" s="229" t="s">
        <v>32</v>
      </c>
      <c r="G13" s="230" t="s">
        <v>32</v>
      </c>
      <c r="H13" s="230"/>
      <c r="I13" s="230"/>
      <c r="J13" s="230"/>
      <c r="K13" s="230"/>
      <c r="L13" s="674" t="s">
        <v>32</v>
      </c>
      <c r="M13" s="230"/>
      <c r="N13" s="675" t="s">
        <v>32</v>
      </c>
      <c r="O13" s="676" t="s">
        <v>32</v>
      </c>
      <c r="P13" s="229" t="s">
        <v>32</v>
      </c>
      <c r="Q13" s="241" t="s">
        <v>32</v>
      </c>
      <c r="R13" s="232" t="s">
        <v>32</v>
      </c>
      <c r="S13" s="232" t="s">
        <v>32</v>
      </c>
      <c r="T13" s="232" t="s">
        <v>32</v>
      </c>
      <c r="U13" s="233" t="s">
        <v>32</v>
      </c>
      <c r="V13" s="677"/>
      <c r="W13" s="678"/>
      <c r="X13" s="44"/>
      <c r="Y13" s="306"/>
      <c r="Z13" s="306"/>
      <c r="AA13" s="306"/>
      <c r="CE13">
        <v>1</v>
      </c>
    </row>
    <row r="14" spans="1:83" ht="33.75" customHeight="1">
      <c r="A14" s="208"/>
      <c r="B14" s="672"/>
      <c r="C14" s="673">
        <f>DATE(年,月,2)</f>
        <v>43010</v>
      </c>
      <c r="D14" s="228" t="s">
        <v>32</v>
      </c>
      <c r="E14" s="228" t="s">
        <v>32</v>
      </c>
      <c r="F14" s="229" t="s">
        <v>32</v>
      </c>
      <c r="G14" s="230" t="s">
        <v>32</v>
      </c>
      <c r="H14" s="230"/>
      <c r="I14" s="230"/>
      <c r="J14" s="230"/>
      <c r="K14" s="230"/>
      <c r="L14" s="679" t="s">
        <v>32</v>
      </c>
      <c r="M14" s="230"/>
      <c r="N14" s="677" t="s">
        <v>32</v>
      </c>
      <c r="O14" s="676" t="s">
        <v>32</v>
      </c>
      <c r="P14" s="229" t="s">
        <v>32</v>
      </c>
      <c r="Q14" s="231" t="s">
        <v>32</v>
      </c>
      <c r="R14" s="232" t="s">
        <v>32</v>
      </c>
      <c r="S14" s="232" t="s">
        <v>32</v>
      </c>
      <c r="T14" s="232" t="s">
        <v>32</v>
      </c>
      <c r="U14" s="233" t="s">
        <v>32</v>
      </c>
      <c r="V14" s="677"/>
      <c r="W14" s="678"/>
      <c r="X14" s="44"/>
      <c r="Y14" s="306"/>
      <c r="Z14" s="306"/>
      <c r="AA14" s="306"/>
    </row>
    <row r="15" spans="1:83" ht="33.75" customHeight="1">
      <c r="A15" s="208"/>
      <c r="B15" s="672"/>
      <c r="C15" s="673">
        <f>DATE(年,月,3)</f>
        <v>43011</v>
      </c>
      <c r="D15" s="228" t="s">
        <v>32</v>
      </c>
      <c r="E15" s="228" t="s">
        <v>32</v>
      </c>
      <c r="F15" s="229" t="s">
        <v>32</v>
      </c>
      <c r="G15" s="230" t="s">
        <v>32</v>
      </c>
      <c r="H15" s="230"/>
      <c r="I15" s="230"/>
      <c r="J15" s="230"/>
      <c r="K15" s="230"/>
      <c r="L15" s="679" t="s">
        <v>32</v>
      </c>
      <c r="M15" s="230"/>
      <c r="N15" s="677" t="s">
        <v>32</v>
      </c>
      <c r="O15" s="676" t="s">
        <v>32</v>
      </c>
      <c r="P15" s="229" t="s">
        <v>32</v>
      </c>
      <c r="Q15" s="231" t="s">
        <v>32</v>
      </c>
      <c r="R15" s="232" t="s">
        <v>32</v>
      </c>
      <c r="S15" s="232" t="s">
        <v>32</v>
      </c>
      <c r="T15" s="232" t="s">
        <v>32</v>
      </c>
      <c r="U15" s="233" t="s">
        <v>32</v>
      </c>
      <c r="V15" s="677"/>
      <c r="W15" s="678"/>
      <c r="X15" s="44"/>
      <c r="Y15" s="306"/>
      <c r="Z15" s="306"/>
      <c r="AA15" s="306"/>
    </row>
    <row r="16" spans="1:83" ht="33.75" customHeight="1">
      <c r="A16" s="208"/>
      <c r="B16" s="672"/>
      <c r="C16" s="673">
        <f>DATE(年,月,4)</f>
        <v>43012</v>
      </c>
      <c r="D16" s="228" t="s">
        <v>32</v>
      </c>
      <c r="E16" s="228" t="s">
        <v>32</v>
      </c>
      <c r="F16" s="229" t="s">
        <v>32</v>
      </c>
      <c r="G16" s="230" t="s">
        <v>32</v>
      </c>
      <c r="H16" s="230"/>
      <c r="I16" s="230"/>
      <c r="J16" s="230"/>
      <c r="K16" s="230"/>
      <c r="L16" s="679" t="s">
        <v>32</v>
      </c>
      <c r="M16" s="230"/>
      <c r="N16" s="677" t="s">
        <v>32</v>
      </c>
      <c r="O16" s="676" t="s">
        <v>32</v>
      </c>
      <c r="P16" s="229" t="s">
        <v>32</v>
      </c>
      <c r="Q16" s="231" t="s">
        <v>32</v>
      </c>
      <c r="R16" s="232" t="s">
        <v>32</v>
      </c>
      <c r="S16" s="232" t="s">
        <v>32</v>
      </c>
      <c r="T16" s="232" t="s">
        <v>32</v>
      </c>
      <c r="U16" s="233" t="s">
        <v>32</v>
      </c>
      <c r="V16" s="677"/>
      <c r="W16" s="678"/>
      <c r="X16" s="44"/>
      <c r="Y16" s="306"/>
      <c r="Z16" s="306"/>
      <c r="AA16" s="306"/>
    </row>
    <row r="17" spans="1:27" ht="33.75" customHeight="1">
      <c r="A17" s="208"/>
      <c r="B17" s="672"/>
      <c r="C17" s="673">
        <f>DATE(年,月,5)</f>
        <v>43013</v>
      </c>
      <c r="D17" s="228" t="s">
        <v>32</v>
      </c>
      <c r="E17" s="228" t="s">
        <v>32</v>
      </c>
      <c r="F17" s="229" t="s">
        <v>32</v>
      </c>
      <c r="G17" s="230" t="s">
        <v>32</v>
      </c>
      <c r="H17" s="230"/>
      <c r="I17" s="230"/>
      <c r="J17" s="230"/>
      <c r="K17" s="230"/>
      <c r="L17" s="679" t="s">
        <v>32</v>
      </c>
      <c r="M17" s="230"/>
      <c r="N17" s="677" t="s">
        <v>32</v>
      </c>
      <c r="O17" s="676" t="s">
        <v>32</v>
      </c>
      <c r="P17" s="229" t="s">
        <v>32</v>
      </c>
      <c r="Q17" s="231" t="s">
        <v>32</v>
      </c>
      <c r="R17" s="232" t="s">
        <v>32</v>
      </c>
      <c r="S17" s="232" t="s">
        <v>32</v>
      </c>
      <c r="T17" s="232" t="s">
        <v>32</v>
      </c>
      <c r="U17" s="233" t="s">
        <v>32</v>
      </c>
      <c r="V17" s="677"/>
      <c r="W17" s="678"/>
      <c r="X17" s="44"/>
      <c r="Y17" s="306"/>
      <c r="Z17" s="306"/>
      <c r="AA17" s="306"/>
    </row>
    <row r="18" spans="1:27" ht="33.75" customHeight="1">
      <c r="A18" s="208"/>
      <c r="B18" s="672"/>
      <c r="C18" s="673">
        <f>DATE(年,月,6)</f>
        <v>43014</v>
      </c>
      <c r="D18" s="228" t="s">
        <v>32</v>
      </c>
      <c r="E18" s="228" t="s">
        <v>32</v>
      </c>
      <c r="F18" s="229" t="s">
        <v>32</v>
      </c>
      <c r="G18" s="230" t="s">
        <v>32</v>
      </c>
      <c r="H18" s="230"/>
      <c r="I18" s="230"/>
      <c r="J18" s="230"/>
      <c r="K18" s="230"/>
      <c r="L18" s="679" t="s">
        <v>32</v>
      </c>
      <c r="M18" s="230"/>
      <c r="N18" s="677" t="s">
        <v>32</v>
      </c>
      <c r="O18" s="676" t="s">
        <v>32</v>
      </c>
      <c r="P18" s="229" t="s">
        <v>32</v>
      </c>
      <c r="Q18" s="231" t="s">
        <v>32</v>
      </c>
      <c r="R18" s="232" t="s">
        <v>32</v>
      </c>
      <c r="S18" s="232" t="s">
        <v>32</v>
      </c>
      <c r="T18" s="232" t="s">
        <v>32</v>
      </c>
      <c r="U18" s="233" t="s">
        <v>32</v>
      </c>
      <c r="V18" s="677"/>
      <c r="W18" s="678"/>
      <c r="X18" s="44"/>
      <c r="Y18" s="306"/>
      <c r="Z18" s="306"/>
      <c r="AA18" s="306"/>
    </row>
    <row r="19" spans="1:27" ht="33.75" customHeight="1">
      <c r="A19" s="208"/>
      <c r="B19" s="672"/>
      <c r="C19" s="673">
        <f>DATE(年,月,7)</f>
        <v>43015</v>
      </c>
      <c r="D19" s="228" t="s">
        <v>32</v>
      </c>
      <c r="E19" s="228" t="s">
        <v>32</v>
      </c>
      <c r="F19" s="229" t="s">
        <v>32</v>
      </c>
      <c r="G19" s="230" t="s">
        <v>32</v>
      </c>
      <c r="H19" s="230"/>
      <c r="I19" s="230"/>
      <c r="J19" s="230"/>
      <c r="K19" s="230"/>
      <c r="L19" s="679" t="s">
        <v>32</v>
      </c>
      <c r="M19" s="230"/>
      <c r="N19" s="677" t="s">
        <v>32</v>
      </c>
      <c r="O19" s="676" t="s">
        <v>32</v>
      </c>
      <c r="P19" s="229" t="s">
        <v>32</v>
      </c>
      <c r="Q19" s="231" t="s">
        <v>32</v>
      </c>
      <c r="R19" s="232" t="s">
        <v>32</v>
      </c>
      <c r="S19" s="232" t="s">
        <v>32</v>
      </c>
      <c r="T19" s="232" t="s">
        <v>32</v>
      </c>
      <c r="U19" s="233" t="s">
        <v>32</v>
      </c>
      <c r="V19" s="677"/>
      <c r="W19" s="678"/>
      <c r="X19" s="44"/>
      <c r="Y19" s="306"/>
      <c r="Z19" s="306"/>
      <c r="AA19" s="306"/>
    </row>
    <row r="20" spans="1:27" ht="33.75" customHeight="1">
      <c r="A20" s="208"/>
      <c r="B20" s="672"/>
      <c r="C20" s="673">
        <f>DATE(年,月,8)</f>
        <v>43016</v>
      </c>
      <c r="D20" s="228" t="s">
        <v>32</v>
      </c>
      <c r="E20" s="228" t="s">
        <v>32</v>
      </c>
      <c r="F20" s="229" t="s">
        <v>32</v>
      </c>
      <c r="G20" s="230" t="s">
        <v>32</v>
      </c>
      <c r="H20" s="230"/>
      <c r="I20" s="230"/>
      <c r="J20" s="230"/>
      <c r="K20" s="230"/>
      <c r="L20" s="679" t="s">
        <v>32</v>
      </c>
      <c r="M20" s="230"/>
      <c r="N20" s="677" t="s">
        <v>32</v>
      </c>
      <c r="O20" s="676" t="s">
        <v>32</v>
      </c>
      <c r="P20" s="229" t="s">
        <v>32</v>
      </c>
      <c r="Q20" s="231" t="s">
        <v>32</v>
      </c>
      <c r="R20" s="232" t="s">
        <v>32</v>
      </c>
      <c r="S20" s="232" t="s">
        <v>32</v>
      </c>
      <c r="T20" s="232" t="s">
        <v>32</v>
      </c>
      <c r="U20" s="233" t="s">
        <v>32</v>
      </c>
      <c r="V20" s="677"/>
      <c r="W20" s="678"/>
      <c r="X20" s="44"/>
      <c r="Y20" s="306"/>
      <c r="Z20" s="306"/>
      <c r="AA20" s="306"/>
    </row>
    <row r="21" spans="1:27" ht="33.75" customHeight="1">
      <c r="A21" s="208"/>
      <c r="B21" s="672"/>
      <c r="C21" s="673">
        <f>DATE(年,月,9)</f>
        <v>43017</v>
      </c>
      <c r="D21" s="228" t="s">
        <v>32</v>
      </c>
      <c r="E21" s="228" t="s">
        <v>32</v>
      </c>
      <c r="F21" s="229" t="s">
        <v>32</v>
      </c>
      <c r="G21" s="230" t="s">
        <v>32</v>
      </c>
      <c r="H21" s="230"/>
      <c r="I21" s="230"/>
      <c r="J21" s="230"/>
      <c r="K21" s="230"/>
      <c r="L21" s="679" t="s">
        <v>32</v>
      </c>
      <c r="M21" s="230"/>
      <c r="N21" s="677" t="s">
        <v>32</v>
      </c>
      <c r="O21" s="676" t="s">
        <v>32</v>
      </c>
      <c r="P21" s="229" t="s">
        <v>32</v>
      </c>
      <c r="Q21" s="231" t="s">
        <v>32</v>
      </c>
      <c r="R21" s="232" t="s">
        <v>32</v>
      </c>
      <c r="S21" s="232" t="s">
        <v>32</v>
      </c>
      <c r="T21" s="232" t="s">
        <v>32</v>
      </c>
      <c r="U21" s="233" t="s">
        <v>32</v>
      </c>
      <c r="V21" s="677"/>
      <c r="W21" s="678"/>
      <c r="X21" s="44"/>
      <c r="Y21" s="306"/>
      <c r="Z21" s="306"/>
      <c r="AA21" s="306"/>
    </row>
    <row r="22" spans="1:27" ht="33.75" customHeight="1">
      <c r="A22" s="208"/>
      <c r="B22" s="680"/>
      <c r="C22" s="673">
        <f>DATE(年,月,10)</f>
        <v>43018</v>
      </c>
      <c r="D22" s="228" t="s">
        <v>32</v>
      </c>
      <c r="E22" s="228" t="s">
        <v>32</v>
      </c>
      <c r="F22" s="229" t="s">
        <v>32</v>
      </c>
      <c r="G22" s="230" t="s">
        <v>32</v>
      </c>
      <c r="H22" s="230"/>
      <c r="I22" s="230"/>
      <c r="J22" s="230"/>
      <c r="K22" s="230"/>
      <c r="L22" s="679" t="s">
        <v>32</v>
      </c>
      <c r="M22" s="230"/>
      <c r="N22" s="677" t="s">
        <v>32</v>
      </c>
      <c r="O22" s="676" t="s">
        <v>32</v>
      </c>
      <c r="P22" s="229" t="s">
        <v>32</v>
      </c>
      <c r="Q22" s="231" t="s">
        <v>32</v>
      </c>
      <c r="R22" s="232" t="s">
        <v>32</v>
      </c>
      <c r="S22" s="232" t="s">
        <v>32</v>
      </c>
      <c r="T22" s="232" t="s">
        <v>32</v>
      </c>
      <c r="U22" s="233" t="s">
        <v>32</v>
      </c>
      <c r="V22" s="677"/>
      <c r="W22" s="678"/>
      <c r="X22" s="44"/>
      <c r="Y22" s="306"/>
      <c r="Z22" s="306"/>
      <c r="AA22" s="306"/>
    </row>
    <row r="23" spans="1:27" ht="33.75" customHeight="1">
      <c r="A23" s="208"/>
      <c r="B23" s="680"/>
      <c r="C23" s="673">
        <f>DATE(年,月,11)</f>
        <v>43019</v>
      </c>
      <c r="D23" s="228" t="s">
        <v>32</v>
      </c>
      <c r="E23" s="228" t="s">
        <v>32</v>
      </c>
      <c r="F23" s="229" t="s">
        <v>32</v>
      </c>
      <c r="G23" s="230" t="s">
        <v>32</v>
      </c>
      <c r="H23" s="230"/>
      <c r="I23" s="230"/>
      <c r="J23" s="230"/>
      <c r="K23" s="230"/>
      <c r="L23" s="679" t="s">
        <v>32</v>
      </c>
      <c r="M23" s="230"/>
      <c r="N23" s="677" t="s">
        <v>32</v>
      </c>
      <c r="O23" s="676" t="s">
        <v>32</v>
      </c>
      <c r="P23" s="229" t="s">
        <v>32</v>
      </c>
      <c r="Q23" s="231" t="s">
        <v>32</v>
      </c>
      <c r="R23" s="232" t="s">
        <v>32</v>
      </c>
      <c r="S23" s="232" t="s">
        <v>32</v>
      </c>
      <c r="T23" s="232" t="s">
        <v>32</v>
      </c>
      <c r="U23" s="233" t="s">
        <v>32</v>
      </c>
      <c r="V23" s="677"/>
      <c r="W23" s="678"/>
      <c r="X23" s="44"/>
      <c r="Y23" s="306"/>
      <c r="Z23" s="306"/>
      <c r="AA23" s="306"/>
    </row>
    <row r="24" spans="1:27" ht="33.75" customHeight="1">
      <c r="A24" s="208"/>
      <c r="B24" s="680"/>
      <c r="C24" s="673">
        <f>DATE(年,月,12)</f>
        <v>43020</v>
      </c>
      <c r="D24" s="228" t="s">
        <v>32</v>
      </c>
      <c r="E24" s="228" t="s">
        <v>32</v>
      </c>
      <c r="F24" s="229" t="s">
        <v>32</v>
      </c>
      <c r="G24" s="230" t="s">
        <v>32</v>
      </c>
      <c r="H24" s="230"/>
      <c r="I24" s="230"/>
      <c r="J24" s="230"/>
      <c r="K24" s="230"/>
      <c r="L24" s="679" t="s">
        <v>32</v>
      </c>
      <c r="M24" s="230"/>
      <c r="N24" s="677" t="s">
        <v>32</v>
      </c>
      <c r="O24" s="676" t="s">
        <v>32</v>
      </c>
      <c r="P24" s="229" t="s">
        <v>32</v>
      </c>
      <c r="Q24" s="231" t="s">
        <v>32</v>
      </c>
      <c r="R24" s="232" t="s">
        <v>32</v>
      </c>
      <c r="S24" s="232" t="s">
        <v>32</v>
      </c>
      <c r="T24" s="232" t="s">
        <v>32</v>
      </c>
      <c r="U24" s="233" t="s">
        <v>32</v>
      </c>
      <c r="V24" s="677"/>
      <c r="W24" s="678"/>
      <c r="X24" s="44"/>
      <c r="Y24" s="306"/>
      <c r="Z24" s="306"/>
      <c r="AA24" s="306"/>
    </row>
    <row r="25" spans="1:27" ht="33.75" customHeight="1">
      <c r="A25" s="208"/>
      <c r="B25" s="680"/>
      <c r="C25" s="673">
        <f>DATE(年,月,13)</f>
        <v>43021</v>
      </c>
      <c r="D25" s="228" t="s">
        <v>32</v>
      </c>
      <c r="E25" s="228" t="s">
        <v>32</v>
      </c>
      <c r="F25" s="229" t="s">
        <v>32</v>
      </c>
      <c r="G25" s="230" t="s">
        <v>32</v>
      </c>
      <c r="H25" s="230"/>
      <c r="I25" s="230"/>
      <c r="J25" s="230"/>
      <c r="K25" s="230"/>
      <c r="L25" s="679" t="s">
        <v>32</v>
      </c>
      <c r="M25" s="230"/>
      <c r="N25" s="677" t="s">
        <v>32</v>
      </c>
      <c r="O25" s="676" t="s">
        <v>32</v>
      </c>
      <c r="P25" s="229" t="s">
        <v>32</v>
      </c>
      <c r="Q25" s="231" t="s">
        <v>32</v>
      </c>
      <c r="R25" s="232" t="s">
        <v>32</v>
      </c>
      <c r="S25" s="232" t="s">
        <v>32</v>
      </c>
      <c r="T25" s="232" t="s">
        <v>32</v>
      </c>
      <c r="U25" s="233" t="s">
        <v>32</v>
      </c>
      <c r="V25" s="677"/>
      <c r="W25" s="678"/>
      <c r="X25" s="44"/>
      <c r="Y25" s="306"/>
      <c r="Z25" s="306"/>
      <c r="AA25" s="306"/>
    </row>
    <row r="26" spans="1:27" ht="33.75" customHeight="1">
      <c r="A26" s="208"/>
      <c r="B26" s="680"/>
      <c r="C26" s="673">
        <f>DATE(年,月,14)</f>
        <v>43022</v>
      </c>
      <c r="D26" s="228" t="s">
        <v>32</v>
      </c>
      <c r="E26" s="228" t="s">
        <v>32</v>
      </c>
      <c r="F26" s="229" t="s">
        <v>32</v>
      </c>
      <c r="G26" s="230" t="s">
        <v>32</v>
      </c>
      <c r="H26" s="230"/>
      <c r="I26" s="230"/>
      <c r="J26" s="230"/>
      <c r="K26" s="230"/>
      <c r="L26" s="679" t="s">
        <v>32</v>
      </c>
      <c r="M26" s="230"/>
      <c r="N26" s="677" t="s">
        <v>32</v>
      </c>
      <c r="O26" s="676" t="s">
        <v>32</v>
      </c>
      <c r="P26" s="229" t="s">
        <v>32</v>
      </c>
      <c r="Q26" s="231" t="s">
        <v>32</v>
      </c>
      <c r="R26" s="232" t="s">
        <v>32</v>
      </c>
      <c r="S26" s="232" t="s">
        <v>32</v>
      </c>
      <c r="T26" s="232" t="s">
        <v>32</v>
      </c>
      <c r="U26" s="233" t="s">
        <v>32</v>
      </c>
      <c r="V26" s="677"/>
      <c r="W26" s="678"/>
      <c r="X26" s="44"/>
      <c r="Y26" s="306"/>
      <c r="Z26" s="306"/>
      <c r="AA26" s="306"/>
    </row>
    <row r="27" spans="1:27" ht="33.75" customHeight="1">
      <c r="A27" s="208"/>
      <c r="B27" s="680"/>
      <c r="C27" s="673">
        <f>DATE(年,月,15)</f>
        <v>43023</v>
      </c>
      <c r="D27" s="228" t="s">
        <v>32</v>
      </c>
      <c r="E27" s="228" t="s">
        <v>32</v>
      </c>
      <c r="F27" s="229" t="s">
        <v>32</v>
      </c>
      <c r="G27" s="230" t="s">
        <v>32</v>
      </c>
      <c r="H27" s="230"/>
      <c r="I27" s="230"/>
      <c r="J27" s="230"/>
      <c r="K27" s="230"/>
      <c r="L27" s="679" t="s">
        <v>32</v>
      </c>
      <c r="M27" s="230"/>
      <c r="N27" s="677" t="s">
        <v>32</v>
      </c>
      <c r="O27" s="676" t="s">
        <v>32</v>
      </c>
      <c r="P27" s="229" t="s">
        <v>32</v>
      </c>
      <c r="Q27" s="231" t="s">
        <v>32</v>
      </c>
      <c r="R27" s="232" t="s">
        <v>32</v>
      </c>
      <c r="S27" s="232" t="s">
        <v>32</v>
      </c>
      <c r="T27" s="232" t="s">
        <v>32</v>
      </c>
      <c r="U27" s="233" t="s">
        <v>32</v>
      </c>
      <c r="V27" s="677"/>
      <c r="W27" s="678"/>
      <c r="X27" s="44"/>
      <c r="Y27" s="306"/>
      <c r="Z27" s="306"/>
      <c r="AA27" s="306"/>
    </row>
    <row r="28" spans="1:27" ht="33.75" customHeight="1">
      <c r="A28" s="208"/>
      <c r="B28" s="680"/>
      <c r="C28" s="673">
        <f>DATE(年,月,16)</f>
        <v>43024</v>
      </c>
      <c r="D28" s="228" t="s">
        <v>32</v>
      </c>
      <c r="E28" s="228" t="s">
        <v>32</v>
      </c>
      <c r="F28" s="229" t="s">
        <v>32</v>
      </c>
      <c r="G28" s="230" t="s">
        <v>32</v>
      </c>
      <c r="H28" s="230"/>
      <c r="I28" s="230"/>
      <c r="J28" s="230"/>
      <c r="K28" s="230"/>
      <c r="L28" s="679" t="s">
        <v>32</v>
      </c>
      <c r="M28" s="230"/>
      <c r="N28" s="677" t="s">
        <v>32</v>
      </c>
      <c r="O28" s="676" t="s">
        <v>32</v>
      </c>
      <c r="P28" s="229" t="s">
        <v>32</v>
      </c>
      <c r="Q28" s="231" t="s">
        <v>32</v>
      </c>
      <c r="R28" s="232" t="s">
        <v>32</v>
      </c>
      <c r="S28" s="232" t="s">
        <v>32</v>
      </c>
      <c r="T28" s="232" t="s">
        <v>32</v>
      </c>
      <c r="U28" s="233" t="s">
        <v>32</v>
      </c>
      <c r="V28" s="677"/>
      <c r="W28" s="678"/>
      <c r="X28" s="44"/>
      <c r="Y28" s="306"/>
      <c r="Z28" s="306"/>
      <c r="AA28" s="306"/>
    </row>
    <row r="29" spans="1:27" ht="33.75" customHeight="1">
      <c r="A29" s="208"/>
      <c r="B29" s="680"/>
      <c r="C29" s="673">
        <f>DATE(年,月,17)</f>
        <v>43025</v>
      </c>
      <c r="D29" s="228" t="s">
        <v>32</v>
      </c>
      <c r="E29" s="228" t="s">
        <v>32</v>
      </c>
      <c r="F29" s="229" t="s">
        <v>32</v>
      </c>
      <c r="G29" s="230" t="s">
        <v>32</v>
      </c>
      <c r="H29" s="230"/>
      <c r="I29" s="230"/>
      <c r="J29" s="230"/>
      <c r="K29" s="230"/>
      <c r="L29" s="679" t="s">
        <v>32</v>
      </c>
      <c r="M29" s="230"/>
      <c r="N29" s="677" t="s">
        <v>32</v>
      </c>
      <c r="O29" s="676" t="s">
        <v>32</v>
      </c>
      <c r="P29" s="229" t="s">
        <v>32</v>
      </c>
      <c r="Q29" s="231" t="s">
        <v>32</v>
      </c>
      <c r="R29" s="232" t="s">
        <v>32</v>
      </c>
      <c r="S29" s="232" t="s">
        <v>32</v>
      </c>
      <c r="T29" s="232" t="s">
        <v>32</v>
      </c>
      <c r="U29" s="233" t="s">
        <v>32</v>
      </c>
      <c r="V29" s="677"/>
      <c r="W29" s="678"/>
      <c r="X29" s="44"/>
      <c r="Y29" s="306"/>
      <c r="Z29" s="306"/>
      <c r="AA29" s="306"/>
    </row>
    <row r="30" spans="1:27" ht="33.75" customHeight="1">
      <c r="A30" s="208"/>
      <c r="B30" s="680"/>
      <c r="C30" s="673">
        <f>DATE(年,月,18)</f>
        <v>43026</v>
      </c>
      <c r="D30" s="228" t="s">
        <v>32</v>
      </c>
      <c r="E30" s="228" t="s">
        <v>32</v>
      </c>
      <c r="F30" s="229" t="s">
        <v>32</v>
      </c>
      <c r="G30" s="230" t="s">
        <v>32</v>
      </c>
      <c r="H30" s="230"/>
      <c r="I30" s="230"/>
      <c r="J30" s="230"/>
      <c r="K30" s="230"/>
      <c r="L30" s="679" t="s">
        <v>32</v>
      </c>
      <c r="M30" s="230"/>
      <c r="N30" s="677" t="s">
        <v>32</v>
      </c>
      <c r="O30" s="676" t="s">
        <v>32</v>
      </c>
      <c r="P30" s="229" t="s">
        <v>32</v>
      </c>
      <c r="Q30" s="231" t="s">
        <v>32</v>
      </c>
      <c r="R30" s="232" t="s">
        <v>32</v>
      </c>
      <c r="S30" s="232" t="s">
        <v>32</v>
      </c>
      <c r="T30" s="232" t="s">
        <v>32</v>
      </c>
      <c r="U30" s="233" t="s">
        <v>32</v>
      </c>
      <c r="V30" s="677"/>
      <c r="W30" s="678"/>
      <c r="X30" s="44"/>
      <c r="Y30" s="306"/>
      <c r="Z30" s="306"/>
      <c r="AA30" s="306"/>
    </row>
    <row r="31" spans="1:27" ht="33.75" customHeight="1">
      <c r="A31" s="208"/>
      <c r="B31" s="680"/>
      <c r="C31" s="673">
        <f>DATE(年,月,19)</f>
        <v>43027</v>
      </c>
      <c r="D31" s="228" t="s">
        <v>32</v>
      </c>
      <c r="E31" s="228" t="s">
        <v>32</v>
      </c>
      <c r="F31" s="229" t="s">
        <v>32</v>
      </c>
      <c r="G31" s="230" t="s">
        <v>32</v>
      </c>
      <c r="H31" s="230"/>
      <c r="I31" s="230"/>
      <c r="J31" s="230"/>
      <c r="K31" s="230"/>
      <c r="L31" s="679" t="s">
        <v>32</v>
      </c>
      <c r="M31" s="230"/>
      <c r="N31" s="677" t="s">
        <v>32</v>
      </c>
      <c r="O31" s="676" t="s">
        <v>32</v>
      </c>
      <c r="P31" s="229" t="s">
        <v>32</v>
      </c>
      <c r="Q31" s="231" t="s">
        <v>32</v>
      </c>
      <c r="R31" s="232" t="s">
        <v>32</v>
      </c>
      <c r="S31" s="232" t="s">
        <v>32</v>
      </c>
      <c r="T31" s="232" t="s">
        <v>32</v>
      </c>
      <c r="U31" s="233" t="s">
        <v>32</v>
      </c>
      <c r="V31" s="677"/>
      <c r="W31" s="678"/>
      <c r="X31" s="44"/>
      <c r="Y31" s="306"/>
      <c r="Z31" s="306"/>
      <c r="AA31" s="306"/>
    </row>
    <row r="32" spans="1:27" ht="33.75" customHeight="1">
      <c r="A32" s="208"/>
      <c r="B32" s="680"/>
      <c r="C32" s="673">
        <f>DATE(年,月,20)</f>
        <v>43028</v>
      </c>
      <c r="D32" s="228" t="s">
        <v>32</v>
      </c>
      <c r="E32" s="228" t="s">
        <v>32</v>
      </c>
      <c r="F32" s="229" t="s">
        <v>32</v>
      </c>
      <c r="G32" s="230" t="s">
        <v>32</v>
      </c>
      <c r="H32" s="230"/>
      <c r="I32" s="230"/>
      <c r="J32" s="230"/>
      <c r="K32" s="230"/>
      <c r="L32" s="679" t="s">
        <v>32</v>
      </c>
      <c r="M32" s="230"/>
      <c r="N32" s="677" t="s">
        <v>32</v>
      </c>
      <c r="O32" s="676" t="s">
        <v>32</v>
      </c>
      <c r="P32" s="229" t="s">
        <v>32</v>
      </c>
      <c r="Q32" s="231" t="s">
        <v>32</v>
      </c>
      <c r="R32" s="232" t="s">
        <v>32</v>
      </c>
      <c r="S32" s="232" t="s">
        <v>32</v>
      </c>
      <c r="T32" s="232" t="s">
        <v>32</v>
      </c>
      <c r="U32" s="233" t="s">
        <v>32</v>
      </c>
      <c r="V32" s="677"/>
      <c r="W32" s="678"/>
      <c r="X32" s="44"/>
      <c r="Y32" s="306"/>
      <c r="Z32" s="306"/>
      <c r="AA32" s="306"/>
    </row>
    <row r="33" spans="1:27" ht="33.75" customHeight="1">
      <c r="A33" s="208"/>
      <c r="B33" s="680"/>
      <c r="C33" s="673">
        <f>DATE(年,月,21)</f>
        <v>43029</v>
      </c>
      <c r="D33" s="228" t="s">
        <v>32</v>
      </c>
      <c r="E33" s="228" t="s">
        <v>32</v>
      </c>
      <c r="F33" s="229" t="s">
        <v>32</v>
      </c>
      <c r="G33" s="230" t="s">
        <v>32</v>
      </c>
      <c r="H33" s="230"/>
      <c r="I33" s="230"/>
      <c r="J33" s="230"/>
      <c r="K33" s="230"/>
      <c r="L33" s="679" t="s">
        <v>32</v>
      </c>
      <c r="M33" s="230"/>
      <c r="N33" s="677" t="s">
        <v>32</v>
      </c>
      <c r="O33" s="676" t="s">
        <v>32</v>
      </c>
      <c r="P33" s="229" t="s">
        <v>32</v>
      </c>
      <c r="Q33" s="231" t="s">
        <v>32</v>
      </c>
      <c r="R33" s="232" t="s">
        <v>32</v>
      </c>
      <c r="S33" s="232" t="s">
        <v>32</v>
      </c>
      <c r="T33" s="232" t="s">
        <v>32</v>
      </c>
      <c r="U33" s="233" t="s">
        <v>32</v>
      </c>
      <c r="V33" s="677"/>
      <c r="W33" s="678"/>
      <c r="X33" s="44"/>
      <c r="Y33" s="306"/>
      <c r="Z33" s="306"/>
      <c r="AA33" s="306"/>
    </row>
    <row r="34" spans="1:27" ht="33.75" customHeight="1">
      <c r="A34" s="208"/>
      <c r="B34" s="680"/>
      <c r="C34" s="673">
        <f>DATE(年,月,22)</f>
        <v>43030</v>
      </c>
      <c r="D34" s="228" t="s">
        <v>32</v>
      </c>
      <c r="E34" s="228" t="s">
        <v>32</v>
      </c>
      <c r="F34" s="229" t="s">
        <v>32</v>
      </c>
      <c r="G34" s="230" t="s">
        <v>32</v>
      </c>
      <c r="H34" s="230"/>
      <c r="I34" s="230"/>
      <c r="J34" s="230"/>
      <c r="K34" s="230"/>
      <c r="L34" s="679" t="s">
        <v>32</v>
      </c>
      <c r="M34" s="230"/>
      <c r="N34" s="677" t="s">
        <v>32</v>
      </c>
      <c r="O34" s="676" t="s">
        <v>32</v>
      </c>
      <c r="P34" s="229" t="s">
        <v>32</v>
      </c>
      <c r="Q34" s="231" t="s">
        <v>32</v>
      </c>
      <c r="R34" s="232" t="s">
        <v>32</v>
      </c>
      <c r="S34" s="232" t="s">
        <v>32</v>
      </c>
      <c r="T34" s="232" t="s">
        <v>32</v>
      </c>
      <c r="U34" s="233" t="s">
        <v>32</v>
      </c>
      <c r="V34" s="677"/>
      <c r="W34" s="678"/>
      <c r="X34" s="44"/>
      <c r="Y34" s="306"/>
      <c r="Z34" s="306"/>
      <c r="AA34" s="306"/>
    </row>
    <row r="35" spans="1:27" ht="33.75" customHeight="1">
      <c r="A35" s="208"/>
      <c r="B35" s="680"/>
      <c r="C35" s="673">
        <f>DATE(年,月,23)</f>
        <v>43031</v>
      </c>
      <c r="D35" s="228" t="s">
        <v>32</v>
      </c>
      <c r="E35" s="228" t="s">
        <v>32</v>
      </c>
      <c r="F35" s="229" t="s">
        <v>32</v>
      </c>
      <c r="G35" s="230" t="s">
        <v>32</v>
      </c>
      <c r="H35" s="230"/>
      <c r="I35" s="230"/>
      <c r="J35" s="230"/>
      <c r="K35" s="230"/>
      <c r="L35" s="679" t="s">
        <v>32</v>
      </c>
      <c r="M35" s="230"/>
      <c r="N35" s="677" t="s">
        <v>32</v>
      </c>
      <c r="O35" s="676" t="s">
        <v>32</v>
      </c>
      <c r="P35" s="229" t="s">
        <v>32</v>
      </c>
      <c r="Q35" s="231" t="s">
        <v>32</v>
      </c>
      <c r="R35" s="232" t="s">
        <v>32</v>
      </c>
      <c r="S35" s="232" t="s">
        <v>32</v>
      </c>
      <c r="T35" s="232" t="s">
        <v>32</v>
      </c>
      <c r="U35" s="233" t="s">
        <v>32</v>
      </c>
      <c r="V35" s="677"/>
      <c r="W35" s="678"/>
      <c r="X35" s="44"/>
      <c r="Y35" s="306"/>
      <c r="Z35" s="306"/>
      <c r="AA35" s="306"/>
    </row>
    <row r="36" spans="1:27" ht="33.75" customHeight="1">
      <c r="A36" s="208"/>
      <c r="B36" s="680"/>
      <c r="C36" s="673">
        <f>DATE(年,月,24)</f>
        <v>43032</v>
      </c>
      <c r="D36" s="228" t="s">
        <v>32</v>
      </c>
      <c r="E36" s="228" t="s">
        <v>32</v>
      </c>
      <c r="F36" s="229" t="s">
        <v>32</v>
      </c>
      <c r="G36" s="230" t="s">
        <v>32</v>
      </c>
      <c r="H36" s="230"/>
      <c r="I36" s="230"/>
      <c r="J36" s="230"/>
      <c r="K36" s="230"/>
      <c r="L36" s="679" t="s">
        <v>32</v>
      </c>
      <c r="M36" s="230"/>
      <c r="N36" s="677" t="s">
        <v>32</v>
      </c>
      <c r="O36" s="676" t="s">
        <v>32</v>
      </c>
      <c r="P36" s="229" t="s">
        <v>32</v>
      </c>
      <c r="Q36" s="231" t="s">
        <v>32</v>
      </c>
      <c r="R36" s="232" t="s">
        <v>32</v>
      </c>
      <c r="S36" s="232" t="s">
        <v>32</v>
      </c>
      <c r="T36" s="232" t="s">
        <v>32</v>
      </c>
      <c r="U36" s="233" t="s">
        <v>32</v>
      </c>
      <c r="V36" s="677"/>
      <c r="W36" s="678"/>
      <c r="X36" s="44"/>
      <c r="Y36" s="306"/>
      <c r="Z36" s="306"/>
      <c r="AA36" s="306"/>
    </row>
    <row r="37" spans="1:27" ht="33.75" customHeight="1">
      <c r="A37" s="208"/>
      <c r="B37" s="680"/>
      <c r="C37" s="673">
        <f>DATE(年,月,25)</f>
        <v>43033</v>
      </c>
      <c r="D37" s="228" t="s">
        <v>32</v>
      </c>
      <c r="E37" s="228" t="s">
        <v>32</v>
      </c>
      <c r="F37" s="229" t="s">
        <v>32</v>
      </c>
      <c r="G37" s="230" t="s">
        <v>32</v>
      </c>
      <c r="H37" s="230"/>
      <c r="I37" s="230"/>
      <c r="J37" s="230"/>
      <c r="K37" s="230"/>
      <c r="L37" s="679" t="s">
        <v>32</v>
      </c>
      <c r="M37" s="681"/>
      <c r="N37" s="677" t="s">
        <v>32</v>
      </c>
      <c r="O37" s="676" t="s">
        <v>32</v>
      </c>
      <c r="P37" s="229" t="s">
        <v>32</v>
      </c>
      <c r="Q37" s="231" t="s">
        <v>32</v>
      </c>
      <c r="R37" s="232" t="s">
        <v>32</v>
      </c>
      <c r="S37" s="232" t="s">
        <v>32</v>
      </c>
      <c r="T37" s="232" t="s">
        <v>32</v>
      </c>
      <c r="U37" s="233" t="s">
        <v>32</v>
      </c>
      <c r="V37" s="677"/>
      <c r="W37" s="678"/>
      <c r="X37" s="44"/>
      <c r="Y37" s="306"/>
      <c r="Z37" s="306"/>
      <c r="AA37" s="306"/>
    </row>
    <row r="38" spans="1:27" ht="33.75" customHeight="1">
      <c r="A38" s="208"/>
      <c r="B38" s="680"/>
      <c r="C38" s="673">
        <f>DATE(年,月,26)</f>
        <v>43034</v>
      </c>
      <c r="D38" s="228" t="s">
        <v>32</v>
      </c>
      <c r="E38" s="228" t="s">
        <v>32</v>
      </c>
      <c r="F38" s="229" t="s">
        <v>32</v>
      </c>
      <c r="G38" s="230" t="s">
        <v>32</v>
      </c>
      <c r="H38" s="230"/>
      <c r="I38" s="230"/>
      <c r="J38" s="230"/>
      <c r="K38" s="230"/>
      <c r="L38" s="679" t="s">
        <v>32</v>
      </c>
      <c r="M38" s="681"/>
      <c r="N38" s="677" t="s">
        <v>32</v>
      </c>
      <c r="O38" s="676" t="s">
        <v>32</v>
      </c>
      <c r="P38" s="229" t="s">
        <v>32</v>
      </c>
      <c r="Q38" s="231" t="s">
        <v>32</v>
      </c>
      <c r="R38" s="232" t="s">
        <v>32</v>
      </c>
      <c r="S38" s="232" t="s">
        <v>32</v>
      </c>
      <c r="T38" s="232" t="s">
        <v>32</v>
      </c>
      <c r="U38" s="233" t="s">
        <v>32</v>
      </c>
      <c r="V38" s="677"/>
      <c r="W38" s="678"/>
      <c r="X38" s="44"/>
      <c r="Y38" s="306"/>
      <c r="Z38" s="306"/>
      <c r="AA38" s="306"/>
    </row>
    <row r="39" spans="1:27" ht="33.75" customHeight="1">
      <c r="A39" s="208"/>
      <c r="B39" s="680"/>
      <c r="C39" s="673">
        <f>DATE(年,月,27)</f>
        <v>43035</v>
      </c>
      <c r="D39" s="228" t="s">
        <v>32</v>
      </c>
      <c r="E39" s="228" t="s">
        <v>32</v>
      </c>
      <c r="F39" s="229" t="s">
        <v>32</v>
      </c>
      <c r="G39" s="230" t="s">
        <v>32</v>
      </c>
      <c r="H39" s="230"/>
      <c r="I39" s="230"/>
      <c r="J39" s="230"/>
      <c r="K39" s="230"/>
      <c r="L39" s="679" t="s">
        <v>32</v>
      </c>
      <c r="M39" s="230"/>
      <c r="N39" s="677" t="s">
        <v>32</v>
      </c>
      <c r="O39" s="676" t="s">
        <v>32</v>
      </c>
      <c r="P39" s="229" t="s">
        <v>32</v>
      </c>
      <c r="Q39" s="231" t="s">
        <v>32</v>
      </c>
      <c r="R39" s="232" t="s">
        <v>32</v>
      </c>
      <c r="S39" s="232" t="s">
        <v>32</v>
      </c>
      <c r="T39" s="232" t="s">
        <v>32</v>
      </c>
      <c r="U39" s="233" t="s">
        <v>32</v>
      </c>
      <c r="V39" s="677"/>
      <c r="W39" s="678"/>
      <c r="X39" s="44"/>
      <c r="Y39" s="306"/>
      <c r="Z39" s="306"/>
      <c r="AA39" s="306"/>
    </row>
    <row r="40" spans="1:27" ht="33.75" customHeight="1">
      <c r="A40" s="208"/>
      <c r="B40" s="680"/>
      <c r="C40" s="673">
        <f>DATE(年,月,28)</f>
        <v>43036</v>
      </c>
      <c r="D40" s="228" t="s">
        <v>32</v>
      </c>
      <c r="E40" s="228" t="s">
        <v>32</v>
      </c>
      <c r="F40" s="229" t="s">
        <v>32</v>
      </c>
      <c r="G40" s="230" t="s">
        <v>32</v>
      </c>
      <c r="H40" s="230"/>
      <c r="I40" s="230"/>
      <c r="J40" s="230"/>
      <c r="K40" s="230"/>
      <c r="L40" s="679" t="s">
        <v>32</v>
      </c>
      <c r="M40" s="230"/>
      <c r="N40" s="677" t="s">
        <v>32</v>
      </c>
      <c r="O40" s="676" t="s">
        <v>32</v>
      </c>
      <c r="P40" s="229" t="s">
        <v>32</v>
      </c>
      <c r="Q40" s="231" t="s">
        <v>32</v>
      </c>
      <c r="R40" s="232" t="s">
        <v>32</v>
      </c>
      <c r="S40" s="232" t="s">
        <v>32</v>
      </c>
      <c r="T40" s="232" t="s">
        <v>32</v>
      </c>
      <c r="U40" s="233" t="s">
        <v>32</v>
      </c>
      <c r="V40" s="677"/>
      <c r="W40" s="678"/>
      <c r="X40" s="44"/>
      <c r="Y40" s="306"/>
      <c r="Z40" s="306"/>
      <c r="AA40" s="306"/>
    </row>
    <row r="41" spans="1:27" ht="33.75" customHeight="1">
      <c r="A41" s="208"/>
      <c r="B41" s="680"/>
      <c r="C41" s="673">
        <f>IF(MONTH(DATE(年,月,29))=月,DATE(年,月,29),"")</f>
        <v>43037</v>
      </c>
      <c r="D41" s="228" t="s">
        <v>32</v>
      </c>
      <c r="E41" s="228" t="s">
        <v>32</v>
      </c>
      <c r="F41" s="229" t="s">
        <v>32</v>
      </c>
      <c r="G41" s="230" t="s">
        <v>32</v>
      </c>
      <c r="H41" s="230"/>
      <c r="I41" s="230"/>
      <c r="J41" s="230"/>
      <c r="K41" s="230"/>
      <c r="L41" s="679" t="s">
        <v>32</v>
      </c>
      <c r="M41" s="230"/>
      <c r="N41" s="677" t="s">
        <v>32</v>
      </c>
      <c r="O41" s="676" t="s">
        <v>32</v>
      </c>
      <c r="P41" s="229" t="s">
        <v>32</v>
      </c>
      <c r="Q41" s="231" t="s">
        <v>32</v>
      </c>
      <c r="R41" s="232" t="s">
        <v>32</v>
      </c>
      <c r="S41" s="232" t="s">
        <v>32</v>
      </c>
      <c r="T41" s="232" t="s">
        <v>32</v>
      </c>
      <c r="U41" s="233" t="s">
        <v>32</v>
      </c>
      <c r="V41" s="677"/>
      <c r="W41" s="678"/>
      <c r="X41" s="44"/>
      <c r="Y41" s="306"/>
      <c r="Z41" s="306"/>
      <c r="AA41" s="306"/>
    </row>
    <row r="42" spans="1:27" ht="33.75" customHeight="1">
      <c r="A42" s="208"/>
      <c r="B42" s="680"/>
      <c r="C42" s="673">
        <f>IF(MONTH(DATE(年,月,30))=月,DATE(年,月,30),"")</f>
        <v>43038</v>
      </c>
      <c r="D42" s="228" t="s">
        <v>32</v>
      </c>
      <c r="E42" s="228" t="s">
        <v>32</v>
      </c>
      <c r="F42" s="229" t="s">
        <v>32</v>
      </c>
      <c r="G42" s="230" t="s">
        <v>32</v>
      </c>
      <c r="H42" s="230"/>
      <c r="I42" s="230"/>
      <c r="J42" s="230"/>
      <c r="K42" s="230"/>
      <c r="L42" s="679" t="s">
        <v>32</v>
      </c>
      <c r="M42" s="230"/>
      <c r="N42" s="677" t="s">
        <v>32</v>
      </c>
      <c r="O42" s="676" t="s">
        <v>32</v>
      </c>
      <c r="P42" s="229" t="s">
        <v>32</v>
      </c>
      <c r="Q42" s="231" t="s">
        <v>32</v>
      </c>
      <c r="R42" s="232" t="s">
        <v>32</v>
      </c>
      <c r="S42" s="232" t="s">
        <v>32</v>
      </c>
      <c r="T42" s="232" t="s">
        <v>32</v>
      </c>
      <c r="U42" s="233" t="s">
        <v>32</v>
      </c>
      <c r="V42" s="677"/>
      <c r="W42" s="678"/>
      <c r="X42" s="44"/>
      <c r="Y42" s="306"/>
      <c r="Z42" s="306"/>
      <c r="AA42" s="306"/>
    </row>
    <row r="43" spans="1:27" ht="33.75" customHeight="1">
      <c r="A43" s="208"/>
      <c r="B43" s="682"/>
      <c r="C43" s="683">
        <f>IF(MONTH(DATE(年,月,31))=月,DATE(年,月,31),"")</f>
        <v>43039</v>
      </c>
      <c r="D43" s="234" t="s">
        <v>32</v>
      </c>
      <c r="E43" s="234" t="s">
        <v>32</v>
      </c>
      <c r="F43" s="235" t="s">
        <v>32</v>
      </c>
      <c r="G43" s="236" t="s">
        <v>32</v>
      </c>
      <c r="H43" s="237"/>
      <c r="I43" s="237"/>
      <c r="J43" s="237"/>
      <c r="K43" s="237"/>
      <c r="L43" s="684" t="s">
        <v>32</v>
      </c>
      <c r="M43" s="237"/>
      <c r="N43" s="685" t="s">
        <v>32</v>
      </c>
      <c r="O43" s="686" t="s">
        <v>32</v>
      </c>
      <c r="P43" s="235" t="s">
        <v>32</v>
      </c>
      <c r="Q43" s="238" t="s">
        <v>32</v>
      </c>
      <c r="R43" s="239" t="s">
        <v>32</v>
      </c>
      <c r="S43" s="239" t="s">
        <v>32</v>
      </c>
      <c r="T43" s="239" t="s">
        <v>32</v>
      </c>
      <c r="U43" s="240" t="s">
        <v>32</v>
      </c>
      <c r="V43" s="687"/>
      <c r="W43" s="688"/>
      <c r="X43" s="44"/>
      <c r="Y43" s="306"/>
      <c r="Z43" s="306"/>
      <c r="AA43" s="306"/>
    </row>
    <row r="44" spans="1:27" ht="13.5" customHeight="1">
      <c r="A44" s="208"/>
      <c r="B44" s="208"/>
      <c r="C44" s="626"/>
      <c r="D44" s="208"/>
      <c r="E44" s="331"/>
      <c r="F44" s="627"/>
      <c r="G44" s="208"/>
      <c r="H44" s="208"/>
      <c r="I44" s="208"/>
      <c r="J44" s="208"/>
      <c r="K44" s="208"/>
      <c r="L44" s="208"/>
      <c r="M44" s="208"/>
      <c r="N44" s="208"/>
      <c r="O44" s="208"/>
      <c r="P44" s="208"/>
      <c r="Q44" s="689"/>
      <c r="R44" s="208"/>
      <c r="S44" s="208"/>
      <c r="T44" s="208"/>
      <c r="U44" s="208"/>
      <c r="V44" s="208"/>
      <c r="W44" s="208"/>
      <c r="X44" s="44"/>
      <c r="Y44" s="306"/>
      <c r="Z44" s="306"/>
      <c r="AA44" s="306"/>
    </row>
    <row r="45" spans="1:27" ht="33.75" customHeight="1">
      <c r="A45" s="208"/>
      <c r="B45" s="983" t="s">
        <v>295</v>
      </c>
      <c r="C45" s="248" t="s">
        <v>296</v>
      </c>
      <c r="D45" s="249" t="s">
        <v>758</v>
      </c>
      <c r="E45" s="250"/>
      <c r="F45" s="251"/>
      <c r="G45" s="252"/>
      <c r="H45" s="253" t="s">
        <v>285</v>
      </c>
      <c r="I45" s="253" t="s">
        <v>514</v>
      </c>
      <c r="J45" s="254" t="s">
        <v>759</v>
      </c>
      <c r="K45" s="255" t="s">
        <v>760</v>
      </c>
      <c r="L45" s="255" t="s">
        <v>761</v>
      </c>
      <c r="M45" s="208"/>
      <c r="N45" s="328" t="s">
        <v>32</v>
      </c>
      <c r="O45" s="329" t="s">
        <v>32</v>
      </c>
      <c r="P45" s="330" t="s">
        <v>32</v>
      </c>
      <c r="Q45" s="690" t="s">
        <v>32</v>
      </c>
      <c r="R45" s="691" t="s">
        <v>32</v>
      </c>
      <c r="S45" s="692" t="s">
        <v>32</v>
      </c>
      <c r="T45" s="692" t="s">
        <v>32</v>
      </c>
      <c r="U45" s="693" t="s">
        <v>32</v>
      </c>
      <c r="V45" s="694" t="s">
        <v>762</v>
      </c>
      <c r="W45" s="695" t="s">
        <v>32</v>
      </c>
      <c r="X45" s="44"/>
      <c r="Y45" s="306"/>
      <c r="Z45" s="306"/>
      <c r="AA45" s="306"/>
    </row>
    <row r="46" spans="1:27" ht="31.5" customHeight="1">
      <c r="A46" s="208"/>
      <c r="B46" s="984"/>
      <c r="C46" s="256" t="s">
        <v>302</v>
      </c>
      <c r="D46" s="257" t="s">
        <v>287</v>
      </c>
      <c r="E46" s="257" t="s">
        <v>287</v>
      </c>
      <c r="F46" s="257" t="s">
        <v>287</v>
      </c>
      <c r="G46" s="257" t="s">
        <v>287</v>
      </c>
      <c r="H46" s="258" t="s">
        <v>763</v>
      </c>
      <c r="I46" s="256" t="s">
        <v>763</v>
      </c>
      <c r="J46" s="256" t="s">
        <v>304</v>
      </c>
      <c r="K46" s="256" t="s">
        <v>304</v>
      </c>
      <c r="L46" s="258" t="s">
        <v>764</v>
      </c>
      <c r="M46" s="317"/>
      <c r="N46" s="259" t="s">
        <v>765</v>
      </c>
      <c r="O46" s="259" t="s">
        <v>765</v>
      </c>
      <c r="P46" s="259" t="s">
        <v>765</v>
      </c>
      <c r="Q46" s="260" t="s">
        <v>766</v>
      </c>
      <c r="R46" s="855">
        <v>0</v>
      </c>
      <c r="S46" s="856"/>
      <c r="T46" s="839" t="s">
        <v>767</v>
      </c>
      <c r="U46" s="840"/>
      <c r="V46" s="833" t="s">
        <v>768</v>
      </c>
      <c r="W46" s="834"/>
      <c r="X46" s="44"/>
      <c r="Y46" s="306"/>
      <c r="Z46" s="306"/>
      <c r="AA46" s="306"/>
    </row>
    <row r="47" spans="1:27" ht="34.5" customHeight="1">
      <c r="A47" s="208"/>
      <c r="B47" s="985"/>
      <c r="C47" s="261">
        <v>0</v>
      </c>
      <c r="D47" s="262">
        <v>0</v>
      </c>
      <c r="E47" s="325" t="s">
        <v>32</v>
      </c>
      <c r="F47" s="325" t="s">
        <v>32</v>
      </c>
      <c r="G47" s="325" t="s">
        <v>32</v>
      </c>
      <c r="H47" s="364" t="s">
        <v>32</v>
      </c>
      <c r="I47" s="326" t="s">
        <v>32</v>
      </c>
      <c r="J47" s="327" t="s">
        <v>32</v>
      </c>
      <c r="K47" s="263">
        <v>0</v>
      </c>
      <c r="L47" s="363" t="s">
        <v>751</v>
      </c>
      <c r="M47" s="365"/>
      <c r="N47" s="366" t="s">
        <v>32</v>
      </c>
      <c r="O47" s="366" t="s">
        <v>32</v>
      </c>
      <c r="P47" s="366" t="s">
        <v>32</v>
      </c>
      <c r="Q47" s="264">
        <v>0</v>
      </c>
      <c r="R47" s="857" t="s">
        <v>751</v>
      </c>
      <c r="S47" s="858"/>
      <c r="T47" s="837" t="s">
        <v>771</v>
      </c>
      <c r="U47" s="986"/>
      <c r="V47" s="987">
        <v>0</v>
      </c>
      <c r="W47" s="988"/>
      <c r="X47" s="44"/>
      <c r="Y47" s="306"/>
      <c r="Z47" s="306"/>
      <c r="AA47" s="306"/>
    </row>
    <row r="48" spans="1:27" s="221" customFormat="1" ht="13.5" customHeight="1">
      <c r="A48" s="318"/>
      <c r="B48" s="318"/>
      <c r="C48" s="319"/>
      <c r="D48" s="318"/>
      <c r="E48" s="318"/>
      <c r="F48" s="318"/>
      <c r="G48" s="318"/>
      <c r="H48" s="320"/>
      <c r="I48" s="318"/>
      <c r="J48" s="318"/>
      <c r="K48" s="318"/>
      <c r="L48" s="318"/>
      <c r="M48" s="318"/>
      <c r="N48" s="318"/>
      <c r="O48" s="318"/>
      <c r="P48" s="318"/>
      <c r="Q48" s="318"/>
      <c r="R48" s="318"/>
      <c r="S48" s="318"/>
      <c r="T48" s="318"/>
      <c r="U48" s="318"/>
      <c r="V48" s="318"/>
      <c r="W48" s="318"/>
      <c r="X48" s="318"/>
      <c r="Y48" s="307"/>
      <c r="Z48" s="307"/>
      <c r="AA48" s="307"/>
    </row>
    <row r="49" spans="1:27" ht="18.75" customHeight="1">
      <c r="A49" s="44"/>
      <c r="B49" s="44"/>
      <c r="C49" s="321" t="s">
        <v>308</v>
      </c>
      <c r="D49" s="44"/>
      <c r="E49" s="204"/>
      <c r="F49" s="205"/>
      <c r="G49" s="44"/>
      <c r="H49" s="44"/>
      <c r="I49" s="44"/>
      <c r="J49" s="44"/>
      <c r="K49" s="44"/>
      <c r="L49" s="44"/>
      <c r="M49" s="44"/>
      <c r="N49" s="44"/>
      <c r="O49" s="44"/>
      <c r="P49" s="44"/>
      <c r="Q49" s="44"/>
      <c r="R49" s="44"/>
      <c r="S49" s="44"/>
      <c r="T49" s="44"/>
      <c r="U49" s="44"/>
      <c r="V49" s="44"/>
      <c r="W49" s="44"/>
      <c r="X49" s="44"/>
      <c r="Y49" s="306"/>
      <c r="Z49" s="306"/>
      <c r="AA49" s="306"/>
    </row>
    <row r="50" spans="1:27" ht="18.75" customHeight="1">
      <c r="A50" s="44"/>
      <c r="B50" s="44"/>
      <c r="C50" s="321" t="s">
        <v>458</v>
      </c>
      <c r="D50" s="44"/>
      <c r="E50" s="204"/>
      <c r="F50" s="205"/>
      <c r="G50" s="44"/>
      <c r="H50" s="44"/>
      <c r="I50" s="44"/>
      <c r="J50" s="44"/>
      <c r="K50" s="44"/>
      <c r="L50" s="44"/>
      <c r="M50" s="44"/>
      <c r="N50" s="44"/>
      <c r="O50" s="44"/>
      <c r="P50" s="44"/>
      <c r="Q50" s="44"/>
      <c r="R50" s="44"/>
      <c r="S50" s="44"/>
      <c r="T50" s="44"/>
      <c r="U50" s="44"/>
      <c r="V50" s="44"/>
      <c r="W50" s="44"/>
      <c r="X50" s="44"/>
      <c r="Y50" s="306"/>
      <c r="Z50" s="306"/>
      <c r="AA50" s="306"/>
    </row>
    <row r="51" spans="1:27" ht="18.75" customHeight="1">
      <c r="A51" s="44"/>
      <c r="B51" s="44"/>
      <c r="C51" s="321" t="s">
        <v>309</v>
      </c>
      <c r="D51" s="44"/>
      <c r="E51" s="204"/>
      <c r="F51" s="205"/>
      <c r="G51" s="44"/>
      <c r="H51" s="44"/>
      <c r="I51" s="44"/>
      <c r="J51" s="44"/>
      <c r="K51" s="44"/>
      <c r="L51" s="44"/>
      <c r="M51" s="44"/>
      <c r="N51" s="44"/>
      <c r="O51" s="44"/>
      <c r="P51" s="44"/>
      <c r="Q51" s="44"/>
      <c r="R51" s="44"/>
      <c r="S51" s="44"/>
      <c r="T51" s="44"/>
      <c r="U51" s="44"/>
      <c r="V51" s="44"/>
      <c r="W51" s="44"/>
      <c r="X51" s="44"/>
      <c r="Y51" s="306"/>
      <c r="Z51" s="306"/>
      <c r="AA51" s="306"/>
    </row>
    <row r="52" spans="1:27" ht="18.75" customHeight="1">
      <c r="A52" s="44"/>
      <c r="B52" s="44"/>
      <c r="C52" s="321" t="s">
        <v>769</v>
      </c>
      <c r="D52" s="44"/>
      <c r="E52" s="204"/>
      <c r="F52" s="205"/>
      <c r="G52" s="44"/>
      <c r="H52" s="44"/>
      <c r="I52" s="44"/>
      <c r="J52" s="44"/>
      <c r="K52" s="44"/>
      <c r="L52" s="44"/>
      <c r="M52" s="44"/>
      <c r="N52" s="44"/>
      <c r="O52" s="44"/>
      <c r="P52" s="44"/>
      <c r="Q52" s="44"/>
      <c r="R52" s="44"/>
      <c r="S52" s="44"/>
      <c r="T52" s="44"/>
      <c r="U52" s="44"/>
      <c r="V52" s="44"/>
      <c r="W52" s="44"/>
      <c r="X52" s="44"/>
      <c r="Y52" s="306"/>
      <c r="Z52" s="306"/>
      <c r="AA52" s="306"/>
    </row>
    <row r="53" spans="1:27">
      <c r="A53" s="44"/>
      <c r="B53" s="44"/>
      <c r="C53" s="305"/>
      <c r="D53" s="44"/>
      <c r="E53" s="204"/>
      <c r="F53" s="205"/>
      <c r="G53" s="44"/>
      <c r="H53" s="44"/>
      <c r="I53" s="44"/>
      <c r="J53" s="44"/>
      <c r="K53" s="44"/>
      <c r="L53" s="44"/>
      <c r="M53" s="44"/>
      <c r="N53" s="44"/>
      <c r="O53" s="44"/>
      <c r="P53" s="44"/>
      <c r="Q53" s="44"/>
      <c r="R53" s="44"/>
      <c r="S53" s="44"/>
      <c r="T53" s="44"/>
      <c r="U53" s="44"/>
      <c r="V53" s="44"/>
      <c r="W53" s="222" t="s">
        <v>770</v>
      </c>
      <c r="X53" s="44"/>
      <c r="Y53" s="306"/>
      <c r="Z53" s="306"/>
      <c r="AA53" s="306"/>
    </row>
    <row r="54" spans="1:27">
      <c r="A54" s="44"/>
      <c r="B54" s="44"/>
      <c r="C54" s="305"/>
      <c r="D54" s="44"/>
      <c r="E54" s="204"/>
      <c r="F54" s="205"/>
      <c r="G54" s="44"/>
      <c r="H54" s="44"/>
      <c r="I54" s="44"/>
      <c r="J54" s="44"/>
      <c r="K54" s="44"/>
      <c r="L54" s="44"/>
      <c r="M54" s="44"/>
      <c r="N54" s="44"/>
      <c r="O54" s="44"/>
      <c r="P54" s="44"/>
      <c r="Q54" s="44"/>
      <c r="R54" s="44"/>
      <c r="S54" s="44"/>
      <c r="T54" s="44"/>
      <c r="U54" s="44"/>
      <c r="V54" s="44"/>
      <c r="W54" s="44"/>
      <c r="X54" s="44"/>
      <c r="Y54" s="306"/>
      <c r="Z54" s="306"/>
    </row>
    <row r="55" spans="1:27">
      <c r="A55" s="44"/>
      <c r="W55" s="222"/>
    </row>
    <row r="56" spans="1:27">
      <c r="A56" s="44"/>
    </row>
    <row r="57" spans="1:27">
      <c r="A57" s="44"/>
    </row>
    <row r="58" spans="1:27">
      <c r="A58" s="44"/>
    </row>
    <row r="59" spans="1:27">
      <c r="A59" s="44"/>
    </row>
    <row r="60" spans="1:27">
      <c r="A60" s="44"/>
    </row>
  </sheetData>
  <mergeCells count="13">
    <mergeCell ref="B45:B47"/>
    <mergeCell ref="R46:S46"/>
    <mergeCell ref="T46:U46"/>
    <mergeCell ref="V46:W46"/>
    <mergeCell ref="R47:S47"/>
    <mergeCell ref="T47:U47"/>
    <mergeCell ref="V47:W47"/>
    <mergeCell ref="W11:W12"/>
    <mergeCell ref="D6:F6"/>
    <mergeCell ref="D7:F7"/>
    <mergeCell ref="D8:F8"/>
    <mergeCell ref="B11:C12"/>
    <mergeCell ref="V11:V12"/>
  </mergeCells>
  <phoneticPr fontId="2"/>
  <conditionalFormatting sqref="T47">
    <cfRule type="expression" dxfId="49" priority="1" stopIfTrue="1">
      <formula>$O$48&lt;&gt;""</formula>
    </cfRule>
  </conditionalFormatting>
  <pageMargins left="0.43307086614173229" right="0.19685039370078741" top="0.94488188976377963" bottom="0.39370078740157483" header="0.62992125984251968" footer="0.23622047244094491"/>
  <pageSetup paperSize="9" scale="51"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F50"/>
  <sheetViews>
    <sheetView showGridLines="0" view="pageBreakPreview" topLeftCell="A7" zoomScaleNormal="100" zoomScaleSheetLayoutView="100" workbookViewId="0">
      <selection activeCell="U70" sqref="U70"/>
    </sheetView>
  </sheetViews>
  <sheetFormatPr defaultColWidth="9" defaultRowHeight="12"/>
  <cols>
    <col min="1" max="1" width="2" style="484" customWidth="1"/>
    <col min="2" max="2" width="2.625" style="484" customWidth="1"/>
    <col min="3" max="21" width="2" style="484" customWidth="1"/>
    <col min="22" max="22" width="2.625" style="484" customWidth="1"/>
    <col min="23" max="42" width="2" style="484" customWidth="1"/>
    <col min="43" max="43" width="2.625" style="484" customWidth="1"/>
    <col min="44" max="44" width="2.375" style="484" customWidth="1"/>
    <col min="45" max="63" width="2" style="484" customWidth="1"/>
    <col min="64" max="64" width="2.625" style="484" customWidth="1"/>
    <col min="65" max="84" width="2" style="484" customWidth="1"/>
    <col min="85" max="16384" width="9" style="484"/>
  </cols>
  <sheetData>
    <row r="1" spans="1:84" ht="24" customHeight="1">
      <c r="AD1" s="992">
        <f>MAX(入力シート!C13:C43)</f>
        <v>44227</v>
      </c>
      <c r="AE1" s="992"/>
      <c r="AF1" s="992"/>
      <c r="AG1" s="992"/>
      <c r="AH1" s="992"/>
      <c r="AI1" s="992"/>
      <c r="AJ1" s="992"/>
      <c r="AK1" s="992"/>
      <c r="AL1" s="992"/>
      <c r="AM1" s="992"/>
      <c r="AN1" s="992"/>
      <c r="AO1" s="992"/>
      <c r="AP1" s="992"/>
      <c r="BV1" s="989" t="s">
        <v>773</v>
      </c>
      <c r="BW1" s="989"/>
      <c r="BX1" s="989"/>
      <c r="BY1" s="989"/>
      <c r="BZ1" s="989"/>
      <c r="CA1" s="989"/>
      <c r="CB1" s="989"/>
      <c r="CC1" s="989"/>
      <c r="CD1" s="989"/>
      <c r="CE1" s="989"/>
      <c r="CF1" s="989"/>
    </row>
    <row r="3" spans="1:84" ht="24" customHeight="1">
      <c r="B3" s="485"/>
      <c r="C3" s="485"/>
      <c r="D3" s="485"/>
      <c r="E3" s="485"/>
      <c r="F3" s="485"/>
      <c r="G3" s="485"/>
      <c r="H3" s="485"/>
      <c r="I3" s="990" t="s">
        <v>640</v>
      </c>
      <c r="J3" s="990"/>
      <c r="K3" s="990"/>
      <c r="L3" s="990"/>
      <c r="M3" s="990"/>
      <c r="N3" s="990"/>
      <c r="O3" s="990"/>
      <c r="P3" s="990"/>
      <c r="Q3" s="990"/>
      <c r="R3" s="990"/>
      <c r="S3" s="990"/>
      <c r="T3" s="990"/>
      <c r="U3" s="990"/>
      <c r="V3" s="990"/>
      <c r="W3" s="990"/>
      <c r="X3" s="990"/>
      <c r="Y3" s="990"/>
      <c r="Z3" s="990"/>
      <c r="AA3" s="990"/>
      <c r="AB3" s="990"/>
      <c r="AC3" s="990"/>
      <c r="AD3" s="990"/>
      <c r="AE3" s="990"/>
      <c r="AF3" s="990"/>
      <c r="AG3" s="990"/>
      <c r="AH3" s="990"/>
      <c r="AI3" s="485"/>
      <c r="AJ3" s="485"/>
      <c r="AK3" s="485"/>
      <c r="AL3" s="485"/>
      <c r="AM3" s="485"/>
      <c r="AN3" s="485"/>
      <c r="AO3" s="485"/>
      <c r="AP3" s="485"/>
      <c r="AR3" s="485"/>
      <c r="AS3" s="485"/>
      <c r="AT3" s="485"/>
      <c r="AU3" s="485"/>
      <c r="AV3" s="485"/>
      <c r="AW3" s="485"/>
      <c r="AX3" s="485"/>
      <c r="AY3" s="990" t="s">
        <v>640</v>
      </c>
      <c r="AZ3" s="990"/>
      <c r="BA3" s="990"/>
      <c r="BB3" s="990"/>
      <c r="BC3" s="990"/>
      <c r="BD3" s="990"/>
      <c r="BE3" s="990"/>
      <c r="BF3" s="990"/>
      <c r="BG3" s="990"/>
      <c r="BH3" s="990"/>
      <c r="BI3" s="990"/>
      <c r="BJ3" s="990"/>
      <c r="BK3" s="990"/>
      <c r="BL3" s="990"/>
      <c r="BM3" s="990"/>
      <c r="BN3" s="990"/>
      <c r="BO3" s="990"/>
      <c r="BP3" s="990"/>
      <c r="BQ3" s="990"/>
      <c r="BR3" s="990"/>
      <c r="BS3" s="990"/>
      <c r="BT3" s="990"/>
      <c r="BU3" s="990"/>
      <c r="BV3" s="990"/>
      <c r="BW3" s="990"/>
      <c r="BX3" s="990"/>
      <c r="BY3" s="485"/>
      <c r="BZ3" s="485"/>
      <c r="CA3" s="485"/>
      <c r="CB3" s="485"/>
      <c r="CC3" s="485"/>
      <c r="CD3" s="485"/>
      <c r="CE3" s="485"/>
      <c r="CF3" s="485"/>
    </row>
    <row r="6" spans="1:84" ht="24" customHeight="1">
      <c r="A6" s="991" t="s">
        <v>641</v>
      </c>
      <c r="B6" s="991"/>
      <c r="C6" s="991"/>
      <c r="D6" s="991"/>
      <c r="E6" s="991"/>
      <c r="F6" s="991"/>
      <c r="G6" s="991"/>
      <c r="H6" s="991"/>
      <c r="I6" s="991"/>
      <c r="J6" s="991"/>
      <c r="K6" s="991"/>
      <c r="L6" s="991"/>
      <c r="AQ6" s="991" t="s">
        <v>641</v>
      </c>
      <c r="AR6" s="991"/>
      <c r="AS6" s="991"/>
      <c r="AT6" s="991"/>
      <c r="AU6" s="991"/>
      <c r="AV6" s="991"/>
      <c r="AW6" s="991"/>
      <c r="AX6" s="991"/>
      <c r="AY6" s="991"/>
      <c r="AZ6" s="991"/>
      <c r="BA6" s="991"/>
      <c r="BB6" s="991"/>
    </row>
    <row r="7" spans="1:84">
      <c r="U7" s="995" t="s">
        <v>642</v>
      </c>
      <c r="V7" s="995"/>
      <c r="W7" s="995"/>
      <c r="X7" s="1004" t="s">
        <v>805</v>
      </c>
      <c r="Y7" s="1004"/>
      <c r="Z7" s="1004"/>
      <c r="AA7" s="1004"/>
      <c r="AB7" s="1004"/>
      <c r="AC7" s="1004"/>
      <c r="AD7" s="1004"/>
      <c r="AE7" s="1004"/>
      <c r="AF7" s="1004"/>
      <c r="AG7" s="1004"/>
      <c r="AH7" s="1004"/>
      <c r="AI7" s="1004"/>
      <c r="AJ7" s="1004"/>
      <c r="AK7" s="1004"/>
      <c r="AL7" s="1004"/>
      <c r="AM7" s="1004"/>
      <c r="AN7" s="1004"/>
      <c r="AO7" s="1004"/>
      <c r="BK7" s="996" t="s">
        <v>642</v>
      </c>
      <c r="BL7" s="996"/>
      <c r="BM7" s="996"/>
    </row>
    <row r="8" spans="1:84" ht="24" customHeight="1">
      <c r="U8" s="995"/>
      <c r="V8" s="995"/>
      <c r="W8" s="995"/>
      <c r="X8" s="1004"/>
      <c r="Y8" s="1004"/>
      <c r="Z8" s="1004"/>
      <c r="AA8" s="1004"/>
      <c r="AB8" s="1004"/>
      <c r="AC8" s="1004"/>
      <c r="AD8" s="1004"/>
      <c r="AE8" s="1004"/>
      <c r="AF8" s="1004"/>
      <c r="AG8" s="1004"/>
      <c r="AH8" s="1004"/>
      <c r="AI8" s="1004"/>
      <c r="AJ8" s="1004"/>
      <c r="AK8" s="1004"/>
      <c r="AL8" s="1004"/>
      <c r="AM8" s="1004"/>
      <c r="AN8" s="1004"/>
      <c r="AO8" s="1004"/>
      <c r="BK8" s="996"/>
      <c r="BL8" s="996"/>
      <c r="BM8" s="996"/>
      <c r="BN8" s="486"/>
      <c r="BO8" s="486"/>
      <c r="BP8" s="486"/>
      <c r="BQ8" s="486"/>
      <c r="BR8" s="486"/>
      <c r="BS8" s="486"/>
      <c r="BT8" s="486"/>
      <c r="BU8" s="486"/>
      <c r="BV8" s="486"/>
      <c r="BW8" s="486"/>
      <c r="BX8" s="486"/>
      <c r="BY8" s="486"/>
      <c r="BZ8" s="486"/>
      <c r="CA8" s="486"/>
      <c r="CB8" s="486"/>
      <c r="CC8" s="486"/>
      <c r="CD8" s="486"/>
      <c r="CE8" s="486"/>
    </row>
    <row r="9" spans="1:84" ht="24" customHeight="1">
      <c r="U9" s="997" t="s">
        <v>643</v>
      </c>
      <c r="V9" s="997"/>
      <c r="W9" s="997"/>
      <c r="X9" s="1001" t="str">
        <f>入力シート!D6</f>
        <v>フォレストソフト株式会社</v>
      </c>
      <c r="Y9" s="1002"/>
      <c r="Z9" s="1002"/>
      <c r="AA9" s="1002"/>
      <c r="AB9" s="1002"/>
      <c r="AC9" s="1002"/>
      <c r="AD9" s="1002"/>
      <c r="AE9" s="1002"/>
      <c r="AF9" s="1002"/>
      <c r="AG9" s="1002"/>
      <c r="AH9" s="1002"/>
      <c r="AI9" s="1002"/>
      <c r="AJ9" s="1002"/>
      <c r="AK9" s="1002"/>
      <c r="AL9" s="1002"/>
      <c r="AM9" s="1002"/>
      <c r="AN9" s="1002"/>
      <c r="AO9" s="1002"/>
      <c r="BK9" s="998" t="s">
        <v>643</v>
      </c>
      <c r="BL9" s="998"/>
      <c r="BM9" s="998"/>
      <c r="BN9" s="486"/>
      <c r="BO9" s="486"/>
      <c r="BP9" s="486"/>
      <c r="BQ9" s="486"/>
      <c r="BR9" s="486"/>
      <c r="BS9" s="486"/>
      <c r="BT9" s="486"/>
      <c r="BU9" s="486"/>
      <c r="BV9" s="486"/>
      <c r="BW9" s="486"/>
      <c r="BX9" s="486"/>
      <c r="BY9" s="486"/>
      <c r="BZ9" s="486"/>
      <c r="CA9" s="486"/>
      <c r="CB9" s="486"/>
      <c r="CC9" s="486"/>
      <c r="CD9" s="486"/>
      <c r="CE9" s="486"/>
    </row>
    <row r="10" spans="1:84" ht="24" customHeight="1">
      <c r="U10" s="1005" t="s">
        <v>644</v>
      </c>
      <c r="V10" s="1005"/>
      <c r="W10" s="1005"/>
      <c r="X10" s="1005"/>
      <c r="Y10" s="1005"/>
      <c r="Z10" s="1005"/>
      <c r="AA10" s="488"/>
      <c r="AB10" s="1003" t="s">
        <v>802</v>
      </c>
      <c r="AC10" s="1003"/>
      <c r="AD10" s="1003"/>
      <c r="AE10" s="1003"/>
      <c r="AF10" s="1003"/>
      <c r="AG10" s="1003"/>
      <c r="AH10" s="1003"/>
      <c r="AI10" s="1003"/>
      <c r="AJ10" s="1003"/>
      <c r="AK10" s="1003"/>
      <c r="AL10" s="1003"/>
      <c r="AM10" s="1003"/>
      <c r="AN10" s="1003"/>
      <c r="AO10" s="488"/>
      <c r="AP10" s="484" t="s">
        <v>645</v>
      </c>
      <c r="BK10" s="487" t="s">
        <v>644</v>
      </c>
      <c r="BL10" s="487"/>
      <c r="BM10" s="487"/>
      <c r="BN10" s="486"/>
      <c r="BO10" s="488"/>
      <c r="BP10" s="488"/>
      <c r="BQ10" s="488"/>
      <c r="BR10" s="488"/>
      <c r="BS10" s="488"/>
      <c r="BT10" s="488"/>
      <c r="BU10" s="488"/>
      <c r="BV10" s="488"/>
      <c r="BW10" s="488"/>
      <c r="BX10" s="488"/>
      <c r="BY10" s="488"/>
      <c r="BZ10" s="488"/>
      <c r="CA10" s="488"/>
      <c r="CB10" s="488"/>
      <c r="CC10" s="488"/>
      <c r="CD10" s="488"/>
      <c r="CE10" s="488"/>
      <c r="CF10" s="484" t="s">
        <v>645</v>
      </c>
    </row>
    <row r="11" spans="1:84" ht="18.75" customHeight="1">
      <c r="X11" s="488"/>
      <c r="Y11" s="488"/>
      <c r="Z11" s="488"/>
      <c r="AA11" s="488"/>
      <c r="AB11" s="488"/>
      <c r="AC11" s="488"/>
      <c r="AD11" s="488"/>
      <c r="AE11" s="488"/>
      <c r="AF11" s="488"/>
      <c r="AG11" s="488"/>
      <c r="AH11" s="488"/>
      <c r="AI11" s="488"/>
      <c r="AJ11" s="488"/>
      <c r="AK11" s="488"/>
      <c r="AL11" s="488"/>
      <c r="AM11" s="488"/>
      <c r="AN11" s="488"/>
      <c r="AO11" s="488"/>
      <c r="BN11" s="488"/>
      <c r="BO11" s="488"/>
      <c r="BP11" s="488"/>
      <c r="BQ11" s="488"/>
      <c r="BR11" s="488"/>
      <c r="BS11" s="488"/>
      <c r="BT11" s="488"/>
      <c r="BU11" s="488"/>
      <c r="BV11" s="488"/>
      <c r="BW11" s="488"/>
      <c r="BX11" s="488"/>
      <c r="BY11" s="488"/>
      <c r="BZ11" s="488"/>
      <c r="CA11" s="488"/>
      <c r="CB11" s="488"/>
      <c r="CC11" s="488"/>
      <c r="CD11" s="488"/>
      <c r="CE11" s="488"/>
    </row>
    <row r="12" spans="1:84" ht="29.25" customHeight="1">
      <c r="A12" s="999">
        <f>DATE(YEAR(計算シート!T2),MONTH(計算シート!T2),1)</f>
        <v>44197</v>
      </c>
      <c r="B12" s="999"/>
      <c r="C12" s="999"/>
      <c r="D12" s="999"/>
      <c r="E12" s="999"/>
      <c r="F12" s="999"/>
      <c r="G12" s="999"/>
      <c r="H12" s="999"/>
      <c r="I12" s="999"/>
      <c r="J12" s="999"/>
      <c r="K12" s="999"/>
      <c r="L12" s="999"/>
      <c r="M12" s="999"/>
      <c r="N12" s="999"/>
      <c r="O12" s="999"/>
      <c r="P12" s="999"/>
      <c r="Q12" s="999"/>
      <c r="R12" s="999"/>
      <c r="S12" s="999"/>
      <c r="T12" s="999"/>
      <c r="U12" s="999"/>
      <c r="V12" s="999"/>
      <c r="W12" s="999"/>
      <c r="X12" s="999"/>
      <c r="Y12" s="999"/>
      <c r="Z12" s="999"/>
      <c r="AA12" s="999"/>
      <c r="AB12" s="999"/>
      <c r="AC12" s="999"/>
      <c r="AD12" s="999"/>
      <c r="AE12" s="999"/>
      <c r="AF12" s="999"/>
      <c r="AG12" s="999"/>
      <c r="AH12" s="999"/>
      <c r="AI12" s="999"/>
      <c r="AJ12" s="999"/>
      <c r="AK12" s="999"/>
      <c r="AL12" s="999"/>
      <c r="AM12" s="999"/>
      <c r="AN12" s="999"/>
      <c r="AO12" s="999"/>
      <c r="AP12" s="999"/>
      <c r="AQ12" s="1000" t="s">
        <v>774</v>
      </c>
      <c r="AR12" s="1000"/>
      <c r="AS12" s="1000"/>
      <c r="AT12" s="1000"/>
      <c r="AU12" s="1000"/>
      <c r="AV12" s="1000"/>
      <c r="AW12" s="1000"/>
      <c r="AX12" s="1000"/>
      <c r="AY12" s="1000"/>
      <c r="AZ12" s="1000"/>
      <c r="BA12" s="1000"/>
      <c r="BB12" s="1000"/>
      <c r="BC12" s="1000"/>
      <c r="BD12" s="1000"/>
      <c r="BE12" s="1000"/>
      <c r="BF12" s="1000"/>
      <c r="BG12" s="1000"/>
      <c r="BH12" s="1000"/>
      <c r="BI12" s="1000"/>
      <c r="BJ12" s="1000"/>
      <c r="BK12" s="1000"/>
      <c r="BL12" s="1000"/>
      <c r="BM12" s="1000"/>
      <c r="BN12" s="1000"/>
      <c r="BO12" s="1000"/>
      <c r="BP12" s="1000"/>
      <c r="BQ12" s="1000"/>
      <c r="BR12" s="1000"/>
      <c r="BS12" s="1000"/>
      <c r="BT12" s="1000"/>
      <c r="BU12" s="1000"/>
      <c r="BV12" s="1000"/>
      <c r="BW12" s="1000"/>
      <c r="BX12" s="1000"/>
      <c r="BY12" s="1000"/>
      <c r="BZ12" s="1000"/>
      <c r="CA12" s="1000"/>
      <c r="CB12" s="1000"/>
      <c r="CC12" s="1000"/>
      <c r="CD12" s="1000"/>
      <c r="CE12" s="1000"/>
      <c r="CF12" s="1000"/>
    </row>
    <row r="13" spans="1:84" ht="9.75" customHeight="1"/>
    <row r="14" spans="1:84">
      <c r="B14" s="998" t="s">
        <v>669</v>
      </c>
      <c r="C14" s="998"/>
      <c r="D14" s="998"/>
      <c r="E14" s="998"/>
      <c r="F14" s="998"/>
      <c r="G14" s="998"/>
      <c r="H14" s="998"/>
      <c r="I14" s="998"/>
      <c r="J14" s="998"/>
      <c r="K14" s="998"/>
      <c r="L14" s="998"/>
      <c r="M14" s="998"/>
      <c r="N14" s="998"/>
      <c r="O14" s="998"/>
      <c r="P14" s="998"/>
      <c r="Q14" s="998"/>
      <c r="R14" s="998"/>
      <c r="S14" s="998"/>
      <c r="T14" s="998"/>
      <c r="U14" s="998"/>
      <c r="V14" s="998"/>
      <c r="W14" s="998"/>
      <c r="X14" s="998"/>
      <c r="Y14" s="998"/>
      <c r="Z14" s="998"/>
      <c r="AA14" s="998"/>
      <c r="AB14" s="998"/>
      <c r="AC14" s="998"/>
      <c r="AD14" s="998"/>
      <c r="AE14" s="998"/>
      <c r="AF14" s="998"/>
      <c r="AG14" s="998"/>
      <c r="AH14" s="998"/>
      <c r="AI14" s="998"/>
      <c r="AJ14" s="998"/>
      <c r="AK14" s="998"/>
      <c r="AL14" s="998"/>
      <c r="AM14" s="998"/>
      <c r="AN14" s="998"/>
      <c r="AO14" s="998"/>
      <c r="AR14" s="998" t="s">
        <v>669</v>
      </c>
      <c r="AS14" s="998"/>
      <c r="AT14" s="998"/>
      <c r="AU14" s="998"/>
      <c r="AV14" s="998"/>
      <c r="AW14" s="998"/>
      <c r="AX14" s="998"/>
      <c r="AY14" s="998"/>
      <c r="AZ14" s="998"/>
      <c r="BA14" s="998"/>
      <c r="BB14" s="998"/>
      <c r="BC14" s="998"/>
      <c r="BD14" s="998"/>
      <c r="BE14" s="998"/>
      <c r="BF14" s="998"/>
      <c r="BG14" s="998"/>
      <c r="BH14" s="998"/>
      <c r="BI14" s="998"/>
      <c r="BJ14" s="998"/>
      <c r="BK14" s="998"/>
      <c r="BL14" s="998"/>
      <c r="BM14" s="998"/>
      <c r="BN14" s="998"/>
      <c r="BO14" s="998"/>
      <c r="BP14" s="998"/>
      <c r="BQ14" s="998"/>
      <c r="BR14" s="998"/>
      <c r="BS14" s="998"/>
      <c r="BT14" s="998"/>
      <c r="BU14" s="998"/>
      <c r="BV14" s="998"/>
      <c r="BW14" s="998"/>
      <c r="BX14" s="998"/>
      <c r="BY14" s="998"/>
      <c r="BZ14" s="998"/>
      <c r="CA14" s="998"/>
      <c r="CB14" s="998"/>
      <c r="CC14" s="998"/>
      <c r="CD14" s="998"/>
      <c r="CE14" s="998"/>
    </row>
    <row r="16" spans="1:84" ht="24" customHeight="1">
      <c r="B16" s="993" t="s">
        <v>646</v>
      </c>
      <c r="C16" s="993"/>
      <c r="D16" s="993"/>
      <c r="E16" s="993"/>
      <c r="F16" s="993"/>
      <c r="G16" s="993"/>
      <c r="H16" s="993"/>
      <c r="I16" s="993"/>
      <c r="J16" s="993"/>
      <c r="K16" s="1062">
        <v>497490</v>
      </c>
      <c r="L16" s="1062"/>
      <c r="M16" s="1062"/>
      <c r="N16" s="1062"/>
      <c r="O16" s="1062"/>
      <c r="P16" s="1062"/>
      <c r="Q16" s="1062"/>
      <c r="R16" s="1062"/>
      <c r="S16" s="1062"/>
      <c r="T16" s="1062"/>
      <c r="U16" s="1062"/>
      <c r="V16" s="1062"/>
      <c r="W16" s="1062"/>
      <c r="X16" s="1062"/>
      <c r="Y16" s="1062"/>
      <c r="Z16" s="1062"/>
      <c r="AA16" s="1062"/>
      <c r="AB16" s="1062"/>
      <c r="AC16" s="1062"/>
      <c r="AD16" s="1062"/>
      <c r="AE16" s="1062"/>
      <c r="AF16" s="1062"/>
      <c r="AG16" s="1062"/>
      <c r="AH16" s="1062"/>
      <c r="AI16" s="1062"/>
      <c r="AJ16" s="1062"/>
      <c r="AK16" s="1062"/>
      <c r="AL16" s="1062"/>
      <c r="AM16" s="1062"/>
      <c r="AN16" s="1062"/>
      <c r="AO16" s="1062"/>
      <c r="AR16" s="993" t="s">
        <v>646</v>
      </c>
      <c r="AS16" s="993"/>
      <c r="AT16" s="993"/>
      <c r="AU16" s="993"/>
      <c r="AV16" s="993"/>
      <c r="AW16" s="993"/>
      <c r="AX16" s="993"/>
      <c r="AY16" s="993"/>
      <c r="AZ16" s="993"/>
      <c r="BA16" s="994">
        <v>449999</v>
      </c>
      <c r="BB16" s="994"/>
      <c r="BC16" s="994"/>
      <c r="BD16" s="994"/>
      <c r="BE16" s="994"/>
      <c r="BF16" s="994"/>
      <c r="BG16" s="994"/>
      <c r="BH16" s="994"/>
      <c r="BI16" s="994"/>
      <c r="BJ16" s="994"/>
      <c r="BK16" s="994"/>
      <c r="BL16" s="994"/>
      <c r="BM16" s="994"/>
      <c r="BN16" s="994"/>
      <c r="BO16" s="994"/>
      <c r="BP16" s="994"/>
      <c r="BQ16" s="994"/>
      <c r="BR16" s="994"/>
      <c r="BS16" s="994"/>
      <c r="BT16" s="994"/>
      <c r="BU16" s="994"/>
      <c r="BV16" s="994"/>
      <c r="BW16" s="994"/>
      <c r="BX16" s="994"/>
      <c r="BY16" s="994"/>
      <c r="BZ16" s="994"/>
      <c r="CA16" s="994"/>
      <c r="CB16" s="994"/>
      <c r="CC16" s="994"/>
      <c r="CD16" s="994"/>
      <c r="CE16" s="994"/>
    </row>
    <row r="17" spans="1:84" ht="24" customHeight="1">
      <c r="B17" s="993" t="s">
        <v>647</v>
      </c>
      <c r="C17" s="993"/>
      <c r="D17" s="993"/>
      <c r="E17" s="993"/>
      <c r="F17" s="993"/>
      <c r="G17" s="993"/>
      <c r="H17" s="993"/>
      <c r="I17" s="993"/>
      <c r="J17" s="993"/>
      <c r="K17" s="1009" t="s">
        <v>803</v>
      </c>
      <c r="L17" s="1009"/>
      <c r="M17" s="1009"/>
      <c r="N17" s="1009"/>
      <c r="O17" s="1009"/>
      <c r="P17" s="1009"/>
      <c r="Q17" s="1009"/>
      <c r="R17" s="1009"/>
      <c r="S17" s="1009"/>
      <c r="T17" s="1009"/>
      <c r="U17" s="1009"/>
      <c r="V17" s="1009"/>
      <c r="W17" s="1009"/>
      <c r="X17" s="1009"/>
      <c r="Y17" s="1009"/>
      <c r="Z17" s="1009"/>
      <c r="AA17" s="1009"/>
      <c r="AB17" s="1009"/>
      <c r="AC17" s="1009"/>
      <c r="AD17" s="1009"/>
      <c r="AE17" s="1009"/>
      <c r="AF17" s="1009"/>
      <c r="AG17" s="1009"/>
      <c r="AH17" s="1009"/>
      <c r="AI17" s="1009"/>
      <c r="AJ17" s="1009"/>
      <c r="AK17" s="1009"/>
      <c r="AL17" s="1009"/>
      <c r="AM17" s="1009"/>
      <c r="AN17" s="1009"/>
      <c r="AO17" s="1009"/>
      <c r="AR17" s="993" t="s">
        <v>647</v>
      </c>
      <c r="AS17" s="993"/>
      <c r="AT17" s="993"/>
      <c r="AU17" s="993"/>
      <c r="AV17" s="993"/>
      <c r="AW17" s="993"/>
      <c r="AX17" s="993"/>
      <c r="AY17" s="993"/>
      <c r="AZ17" s="993"/>
      <c r="BA17" s="1010" t="s">
        <v>648</v>
      </c>
      <c r="BB17" s="1011"/>
      <c r="BC17" s="1011"/>
      <c r="BD17" s="1011"/>
      <c r="BE17" s="1011"/>
      <c r="BF17" s="1011"/>
      <c r="BG17" s="1011"/>
      <c r="BH17" s="1011"/>
      <c r="BI17" s="1011"/>
      <c r="BJ17" s="1011"/>
      <c r="BK17" s="1011"/>
      <c r="BL17" s="1011"/>
      <c r="BM17" s="1011"/>
      <c r="BN17" s="1011"/>
      <c r="BO17" s="1011"/>
      <c r="BP17" s="1011"/>
      <c r="BQ17" s="1011"/>
      <c r="BR17" s="1011"/>
      <c r="BS17" s="1011"/>
      <c r="BT17" s="1011"/>
      <c r="BU17" s="1011"/>
      <c r="BV17" s="1011"/>
      <c r="BW17" s="1011"/>
      <c r="BX17" s="1011"/>
      <c r="BY17" s="1011"/>
      <c r="BZ17" s="1011"/>
      <c r="CA17" s="1011"/>
      <c r="CB17" s="1011"/>
      <c r="CC17" s="1011"/>
      <c r="CD17" s="1011"/>
      <c r="CE17" s="1011"/>
    </row>
    <row r="18" spans="1:84" ht="24" customHeight="1">
      <c r="B18" s="1012" t="s">
        <v>649</v>
      </c>
      <c r="C18" s="1012"/>
      <c r="D18" s="1012"/>
      <c r="E18" s="1012"/>
      <c r="F18" s="1012"/>
      <c r="G18" s="1012"/>
      <c r="H18" s="1012"/>
      <c r="I18" s="1012"/>
      <c r="J18" s="1012"/>
      <c r="K18" s="1013" t="s">
        <v>804</v>
      </c>
      <c r="L18" s="1013"/>
      <c r="M18" s="1013"/>
      <c r="N18" s="1013"/>
      <c r="O18" s="1013"/>
      <c r="P18" s="1013"/>
      <c r="Q18" s="1013"/>
      <c r="R18" s="1013"/>
      <c r="S18" s="1013"/>
      <c r="T18" s="1013"/>
      <c r="U18" s="1013"/>
      <c r="V18" s="1013"/>
      <c r="W18" s="1013"/>
      <c r="X18" s="1013"/>
      <c r="Y18" s="1013"/>
      <c r="Z18" s="1013"/>
      <c r="AA18" s="1013"/>
      <c r="AB18" s="1013"/>
      <c r="AC18" s="1013"/>
      <c r="AD18" s="1013"/>
      <c r="AE18" s="1013"/>
      <c r="AF18" s="1013"/>
      <c r="AG18" s="1013"/>
      <c r="AH18" s="1013"/>
      <c r="AI18" s="1013"/>
      <c r="AJ18" s="1013"/>
      <c r="AK18" s="1013"/>
      <c r="AL18" s="1013"/>
      <c r="AM18" s="1013"/>
      <c r="AN18" s="1013"/>
      <c r="AO18" s="1013"/>
      <c r="AR18" s="1012" t="s">
        <v>649</v>
      </c>
      <c r="AS18" s="1012"/>
      <c r="AT18" s="1012"/>
      <c r="AU18" s="1012"/>
      <c r="AV18" s="1012"/>
      <c r="AW18" s="1012"/>
      <c r="AX18" s="1012"/>
      <c r="AY18" s="1012"/>
      <c r="AZ18" s="1012"/>
      <c r="BA18" s="1011" t="s">
        <v>650</v>
      </c>
      <c r="BB18" s="1011"/>
      <c r="BC18" s="1011"/>
      <c r="BD18" s="1011"/>
      <c r="BE18" s="1011"/>
      <c r="BF18" s="1011"/>
      <c r="BG18" s="1011"/>
      <c r="BH18" s="1011"/>
      <c r="BI18" s="1011"/>
      <c r="BJ18" s="1011"/>
      <c r="BK18" s="1011"/>
      <c r="BL18" s="1011"/>
      <c r="BM18" s="1011"/>
      <c r="BN18" s="1011"/>
      <c r="BO18" s="1011"/>
      <c r="BP18" s="1011"/>
      <c r="BQ18" s="1011"/>
      <c r="BR18" s="1011"/>
      <c r="BS18" s="1011"/>
      <c r="BT18" s="1011"/>
      <c r="BU18" s="1011"/>
      <c r="BV18" s="1011"/>
      <c r="BW18" s="1011"/>
      <c r="BX18" s="1011"/>
      <c r="BY18" s="1011"/>
      <c r="BZ18" s="1011"/>
      <c r="CA18" s="1011"/>
      <c r="CB18" s="1011"/>
      <c r="CC18" s="1011"/>
      <c r="CD18" s="1011"/>
      <c r="CE18" s="1011"/>
    </row>
    <row r="19" spans="1:84" ht="28.5" customHeight="1">
      <c r="B19" s="1012" t="s">
        <v>651</v>
      </c>
      <c r="C19" s="1012"/>
      <c r="D19" s="1012"/>
      <c r="E19" s="1012"/>
      <c r="F19" s="1012"/>
      <c r="G19" s="1012"/>
      <c r="H19" s="1012"/>
      <c r="I19" s="1012"/>
      <c r="J19" s="1012"/>
      <c r="K19" s="1014" t="s">
        <v>806</v>
      </c>
      <c r="L19" s="1014"/>
      <c r="M19" s="1014"/>
      <c r="N19" s="1014"/>
      <c r="O19" s="1014"/>
      <c r="P19" s="1014"/>
      <c r="Q19" s="1014"/>
      <c r="R19" s="1014"/>
      <c r="S19" s="1014"/>
      <c r="T19" s="1014"/>
      <c r="U19" s="1014"/>
      <c r="V19" s="1014"/>
      <c r="W19" s="1014"/>
      <c r="X19" s="1014"/>
      <c r="Y19" s="1014"/>
      <c r="Z19" s="1014"/>
      <c r="AA19" s="1014"/>
      <c r="AB19" s="1014"/>
      <c r="AC19" s="1014"/>
      <c r="AD19" s="1014"/>
      <c r="AE19" s="1014"/>
      <c r="AF19" s="1014"/>
      <c r="AG19" s="1014"/>
      <c r="AH19" s="1014"/>
      <c r="AI19" s="1014"/>
      <c r="AJ19" s="1014"/>
      <c r="AK19" s="1014"/>
      <c r="AL19" s="1014"/>
      <c r="AM19" s="1014"/>
      <c r="AN19" s="1014"/>
      <c r="AO19" s="1014"/>
      <c r="AP19" s="484" t="s">
        <v>781</v>
      </c>
      <c r="AR19" s="1012" t="s">
        <v>651</v>
      </c>
      <c r="AS19" s="1012"/>
      <c r="AT19" s="1012"/>
      <c r="AU19" s="1012"/>
      <c r="AV19" s="1012"/>
      <c r="AW19" s="1012"/>
      <c r="AX19" s="1012"/>
      <c r="AY19" s="1012"/>
      <c r="AZ19" s="1012"/>
      <c r="BA19" s="1006" t="s">
        <v>777</v>
      </c>
      <c r="BB19" s="1007"/>
      <c r="BC19" s="1007"/>
      <c r="BD19" s="1007"/>
      <c r="BE19" s="1007"/>
      <c r="BF19" s="1007"/>
      <c r="BG19" s="1007"/>
      <c r="BH19" s="1007"/>
      <c r="BI19" s="1007"/>
      <c r="BJ19" s="1007"/>
      <c r="BK19" s="1007"/>
      <c r="BL19" s="1007"/>
      <c r="BM19" s="1007"/>
      <c r="BN19" s="1007"/>
      <c r="BO19" s="1007"/>
      <c r="BP19" s="1007"/>
      <c r="BQ19" s="1007"/>
      <c r="BR19" s="1007"/>
      <c r="BS19" s="1007"/>
      <c r="BT19" s="1007"/>
      <c r="BU19" s="1007"/>
      <c r="BV19" s="1007"/>
      <c r="BW19" s="1007"/>
      <c r="BX19" s="1007"/>
      <c r="BY19" s="1007"/>
      <c r="BZ19" s="1007"/>
      <c r="CA19" s="1007"/>
      <c r="CB19" s="1007"/>
      <c r="CC19" s="1007"/>
      <c r="CD19" s="1007"/>
      <c r="CE19" s="1008"/>
    </row>
    <row r="20" spans="1:84" ht="18.95" customHeight="1">
      <c r="B20" s="1033" t="s">
        <v>670</v>
      </c>
      <c r="C20" s="1034"/>
      <c r="D20" s="1034"/>
      <c r="E20" s="1034"/>
      <c r="F20" s="1034"/>
      <c r="G20" s="1034"/>
      <c r="H20" s="1034"/>
      <c r="I20" s="1034"/>
      <c r="J20" s="1035"/>
      <c r="K20" s="1044" t="s">
        <v>798</v>
      </c>
      <c r="L20" s="1045"/>
      <c r="M20" s="1045"/>
      <c r="N20" s="1045"/>
      <c r="O20" s="1045"/>
      <c r="P20" s="1045"/>
      <c r="Q20" s="1045"/>
      <c r="R20" s="1045"/>
      <c r="S20" s="1045"/>
      <c r="T20" s="1045"/>
      <c r="U20" s="1045"/>
      <c r="V20" s="1045"/>
      <c r="W20" s="1045"/>
      <c r="X20" s="1045"/>
      <c r="Y20" s="1045"/>
      <c r="Z20" s="1045"/>
      <c r="AA20" s="1045"/>
      <c r="AB20" s="1045"/>
      <c r="AC20" s="1045"/>
      <c r="AD20" s="1045"/>
      <c r="AE20" s="1045"/>
      <c r="AF20" s="1045"/>
      <c r="AG20" s="1045"/>
      <c r="AH20" s="1045"/>
      <c r="AI20" s="1045"/>
      <c r="AJ20" s="1045"/>
      <c r="AK20" s="1045"/>
      <c r="AL20" s="1045"/>
      <c r="AM20" s="1045"/>
      <c r="AN20" s="1045"/>
      <c r="AO20" s="1046"/>
      <c r="AR20" s="1033" t="s">
        <v>670</v>
      </c>
      <c r="AS20" s="1034"/>
      <c r="AT20" s="1034"/>
      <c r="AU20" s="1034"/>
      <c r="AV20" s="1034"/>
      <c r="AW20" s="1034"/>
      <c r="AX20" s="1034"/>
      <c r="AY20" s="1034"/>
      <c r="AZ20" s="1035"/>
      <c r="BA20" s="489"/>
      <c r="BB20" s="489"/>
      <c r="BC20" s="489"/>
      <c r="BD20" s="489"/>
      <c r="BE20" s="489"/>
      <c r="BF20" s="489"/>
      <c r="BG20" s="489"/>
      <c r="BH20" s="489"/>
      <c r="BI20" s="489"/>
      <c r="BJ20" s="489"/>
      <c r="BK20" s="489"/>
      <c r="BL20" s="489"/>
      <c r="BM20" s="489"/>
      <c r="BN20" s="489"/>
      <c r="BO20" s="489"/>
      <c r="BP20" s="489"/>
      <c r="BQ20" s="489"/>
      <c r="BR20" s="489"/>
      <c r="BS20" s="489"/>
      <c r="BT20" s="489"/>
      <c r="BU20" s="489"/>
      <c r="BV20" s="489"/>
      <c r="BW20" s="489"/>
      <c r="BX20" s="489"/>
      <c r="BY20" s="489"/>
      <c r="BZ20" s="489"/>
      <c r="CA20" s="489"/>
      <c r="CB20" s="489"/>
      <c r="CC20" s="489"/>
      <c r="CD20" s="489"/>
      <c r="CE20" s="546"/>
    </row>
    <row r="21" spans="1:84" ht="18.95" customHeight="1">
      <c r="B21" s="1036"/>
      <c r="C21" s="1037"/>
      <c r="D21" s="1037"/>
      <c r="E21" s="1037"/>
      <c r="F21" s="1037"/>
      <c r="G21" s="1037"/>
      <c r="H21" s="1037"/>
      <c r="I21" s="1037"/>
      <c r="J21" s="1038"/>
      <c r="K21" s="1047"/>
      <c r="L21" s="1048"/>
      <c r="M21" s="1048"/>
      <c r="N21" s="1048"/>
      <c r="O21" s="1048"/>
      <c r="P21" s="1048"/>
      <c r="Q21" s="1048"/>
      <c r="R21" s="1048"/>
      <c r="S21" s="1048"/>
      <c r="T21" s="1048"/>
      <c r="U21" s="1048"/>
      <c r="V21" s="1048"/>
      <c r="W21" s="1048"/>
      <c r="X21" s="1048"/>
      <c r="Y21" s="1048"/>
      <c r="Z21" s="1048"/>
      <c r="AA21" s="1048"/>
      <c r="AB21" s="1048"/>
      <c r="AC21" s="1048"/>
      <c r="AD21" s="1048"/>
      <c r="AE21" s="1048"/>
      <c r="AF21" s="1048"/>
      <c r="AG21" s="1048"/>
      <c r="AH21" s="1048"/>
      <c r="AI21" s="1048"/>
      <c r="AJ21" s="1048"/>
      <c r="AK21" s="1048"/>
      <c r="AL21" s="1048"/>
      <c r="AM21" s="1048"/>
      <c r="AN21" s="1048"/>
      <c r="AO21" s="1049"/>
      <c r="AP21" s="490"/>
      <c r="AQ21" s="490"/>
      <c r="AR21" s="1036"/>
      <c r="AS21" s="1037"/>
      <c r="AT21" s="1037"/>
      <c r="AU21" s="1037"/>
      <c r="AV21" s="1037"/>
      <c r="AW21" s="1037"/>
      <c r="AX21" s="1037"/>
      <c r="AY21" s="1037"/>
      <c r="AZ21" s="1038"/>
      <c r="BA21" s="490"/>
      <c r="BB21" s="490"/>
      <c r="BC21" s="490"/>
      <c r="BD21" s="490"/>
      <c r="BE21" s="490"/>
      <c r="BF21" s="490"/>
      <c r="BG21" s="490"/>
      <c r="BH21" s="490"/>
      <c r="BI21" s="490"/>
      <c r="BJ21" s="490"/>
      <c r="BK21" s="490"/>
      <c r="BL21" s="490"/>
      <c r="BM21" s="490"/>
      <c r="BN21" s="490"/>
      <c r="BO21" s="490"/>
      <c r="BP21" s="490"/>
      <c r="BQ21" s="490"/>
      <c r="BR21" s="490"/>
      <c r="BS21" s="490"/>
      <c r="BT21" s="490"/>
      <c r="BU21" s="490"/>
      <c r="BV21" s="490"/>
      <c r="BW21" s="490"/>
      <c r="BX21" s="490"/>
      <c r="BY21" s="490"/>
      <c r="BZ21" s="490"/>
      <c r="CA21" s="490"/>
      <c r="CB21" s="490"/>
      <c r="CC21" s="490"/>
      <c r="CD21" s="490"/>
      <c r="CE21" s="547"/>
      <c r="CF21" s="490"/>
    </row>
    <row r="22" spans="1:84" ht="18.95" customHeight="1">
      <c r="B22" s="1036"/>
      <c r="C22" s="1037"/>
      <c r="D22" s="1037"/>
      <c r="E22" s="1037"/>
      <c r="F22" s="1037"/>
      <c r="G22" s="1037"/>
      <c r="H22" s="1037"/>
      <c r="I22" s="1037"/>
      <c r="J22" s="1038"/>
      <c r="K22" s="1047"/>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9"/>
      <c r="AP22" s="490"/>
      <c r="AQ22" s="490"/>
      <c r="AR22" s="1036"/>
      <c r="AS22" s="1037"/>
      <c r="AT22" s="1037"/>
      <c r="AU22" s="1037"/>
      <c r="AV22" s="1037"/>
      <c r="AW22" s="1037"/>
      <c r="AX22" s="1037"/>
      <c r="AY22" s="1037"/>
      <c r="AZ22" s="1038"/>
      <c r="BA22" s="542"/>
      <c r="BB22" s="542"/>
      <c r="BC22" s="542"/>
      <c r="BD22" s="542"/>
      <c r="BE22" s="549"/>
      <c r="BF22" s="550"/>
      <c r="BG22" s="550"/>
      <c r="BH22" s="550"/>
      <c r="BI22" s="550"/>
      <c r="BJ22" s="550"/>
      <c r="BK22" s="550"/>
      <c r="BL22" s="543"/>
      <c r="BM22" s="491"/>
      <c r="BN22" s="491"/>
      <c r="BO22" s="491"/>
      <c r="BP22" s="491"/>
      <c r="BQ22" s="491"/>
      <c r="BR22" s="542"/>
      <c r="BS22" s="542"/>
      <c r="BT22" s="542"/>
      <c r="BU22" s="542"/>
      <c r="BV22" s="542"/>
      <c r="BW22" s="542"/>
      <c r="BX22" s="542"/>
      <c r="BY22" s="551"/>
      <c r="BZ22" s="552"/>
      <c r="CA22" s="552"/>
      <c r="CB22" s="552"/>
      <c r="CC22" s="552"/>
      <c r="CD22" s="552"/>
      <c r="CE22" s="553"/>
    </row>
    <row r="23" spans="1:84" ht="18.95" customHeight="1">
      <c r="B23" s="1036"/>
      <c r="C23" s="1037"/>
      <c r="D23" s="1037"/>
      <c r="E23" s="1037"/>
      <c r="F23" s="1037"/>
      <c r="G23" s="1037"/>
      <c r="H23" s="1037"/>
      <c r="I23" s="1037"/>
      <c r="J23" s="1038"/>
      <c r="K23" s="1047"/>
      <c r="L23" s="1048"/>
      <c r="M23" s="1048"/>
      <c r="N23" s="1048"/>
      <c r="O23" s="1048"/>
      <c r="P23" s="1048"/>
      <c r="Q23" s="1048"/>
      <c r="R23" s="1048"/>
      <c r="S23" s="1048"/>
      <c r="T23" s="1048"/>
      <c r="U23" s="1048"/>
      <c r="V23" s="1048"/>
      <c r="W23" s="1048"/>
      <c r="X23" s="1048"/>
      <c r="Y23" s="1048"/>
      <c r="Z23" s="1048"/>
      <c r="AA23" s="1048"/>
      <c r="AB23" s="1048"/>
      <c r="AC23" s="1048"/>
      <c r="AD23" s="1048"/>
      <c r="AE23" s="1048"/>
      <c r="AF23" s="1048"/>
      <c r="AG23" s="1048"/>
      <c r="AH23" s="1048"/>
      <c r="AI23" s="1048"/>
      <c r="AJ23" s="1048"/>
      <c r="AK23" s="1048"/>
      <c r="AL23" s="1048"/>
      <c r="AM23" s="1048"/>
      <c r="AN23" s="1048"/>
      <c r="AO23" s="1049"/>
      <c r="AP23" s="490"/>
      <c r="AQ23" s="490"/>
      <c r="AR23" s="1036"/>
      <c r="AS23" s="1037"/>
      <c r="AT23" s="1037"/>
      <c r="AU23" s="1037"/>
      <c r="AV23" s="1037"/>
      <c r="AW23" s="1037"/>
      <c r="AX23" s="1037"/>
      <c r="AY23" s="1037"/>
      <c r="AZ23" s="1038"/>
      <c r="BA23" s="554"/>
      <c r="BB23" s="554"/>
      <c r="BC23" s="554"/>
      <c r="BD23" s="554"/>
      <c r="BE23" s="544"/>
      <c r="BF23" s="544"/>
      <c r="BG23" s="544"/>
      <c r="BH23" s="544"/>
      <c r="BI23" s="544"/>
      <c r="BJ23" s="544"/>
      <c r="BK23" s="544"/>
      <c r="BL23" s="544"/>
      <c r="BM23" s="554"/>
      <c r="BN23" s="554"/>
      <c r="BO23" s="554"/>
      <c r="BP23" s="554"/>
      <c r="BQ23" s="554"/>
      <c r="BR23" s="554"/>
      <c r="BS23" s="554"/>
      <c r="BT23" s="554"/>
      <c r="BU23" s="554"/>
      <c r="BV23" s="554"/>
      <c r="BW23" s="554"/>
      <c r="BX23" s="554"/>
      <c r="BY23" s="544"/>
      <c r="BZ23" s="544"/>
      <c r="CA23" s="544"/>
      <c r="CB23" s="544"/>
      <c r="CC23" s="544"/>
      <c r="CD23" s="544"/>
      <c r="CE23" s="555"/>
    </row>
    <row r="24" spans="1:84" ht="18.95" customHeight="1">
      <c r="B24" s="1036"/>
      <c r="C24" s="1037"/>
      <c r="D24" s="1037"/>
      <c r="E24" s="1037"/>
      <c r="F24" s="1037"/>
      <c r="G24" s="1037"/>
      <c r="H24" s="1037"/>
      <c r="I24" s="1037"/>
      <c r="J24" s="1038"/>
      <c r="K24" s="1047"/>
      <c r="L24" s="1048"/>
      <c r="M24" s="1048"/>
      <c r="N24" s="1048"/>
      <c r="O24" s="1048"/>
      <c r="P24" s="1048"/>
      <c r="Q24" s="1048"/>
      <c r="R24" s="1048"/>
      <c r="S24" s="1048"/>
      <c r="T24" s="1048"/>
      <c r="U24" s="1048"/>
      <c r="V24" s="1048"/>
      <c r="W24" s="1048"/>
      <c r="X24" s="1048"/>
      <c r="Y24" s="1048"/>
      <c r="Z24" s="1048"/>
      <c r="AA24" s="1048"/>
      <c r="AB24" s="1048"/>
      <c r="AC24" s="1048"/>
      <c r="AD24" s="1048"/>
      <c r="AE24" s="1048"/>
      <c r="AF24" s="1048"/>
      <c r="AG24" s="1048"/>
      <c r="AH24" s="1048"/>
      <c r="AI24" s="1048"/>
      <c r="AJ24" s="1048"/>
      <c r="AK24" s="1048"/>
      <c r="AL24" s="1048"/>
      <c r="AM24" s="1048"/>
      <c r="AN24" s="1048"/>
      <c r="AO24" s="1049"/>
      <c r="AP24" s="490"/>
      <c r="AQ24" s="490"/>
      <c r="AR24" s="1036"/>
      <c r="AS24" s="1037"/>
      <c r="AT24" s="1037"/>
      <c r="AU24" s="1037"/>
      <c r="AV24" s="1037"/>
      <c r="AW24" s="1037"/>
      <c r="AX24" s="1037"/>
      <c r="AY24" s="1037"/>
      <c r="AZ24" s="1038"/>
      <c r="BA24" s="556"/>
      <c r="BB24" s="556"/>
      <c r="BC24" s="556"/>
      <c r="BD24" s="556"/>
      <c r="BE24" s="544"/>
      <c r="BF24" s="544"/>
      <c r="BG24" s="544"/>
      <c r="BH24" s="544"/>
      <c r="BI24" s="544"/>
      <c r="BJ24" s="544"/>
      <c r="BK24" s="544"/>
      <c r="BL24" s="544"/>
      <c r="BM24" s="556"/>
      <c r="BN24" s="556"/>
      <c r="BO24" s="556"/>
      <c r="BP24" s="556"/>
      <c r="BQ24" s="556"/>
      <c r="BR24" s="556"/>
      <c r="BS24" s="556"/>
      <c r="BT24" s="556"/>
      <c r="BU24" s="556"/>
      <c r="BV24" s="556"/>
      <c r="BW24" s="556"/>
      <c r="BX24" s="556"/>
      <c r="BY24" s="544"/>
      <c r="BZ24" s="544"/>
      <c r="CA24" s="544"/>
      <c r="CB24" s="544"/>
      <c r="CC24" s="544"/>
      <c r="CD24" s="544"/>
      <c r="CE24" s="555"/>
    </row>
    <row r="25" spans="1:84" ht="18.95" customHeight="1">
      <c r="B25" s="1036"/>
      <c r="C25" s="1037"/>
      <c r="D25" s="1037"/>
      <c r="E25" s="1037"/>
      <c r="F25" s="1037"/>
      <c r="G25" s="1037"/>
      <c r="H25" s="1037"/>
      <c r="I25" s="1037"/>
      <c r="J25" s="1038"/>
      <c r="K25" s="1047"/>
      <c r="L25" s="1048"/>
      <c r="M25" s="1048"/>
      <c r="N25" s="1048"/>
      <c r="O25" s="1048"/>
      <c r="P25" s="1048"/>
      <c r="Q25" s="1048"/>
      <c r="R25" s="1048"/>
      <c r="S25" s="1048"/>
      <c r="T25" s="1048"/>
      <c r="U25" s="1048"/>
      <c r="V25" s="1048"/>
      <c r="W25" s="1048"/>
      <c r="X25" s="1048"/>
      <c r="Y25" s="1048"/>
      <c r="Z25" s="1048"/>
      <c r="AA25" s="1048"/>
      <c r="AB25" s="1048"/>
      <c r="AC25" s="1048"/>
      <c r="AD25" s="1048"/>
      <c r="AE25" s="1048"/>
      <c r="AF25" s="1048"/>
      <c r="AG25" s="1048"/>
      <c r="AH25" s="1048"/>
      <c r="AI25" s="1048"/>
      <c r="AJ25" s="1048"/>
      <c r="AK25" s="1048"/>
      <c r="AL25" s="1048"/>
      <c r="AM25" s="1048"/>
      <c r="AN25" s="1048"/>
      <c r="AO25" s="1049"/>
      <c r="AP25" s="490"/>
      <c r="AQ25" s="490"/>
      <c r="AR25" s="1036"/>
      <c r="AS25" s="1037"/>
      <c r="AT25" s="1037"/>
      <c r="AU25" s="1037"/>
      <c r="AV25" s="1037"/>
      <c r="AW25" s="1037"/>
      <c r="AX25" s="1037"/>
      <c r="AY25" s="1037"/>
      <c r="AZ25" s="1038"/>
      <c r="BA25" s="559"/>
      <c r="BB25" s="556"/>
      <c r="BC25" s="556"/>
      <c r="BD25" s="556"/>
      <c r="BE25" s="544"/>
      <c r="BF25" s="544"/>
      <c r="BG25" s="544"/>
      <c r="BH25" s="544"/>
      <c r="BI25" s="544"/>
      <c r="BJ25" s="544"/>
      <c r="BK25" s="544"/>
      <c r="BL25" s="544"/>
      <c r="BM25" s="556"/>
      <c r="BN25" s="556"/>
      <c r="BO25" s="556"/>
      <c r="BP25" s="556"/>
      <c r="BQ25" s="556"/>
      <c r="BR25" s="556"/>
      <c r="BS25" s="556"/>
      <c r="BT25" s="556"/>
      <c r="BU25" s="556"/>
      <c r="BV25" s="556"/>
      <c r="BW25" s="556"/>
      <c r="BX25" s="556"/>
      <c r="BY25" s="544"/>
      <c r="BZ25" s="544"/>
      <c r="CA25" s="544"/>
      <c r="CB25" s="544"/>
      <c r="CC25" s="544"/>
      <c r="CD25" s="544"/>
      <c r="CE25" s="555"/>
    </row>
    <row r="26" spans="1:84" ht="18.95" customHeight="1">
      <c r="B26" s="1039"/>
      <c r="C26" s="1040"/>
      <c r="D26" s="1040"/>
      <c r="E26" s="1040"/>
      <c r="F26" s="1040"/>
      <c r="G26" s="1040"/>
      <c r="H26" s="1040"/>
      <c r="I26" s="1040"/>
      <c r="J26" s="1041"/>
      <c r="K26" s="1050"/>
      <c r="L26" s="1051"/>
      <c r="M26" s="1051"/>
      <c r="N26" s="1051"/>
      <c r="O26" s="1051"/>
      <c r="P26" s="1051"/>
      <c r="Q26" s="1051"/>
      <c r="R26" s="1051"/>
      <c r="S26" s="1051"/>
      <c r="T26" s="1051"/>
      <c r="U26" s="1051"/>
      <c r="V26" s="1051"/>
      <c r="W26" s="1051"/>
      <c r="X26" s="1051"/>
      <c r="Y26" s="1051"/>
      <c r="Z26" s="1051"/>
      <c r="AA26" s="1051"/>
      <c r="AB26" s="1051"/>
      <c r="AC26" s="1051"/>
      <c r="AD26" s="1051"/>
      <c r="AE26" s="1051"/>
      <c r="AF26" s="1051"/>
      <c r="AG26" s="1051"/>
      <c r="AH26" s="1051"/>
      <c r="AI26" s="1051"/>
      <c r="AJ26" s="1051"/>
      <c r="AK26" s="1051"/>
      <c r="AL26" s="1051"/>
      <c r="AM26" s="1051"/>
      <c r="AN26" s="1051"/>
      <c r="AO26" s="1052"/>
      <c r="AP26" s="490"/>
      <c r="AQ26" s="490"/>
      <c r="AR26" s="1039"/>
      <c r="AS26" s="1040"/>
      <c r="AT26" s="1040"/>
      <c r="AU26" s="1040"/>
      <c r="AV26" s="1040"/>
      <c r="AW26" s="1040"/>
      <c r="AX26" s="1040"/>
      <c r="AY26" s="1040"/>
      <c r="AZ26" s="1041"/>
      <c r="BA26" s="560"/>
      <c r="BB26" s="557"/>
      <c r="BC26" s="557"/>
      <c r="BD26" s="557"/>
      <c r="BE26" s="548"/>
      <c r="BF26" s="548"/>
      <c r="BG26" s="548"/>
      <c r="BH26" s="548"/>
      <c r="BI26" s="548"/>
      <c r="BJ26" s="548"/>
      <c r="BK26" s="548"/>
      <c r="BL26" s="548"/>
      <c r="BM26" s="557"/>
      <c r="BN26" s="557"/>
      <c r="BO26" s="557"/>
      <c r="BP26" s="557"/>
      <c r="BQ26" s="557"/>
      <c r="BR26" s="557"/>
      <c r="BS26" s="557"/>
      <c r="BT26" s="557"/>
      <c r="BU26" s="557"/>
      <c r="BV26" s="557"/>
      <c r="BW26" s="557"/>
      <c r="BX26" s="557"/>
      <c r="BY26" s="548"/>
      <c r="BZ26" s="548"/>
      <c r="CA26" s="548"/>
      <c r="CB26" s="548"/>
      <c r="CC26" s="548"/>
      <c r="CD26" s="548"/>
      <c r="CE26" s="558"/>
    </row>
    <row r="27" spans="1:84" ht="18.75" customHeight="1">
      <c r="B27" s="1033" t="s">
        <v>671</v>
      </c>
      <c r="C27" s="1034"/>
      <c r="D27" s="1034"/>
      <c r="E27" s="1034"/>
      <c r="F27" s="1034"/>
      <c r="G27" s="1034"/>
      <c r="H27" s="1034"/>
      <c r="I27" s="1034"/>
      <c r="J27" s="1035"/>
      <c r="K27" s="1053"/>
      <c r="L27" s="1054"/>
      <c r="M27" s="1054"/>
      <c r="N27" s="1054"/>
      <c r="O27" s="1054"/>
      <c r="P27" s="1054"/>
      <c r="Q27" s="1054"/>
      <c r="R27" s="1054"/>
      <c r="S27" s="1054"/>
      <c r="T27" s="1054"/>
      <c r="U27" s="1054"/>
      <c r="V27" s="1054"/>
      <c r="W27" s="1054"/>
      <c r="X27" s="1054"/>
      <c r="Y27" s="1054"/>
      <c r="Z27" s="1054"/>
      <c r="AA27" s="1054"/>
      <c r="AB27" s="1054"/>
      <c r="AC27" s="1054"/>
      <c r="AD27" s="1054"/>
      <c r="AE27" s="1054"/>
      <c r="AF27" s="1054"/>
      <c r="AG27" s="1054"/>
      <c r="AH27" s="1054"/>
      <c r="AI27" s="1054"/>
      <c r="AJ27" s="1054"/>
      <c r="AK27" s="1054"/>
      <c r="AL27" s="1054"/>
      <c r="AM27" s="1054"/>
      <c r="AN27" s="1054"/>
      <c r="AO27" s="1055"/>
      <c r="AP27" s="490"/>
      <c r="AQ27" s="490"/>
      <c r="AR27" s="1033" t="s">
        <v>671</v>
      </c>
      <c r="AS27" s="1034"/>
      <c r="AT27" s="1034"/>
      <c r="AU27" s="1034"/>
      <c r="AV27" s="1034"/>
      <c r="AW27" s="1034"/>
      <c r="AX27" s="1034"/>
      <c r="AY27" s="1034"/>
      <c r="AZ27" s="1035"/>
      <c r="BA27" s="556"/>
      <c r="BB27" s="556"/>
      <c r="BC27" s="556"/>
      <c r="BD27" s="556"/>
      <c r="BE27" s="544"/>
      <c r="BF27" s="544"/>
      <c r="BG27" s="544"/>
      <c r="BH27" s="544"/>
      <c r="BI27" s="544"/>
      <c r="BJ27" s="544"/>
      <c r="BK27" s="544"/>
      <c r="BL27" s="544"/>
      <c r="BM27" s="556"/>
      <c r="BN27" s="556"/>
      <c r="BO27" s="556"/>
      <c r="BP27" s="556"/>
      <c r="BQ27" s="556"/>
      <c r="BR27" s="556"/>
      <c r="BS27" s="556"/>
      <c r="BT27" s="556"/>
      <c r="BU27" s="556"/>
      <c r="BV27" s="556"/>
      <c r="BW27" s="556"/>
      <c r="BX27" s="556"/>
      <c r="BY27" s="544"/>
      <c r="BZ27" s="544"/>
      <c r="CA27" s="544"/>
      <c r="CB27" s="544"/>
      <c r="CC27" s="544"/>
      <c r="CD27" s="544"/>
      <c r="CE27" s="555"/>
    </row>
    <row r="28" spans="1:84" ht="18.75" customHeight="1">
      <c r="B28" s="1036"/>
      <c r="C28" s="1037"/>
      <c r="D28" s="1037"/>
      <c r="E28" s="1037"/>
      <c r="F28" s="1037"/>
      <c r="G28" s="1037"/>
      <c r="H28" s="1037"/>
      <c r="I28" s="1037"/>
      <c r="J28" s="1038"/>
      <c r="K28" s="1056"/>
      <c r="L28" s="1057"/>
      <c r="M28" s="1057"/>
      <c r="N28" s="1057"/>
      <c r="O28" s="1057"/>
      <c r="P28" s="1057"/>
      <c r="Q28" s="1057"/>
      <c r="R28" s="1057"/>
      <c r="S28" s="1057"/>
      <c r="T28" s="1057"/>
      <c r="U28" s="1057"/>
      <c r="V28" s="1057"/>
      <c r="W28" s="1057"/>
      <c r="X28" s="1057"/>
      <c r="Y28" s="1057"/>
      <c r="Z28" s="1057"/>
      <c r="AA28" s="1057"/>
      <c r="AB28" s="1057"/>
      <c r="AC28" s="1057"/>
      <c r="AD28" s="1057"/>
      <c r="AE28" s="1057"/>
      <c r="AF28" s="1057"/>
      <c r="AG28" s="1057"/>
      <c r="AH28" s="1057"/>
      <c r="AI28" s="1057"/>
      <c r="AJ28" s="1057"/>
      <c r="AK28" s="1057"/>
      <c r="AL28" s="1057"/>
      <c r="AM28" s="1057"/>
      <c r="AN28" s="1057"/>
      <c r="AO28" s="1058"/>
      <c r="AP28" s="490"/>
      <c r="AQ28" s="490"/>
      <c r="AR28" s="1036"/>
      <c r="AS28" s="1037"/>
      <c r="AT28" s="1037"/>
      <c r="AU28" s="1037"/>
      <c r="AV28" s="1037"/>
      <c r="AW28" s="1037"/>
      <c r="AX28" s="1037"/>
      <c r="AY28" s="1037"/>
      <c r="AZ28" s="1038"/>
      <c r="BA28" s="556"/>
      <c r="BB28" s="556"/>
      <c r="BC28" s="556"/>
      <c r="BD28" s="556"/>
      <c r="BE28" s="544"/>
      <c r="BF28" s="544"/>
      <c r="BG28" s="544"/>
      <c r="BH28" s="544"/>
      <c r="BI28" s="544"/>
      <c r="BJ28" s="544"/>
      <c r="BK28" s="544"/>
      <c r="BL28" s="544"/>
      <c r="BM28" s="556"/>
      <c r="BN28" s="556"/>
      <c r="BO28" s="556"/>
      <c r="BP28" s="556"/>
      <c r="BQ28" s="556"/>
      <c r="BR28" s="556"/>
      <c r="BS28" s="556"/>
      <c r="BT28" s="556"/>
      <c r="BU28" s="556"/>
      <c r="BV28" s="556"/>
      <c r="BW28" s="556"/>
      <c r="BX28" s="556"/>
      <c r="BY28" s="544"/>
      <c r="BZ28" s="544"/>
      <c r="CA28" s="544"/>
      <c r="CB28" s="544"/>
      <c r="CC28" s="544"/>
      <c r="CD28" s="544"/>
      <c r="CE28" s="555"/>
    </row>
    <row r="29" spans="1:84" ht="18.75" customHeight="1">
      <c r="B29" s="1036"/>
      <c r="C29" s="1037"/>
      <c r="D29" s="1037"/>
      <c r="E29" s="1037"/>
      <c r="F29" s="1037"/>
      <c r="G29" s="1037"/>
      <c r="H29" s="1037"/>
      <c r="I29" s="1037"/>
      <c r="J29" s="1038"/>
      <c r="K29" s="1056"/>
      <c r="L29" s="1057"/>
      <c r="M29" s="1057"/>
      <c r="N29" s="1057"/>
      <c r="O29" s="1057"/>
      <c r="P29" s="1057"/>
      <c r="Q29" s="1057"/>
      <c r="R29" s="1057"/>
      <c r="S29" s="1057"/>
      <c r="T29" s="1057"/>
      <c r="U29" s="1057"/>
      <c r="V29" s="1057"/>
      <c r="W29" s="1057"/>
      <c r="X29" s="1057"/>
      <c r="Y29" s="1057"/>
      <c r="Z29" s="1057"/>
      <c r="AA29" s="1057"/>
      <c r="AB29" s="1057"/>
      <c r="AC29" s="1057"/>
      <c r="AD29" s="1057"/>
      <c r="AE29" s="1057"/>
      <c r="AF29" s="1057"/>
      <c r="AG29" s="1057"/>
      <c r="AH29" s="1057"/>
      <c r="AI29" s="1057"/>
      <c r="AJ29" s="1057"/>
      <c r="AK29" s="1057"/>
      <c r="AL29" s="1057"/>
      <c r="AM29" s="1057"/>
      <c r="AN29" s="1057"/>
      <c r="AO29" s="1058"/>
      <c r="AP29" s="490"/>
      <c r="AQ29" s="490"/>
      <c r="AR29" s="1036"/>
      <c r="AS29" s="1037"/>
      <c r="AT29" s="1037"/>
      <c r="AU29" s="1037"/>
      <c r="AV29" s="1037"/>
      <c r="AW29" s="1037"/>
      <c r="AX29" s="1037"/>
      <c r="AY29" s="1037"/>
      <c r="AZ29" s="1038"/>
      <c r="BA29" s="556"/>
      <c r="BB29" s="556"/>
      <c r="BC29" s="556"/>
      <c r="BD29" s="556"/>
      <c r="BE29" s="544"/>
      <c r="BF29" s="544"/>
      <c r="BG29" s="544"/>
      <c r="BH29" s="544"/>
      <c r="BI29" s="544"/>
      <c r="BJ29" s="544"/>
      <c r="BK29" s="544"/>
      <c r="BL29" s="544"/>
      <c r="BM29" s="556"/>
      <c r="BN29" s="556"/>
      <c r="BO29" s="556"/>
      <c r="BP29" s="556"/>
      <c r="BQ29" s="556"/>
      <c r="BR29" s="556"/>
      <c r="BS29" s="556"/>
      <c r="BT29" s="556"/>
      <c r="BU29" s="556"/>
      <c r="BV29" s="556"/>
      <c r="BW29" s="556"/>
      <c r="BX29" s="556"/>
      <c r="BY29" s="544"/>
      <c r="BZ29" s="544"/>
      <c r="CA29" s="544"/>
      <c r="CB29" s="544"/>
      <c r="CC29" s="544"/>
      <c r="CD29" s="544"/>
      <c r="CE29" s="555"/>
    </row>
    <row r="30" spans="1:84" ht="18.75" customHeight="1">
      <c r="B30" s="1039"/>
      <c r="C30" s="1040"/>
      <c r="D30" s="1040"/>
      <c r="E30" s="1040"/>
      <c r="F30" s="1040"/>
      <c r="G30" s="1040"/>
      <c r="H30" s="1040"/>
      <c r="I30" s="1040"/>
      <c r="J30" s="1041"/>
      <c r="K30" s="1059"/>
      <c r="L30" s="1060"/>
      <c r="M30" s="1060"/>
      <c r="N30" s="1060"/>
      <c r="O30" s="1060"/>
      <c r="P30" s="1060"/>
      <c r="Q30" s="1060"/>
      <c r="R30" s="1060"/>
      <c r="S30" s="1060"/>
      <c r="T30" s="1060"/>
      <c r="U30" s="1060"/>
      <c r="V30" s="1060"/>
      <c r="W30" s="1060"/>
      <c r="X30" s="1060"/>
      <c r="Y30" s="1060"/>
      <c r="Z30" s="1060"/>
      <c r="AA30" s="1060"/>
      <c r="AB30" s="1060"/>
      <c r="AC30" s="1060"/>
      <c r="AD30" s="1060"/>
      <c r="AE30" s="1060"/>
      <c r="AF30" s="1060"/>
      <c r="AG30" s="1060"/>
      <c r="AH30" s="1060"/>
      <c r="AI30" s="1060"/>
      <c r="AJ30" s="1060"/>
      <c r="AK30" s="1060"/>
      <c r="AL30" s="1060"/>
      <c r="AM30" s="1060"/>
      <c r="AN30" s="1060"/>
      <c r="AO30" s="1061"/>
      <c r="AP30" s="490"/>
      <c r="AQ30" s="490"/>
      <c r="AR30" s="1039"/>
      <c r="AS30" s="1040"/>
      <c r="AT30" s="1040"/>
      <c r="AU30" s="1040"/>
      <c r="AV30" s="1040"/>
      <c r="AW30" s="1040"/>
      <c r="AX30" s="1040"/>
      <c r="AY30" s="1040"/>
      <c r="AZ30" s="1041"/>
      <c r="BA30" s="557"/>
      <c r="BB30" s="557"/>
      <c r="BC30" s="557"/>
      <c r="BD30" s="557"/>
      <c r="BE30" s="548"/>
      <c r="BF30" s="548"/>
      <c r="BG30" s="548"/>
      <c r="BH30" s="548"/>
      <c r="BI30" s="548"/>
      <c r="BJ30" s="548"/>
      <c r="BK30" s="548"/>
      <c r="BL30" s="548"/>
      <c r="BM30" s="557"/>
      <c r="BN30" s="557"/>
      <c r="BO30" s="557"/>
      <c r="BP30" s="557"/>
      <c r="BQ30" s="557"/>
      <c r="BR30" s="557"/>
      <c r="BS30" s="557"/>
      <c r="BT30" s="557"/>
      <c r="BU30" s="557"/>
      <c r="BV30" s="557"/>
      <c r="BW30" s="557"/>
      <c r="BX30" s="557"/>
      <c r="BY30" s="548"/>
      <c r="BZ30" s="548"/>
      <c r="CA30" s="548"/>
      <c r="CB30" s="548"/>
      <c r="CC30" s="548"/>
      <c r="CD30" s="548"/>
      <c r="CE30" s="558"/>
    </row>
    <row r="31" spans="1:84" ht="18.75" customHeight="1">
      <c r="B31" s="491"/>
      <c r="C31" s="1042"/>
      <c r="D31" s="1042"/>
      <c r="E31" s="1042"/>
      <c r="F31" s="1042"/>
      <c r="G31" s="1042"/>
      <c r="H31" s="1042"/>
      <c r="I31" s="1042"/>
      <c r="J31" s="1042"/>
      <c r="K31" s="1042"/>
      <c r="L31" s="1042"/>
      <c r="M31" s="1042"/>
      <c r="N31" s="1042"/>
      <c r="O31" s="1043"/>
      <c r="P31" s="1043"/>
      <c r="Q31" s="1043"/>
      <c r="R31" s="544"/>
      <c r="S31" s="1043"/>
      <c r="T31" s="1043"/>
      <c r="U31" s="1043"/>
      <c r="V31" s="544"/>
      <c r="W31" s="1042"/>
      <c r="X31" s="1042"/>
      <c r="Y31" s="1042"/>
      <c r="Z31" s="1042"/>
      <c r="AA31" s="1042"/>
      <c r="AB31" s="1042"/>
      <c r="AC31" s="1042"/>
      <c r="AD31" s="1042"/>
      <c r="AE31" s="1042"/>
      <c r="AF31" s="1042"/>
      <c r="AG31" s="1042"/>
      <c r="AH31" s="1042"/>
      <c r="AI31" s="1043"/>
      <c r="AJ31" s="1043"/>
      <c r="AK31" s="1043"/>
      <c r="AL31" s="544"/>
      <c r="AM31" s="1043"/>
      <c r="AN31" s="1043"/>
      <c r="AO31" s="1043"/>
      <c r="AP31" s="490"/>
      <c r="AQ31" s="490"/>
      <c r="AR31" s="491"/>
      <c r="AS31" s="545"/>
      <c r="AT31" s="545"/>
      <c r="AU31" s="545"/>
      <c r="AV31" s="545"/>
      <c r="AW31" s="545"/>
      <c r="AX31" s="491"/>
      <c r="AY31" s="491"/>
      <c r="AZ31" s="491"/>
      <c r="BA31" s="491"/>
      <c r="BB31" s="491"/>
      <c r="BC31" s="491"/>
      <c r="BD31" s="491"/>
      <c r="BE31" s="491"/>
      <c r="BF31" s="491"/>
      <c r="BG31" s="491"/>
      <c r="BH31" s="491"/>
      <c r="BI31" s="491"/>
      <c r="BJ31" s="491"/>
      <c r="BK31" s="491"/>
      <c r="BL31" s="491"/>
      <c r="BM31" s="545"/>
      <c r="BN31" s="545"/>
      <c r="BO31" s="545"/>
      <c r="BP31" s="545"/>
      <c r="BQ31" s="545"/>
      <c r="BR31" s="491"/>
      <c r="BS31" s="491"/>
      <c r="BT31" s="491"/>
      <c r="BU31" s="491"/>
      <c r="BV31" s="491"/>
      <c r="BW31" s="491"/>
      <c r="BX31" s="491"/>
      <c r="BY31" s="491"/>
      <c r="BZ31" s="491"/>
      <c r="CA31" s="491"/>
      <c r="CB31" s="491"/>
      <c r="CC31" s="491"/>
      <c r="CD31" s="491"/>
      <c r="CE31" s="491"/>
    </row>
    <row r="32" spans="1:84" ht="27.75" customHeight="1" thickBot="1">
      <c r="A32" s="492"/>
      <c r="B32" s="492" t="s">
        <v>666</v>
      </c>
      <c r="C32" s="492"/>
      <c r="D32" s="492"/>
      <c r="E32" s="492"/>
      <c r="F32" s="492"/>
      <c r="G32" s="492"/>
      <c r="H32" s="492"/>
      <c r="I32" s="492"/>
      <c r="J32" s="492"/>
      <c r="K32" s="492"/>
      <c r="L32" s="492"/>
      <c r="M32" s="492"/>
      <c r="N32" s="492"/>
      <c r="O32" s="492"/>
      <c r="P32" s="492"/>
      <c r="Q32" s="492"/>
      <c r="R32" s="492"/>
      <c r="S32" s="492"/>
      <c r="T32" s="492"/>
      <c r="U32" s="492"/>
      <c r="V32" s="492"/>
      <c r="W32" s="492"/>
      <c r="X32" s="492"/>
      <c r="Y32" s="492"/>
      <c r="Z32" s="492"/>
      <c r="AA32" s="492"/>
      <c r="AB32" s="492"/>
      <c r="AC32" s="492"/>
      <c r="AD32" s="492"/>
      <c r="AE32" s="492"/>
      <c r="AF32" s="492"/>
      <c r="AG32" s="492"/>
      <c r="AH32" s="492"/>
      <c r="AI32" s="492"/>
      <c r="AJ32" s="492"/>
      <c r="AK32" s="492"/>
      <c r="AL32" s="492"/>
      <c r="AM32" s="492"/>
      <c r="AN32" s="492"/>
      <c r="AO32" s="492"/>
      <c r="AP32" s="492"/>
      <c r="AQ32" s="492"/>
      <c r="AR32" s="492" t="s">
        <v>666</v>
      </c>
      <c r="AS32" s="492"/>
      <c r="AT32" s="492"/>
      <c r="AU32" s="492"/>
      <c r="AV32" s="492"/>
      <c r="AW32" s="492"/>
      <c r="AX32" s="492"/>
      <c r="AY32" s="492"/>
      <c r="AZ32" s="492"/>
      <c r="BA32" s="492"/>
      <c r="BB32" s="492"/>
      <c r="BC32" s="492"/>
      <c r="BD32" s="492"/>
      <c r="BE32" s="492"/>
      <c r="BF32" s="492"/>
      <c r="BG32" s="492"/>
      <c r="BH32" s="492"/>
      <c r="BI32" s="492"/>
      <c r="BJ32" s="492"/>
      <c r="BK32" s="492"/>
      <c r="BL32" s="492"/>
      <c r="BM32" s="492"/>
      <c r="BN32" s="492"/>
      <c r="BO32" s="492"/>
      <c r="BP32" s="492"/>
      <c r="BQ32" s="492"/>
      <c r="BR32" s="492"/>
      <c r="BS32" s="492"/>
      <c r="BT32" s="492"/>
      <c r="BU32" s="492"/>
      <c r="BV32" s="492"/>
      <c r="BW32" s="492"/>
      <c r="BX32" s="492"/>
      <c r="BY32" s="492"/>
      <c r="BZ32" s="492"/>
      <c r="CA32" s="492"/>
      <c r="CB32" s="492"/>
      <c r="CC32" s="492"/>
      <c r="CD32" s="492"/>
      <c r="CE32" s="492"/>
      <c r="CF32" s="492"/>
    </row>
    <row r="33" spans="1:83" ht="12.75" thickTop="1"/>
    <row r="34" spans="1:83">
      <c r="B34" s="484" t="s">
        <v>652</v>
      </c>
      <c r="AR34" s="484" t="s">
        <v>652</v>
      </c>
    </row>
    <row r="35" spans="1:83" ht="24" customHeight="1">
      <c r="B35" s="993" t="s">
        <v>653</v>
      </c>
      <c r="C35" s="993"/>
      <c r="D35" s="993"/>
      <c r="E35" s="993"/>
      <c r="F35" s="993"/>
      <c r="G35" s="993"/>
      <c r="H35" s="993"/>
      <c r="I35" s="993"/>
      <c r="J35" s="993"/>
      <c r="K35" s="814" t="s">
        <v>776</v>
      </c>
      <c r="L35" s="815"/>
      <c r="M35" s="815"/>
      <c r="N35" s="815"/>
      <c r="O35" s="1063">
        <f>MAX(入力シート!C13:C43)</f>
        <v>44227</v>
      </c>
      <c r="P35" s="1063"/>
      <c r="Q35" s="1063"/>
      <c r="R35" s="1063"/>
      <c r="S35" s="1063"/>
      <c r="T35" s="1063"/>
      <c r="U35" s="1063"/>
      <c r="V35" s="1063"/>
      <c r="W35" s="1063"/>
      <c r="X35" s="1063"/>
      <c r="Y35" s="1063"/>
      <c r="Z35" s="1063"/>
      <c r="AA35" s="1063"/>
      <c r="AB35" s="1063"/>
      <c r="AC35" s="1063"/>
      <c r="AD35" s="1063"/>
      <c r="AE35" s="1063"/>
      <c r="AF35" s="1063"/>
      <c r="AG35" s="1063"/>
      <c r="AH35" s="1063"/>
      <c r="AI35" s="1063"/>
      <c r="AJ35" s="1063"/>
      <c r="AK35" s="1063"/>
      <c r="AL35" s="1063"/>
      <c r="AM35" s="1063"/>
      <c r="AN35" s="1063"/>
      <c r="AO35" s="1064"/>
      <c r="AR35" s="993" t="s">
        <v>653</v>
      </c>
      <c r="AS35" s="993"/>
      <c r="AT35" s="993"/>
      <c r="AU35" s="993"/>
      <c r="AV35" s="993"/>
      <c r="AW35" s="993"/>
      <c r="AX35" s="993"/>
      <c r="AY35" s="993"/>
      <c r="AZ35" s="993"/>
      <c r="BA35" s="1032" t="s">
        <v>775</v>
      </c>
      <c r="BB35" s="1032"/>
      <c r="BC35" s="1032"/>
      <c r="BD35" s="1032"/>
      <c r="BE35" s="1032"/>
      <c r="BF35" s="1032"/>
      <c r="BG35" s="1032"/>
      <c r="BH35" s="1032"/>
      <c r="BI35" s="1032"/>
      <c r="BJ35" s="1032"/>
      <c r="BK35" s="1032"/>
      <c r="BL35" s="1032"/>
      <c r="BM35" s="1032"/>
      <c r="BN35" s="1032"/>
      <c r="BO35" s="1032"/>
      <c r="BP35" s="1032"/>
      <c r="BQ35" s="1032"/>
      <c r="BR35" s="1032"/>
      <c r="BS35" s="1032"/>
      <c r="BT35" s="1032"/>
      <c r="BU35" s="1032"/>
      <c r="BV35" s="1032"/>
      <c r="BW35" s="1032"/>
      <c r="BX35" s="1032"/>
      <c r="BY35" s="1032"/>
      <c r="BZ35" s="1032"/>
      <c r="CA35" s="1032"/>
      <c r="CB35" s="1032"/>
      <c r="CC35" s="1032"/>
      <c r="CD35" s="1032"/>
      <c r="CE35" s="1032"/>
    </row>
    <row r="36" spans="1:83" ht="24" customHeight="1">
      <c r="B36" s="1012" t="s">
        <v>539</v>
      </c>
      <c r="C36" s="1012"/>
      <c r="D36" s="1012"/>
      <c r="E36" s="1012"/>
      <c r="F36" s="1012"/>
      <c r="G36" s="1012"/>
      <c r="H36" s="1012"/>
      <c r="I36" s="1012"/>
      <c r="J36" s="1012"/>
      <c r="K36" s="1019" t="s">
        <v>654</v>
      </c>
      <c r="L36" s="1019"/>
      <c r="M36" s="1019"/>
      <c r="N36" s="1019"/>
      <c r="O36" s="1019"/>
      <c r="P36" s="1019"/>
      <c r="Q36" s="1020" t="str">
        <f>所属</f>
        <v>法人ソリューション事業本部　第二法人ソリューション事業部　TERASOLUNA担当</v>
      </c>
      <c r="R36" s="1020"/>
      <c r="S36" s="1020"/>
      <c r="T36" s="1020"/>
      <c r="U36" s="1020"/>
      <c r="V36" s="1020"/>
      <c r="W36" s="1020"/>
      <c r="X36" s="1020"/>
      <c r="Y36" s="1020"/>
      <c r="Z36" s="1020"/>
      <c r="AA36" s="1020"/>
      <c r="AB36" s="1020"/>
      <c r="AC36" s="1020"/>
      <c r="AD36" s="1020"/>
      <c r="AE36" s="1020"/>
      <c r="AF36" s="1020"/>
      <c r="AG36" s="1020"/>
      <c r="AH36" s="1020"/>
      <c r="AI36" s="1020"/>
      <c r="AJ36" s="1020"/>
      <c r="AK36" s="1020"/>
      <c r="AL36" s="1020"/>
      <c r="AM36" s="1020"/>
      <c r="AN36" s="1020"/>
      <c r="AO36" s="1020"/>
      <c r="AR36" s="1021" t="s">
        <v>539</v>
      </c>
      <c r="AS36" s="1022"/>
      <c r="AT36" s="1022"/>
      <c r="AU36" s="1022"/>
      <c r="AV36" s="1022"/>
      <c r="AW36" s="1022"/>
      <c r="AX36" s="1022"/>
      <c r="AY36" s="1022"/>
      <c r="AZ36" s="1023"/>
      <c r="BA36" s="1019" t="s">
        <v>654</v>
      </c>
      <c r="BB36" s="1019"/>
      <c r="BC36" s="1019"/>
      <c r="BD36" s="1019"/>
      <c r="BE36" s="1019"/>
      <c r="BF36" s="1019"/>
      <c r="BG36" s="1018" t="s">
        <v>655</v>
      </c>
      <c r="BH36" s="993"/>
      <c r="BI36" s="993"/>
      <c r="BJ36" s="993"/>
      <c r="BK36" s="993"/>
      <c r="BL36" s="993"/>
      <c r="BM36" s="993"/>
      <c r="BN36" s="993"/>
      <c r="BO36" s="993"/>
      <c r="BP36" s="993"/>
      <c r="BQ36" s="993"/>
      <c r="BR36" s="993"/>
      <c r="BS36" s="993"/>
      <c r="BT36" s="993"/>
      <c r="BU36" s="993"/>
      <c r="BV36" s="993"/>
      <c r="BW36" s="993"/>
      <c r="BX36" s="993"/>
      <c r="BY36" s="993"/>
      <c r="BZ36" s="993"/>
      <c r="CA36" s="993"/>
      <c r="CB36" s="993"/>
      <c r="CC36" s="993"/>
      <c r="CD36" s="993"/>
      <c r="CE36" s="993"/>
    </row>
    <row r="37" spans="1:83" ht="24" customHeight="1">
      <c r="B37" s="1012"/>
      <c r="C37" s="1012"/>
      <c r="D37" s="1012"/>
      <c r="E37" s="1012"/>
      <c r="F37" s="1012"/>
      <c r="G37" s="1012"/>
      <c r="H37" s="1012"/>
      <c r="I37" s="1012"/>
      <c r="J37" s="1012"/>
      <c r="K37" s="1019" t="s">
        <v>656</v>
      </c>
      <c r="L37" s="1019"/>
      <c r="M37" s="1019"/>
      <c r="N37" s="1019"/>
      <c r="O37" s="1019"/>
      <c r="P37" s="1019"/>
      <c r="Q37" s="1009" t="str">
        <f>役職</f>
        <v>プロジェクトリーダ</v>
      </c>
      <c r="R37" s="1009"/>
      <c r="S37" s="1009"/>
      <c r="T37" s="1009"/>
      <c r="U37" s="1009"/>
      <c r="V37" s="1009"/>
      <c r="W37" s="1009"/>
      <c r="X37" s="1009"/>
      <c r="Y37" s="1009"/>
      <c r="Z37" s="1009"/>
      <c r="AA37" s="1009"/>
      <c r="AB37" s="1009"/>
      <c r="AC37" s="1009"/>
      <c r="AD37" s="1009"/>
      <c r="AE37" s="1009"/>
      <c r="AF37" s="1009"/>
      <c r="AG37" s="1009"/>
      <c r="AH37" s="1009"/>
      <c r="AI37" s="1009"/>
      <c r="AJ37" s="1009"/>
      <c r="AK37" s="1009"/>
      <c r="AL37" s="1009"/>
      <c r="AM37" s="1009"/>
      <c r="AN37" s="1009"/>
      <c r="AO37" s="1009"/>
      <c r="AR37" s="1024"/>
      <c r="AS37" s="1025"/>
      <c r="AT37" s="1025"/>
      <c r="AU37" s="1025"/>
      <c r="AV37" s="1025"/>
      <c r="AW37" s="1025"/>
      <c r="AX37" s="1025"/>
      <c r="AY37" s="1025"/>
      <c r="AZ37" s="1026"/>
      <c r="BA37" s="1015" t="s">
        <v>656</v>
      </c>
      <c r="BB37" s="1016"/>
      <c r="BC37" s="1016"/>
      <c r="BD37" s="1016"/>
      <c r="BE37" s="1016"/>
      <c r="BF37" s="1017"/>
      <c r="BG37" s="1018" t="s">
        <v>663</v>
      </c>
      <c r="BH37" s="993"/>
      <c r="BI37" s="993"/>
      <c r="BJ37" s="993"/>
      <c r="BK37" s="993"/>
      <c r="BL37" s="993"/>
      <c r="BM37" s="993"/>
      <c r="BN37" s="993"/>
      <c r="BO37" s="993"/>
      <c r="BP37" s="993"/>
      <c r="BQ37" s="993"/>
      <c r="BR37" s="993"/>
      <c r="BS37" s="993"/>
      <c r="BT37" s="993"/>
      <c r="BU37" s="993"/>
      <c r="BV37" s="993"/>
      <c r="BW37" s="993"/>
      <c r="BX37" s="993"/>
      <c r="BY37" s="993"/>
      <c r="BZ37" s="993"/>
      <c r="CA37" s="993"/>
      <c r="CB37" s="993"/>
      <c r="CC37" s="993"/>
      <c r="CD37" s="993"/>
      <c r="CE37" s="993"/>
    </row>
    <row r="38" spans="1:83" ht="24" customHeight="1">
      <c r="B38" s="1012"/>
      <c r="C38" s="1012"/>
      <c r="D38" s="1012"/>
      <c r="E38" s="1012"/>
      <c r="F38" s="1012"/>
      <c r="G38" s="1012"/>
      <c r="H38" s="1012"/>
      <c r="I38" s="1012"/>
      <c r="J38" s="1012"/>
      <c r="K38" s="1019" t="s">
        <v>657</v>
      </c>
      <c r="L38" s="1019"/>
      <c r="M38" s="1019"/>
      <c r="N38" s="1019"/>
      <c r="O38" s="1019"/>
      <c r="P38" s="1019"/>
      <c r="Q38" s="1009" t="str">
        <f>担当氏名</f>
        <v>守屋　省志</v>
      </c>
      <c r="R38" s="1009"/>
      <c r="S38" s="1009"/>
      <c r="T38" s="1009"/>
      <c r="U38" s="1009"/>
      <c r="V38" s="1009"/>
      <c r="W38" s="1009"/>
      <c r="X38" s="1009"/>
      <c r="Y38" s="1009"/>
      <c r="Z38" s="1009"/>
      <c r="AA38" s="1009"/>
      <c r="AB38" s="1009"/>
      <c r="AC38" s="1009"/>
      <c r="AD38" s="1009"/>
      <c r="AE38" s="1009"/>
      <c r="AF38" s="1009"/>
      <c r="AG38" s="1030"/>
      <c r="AH38" s="754" t="s">
        <v>645</v>
      </c>
      <c r="AI38" s="754"/>
      <c r="AJ38" s="754"/>
      <c r="AK38" s="754"/>
      <c r="AL38" s="754"/>
      <c r="AM38" s="754"/>
      <c r="AN38" s="754"/>
      <c r="AO38" s="755"/>
      <c r="AR38" s="1027"/>
      <c r="AS38" s="1028"/>
      <c r="AT38" s="1028"/>
      <c r="AU38" s="1028"/>
      <c r="AV38" s="1028"/>
      <c r="AW38" s="1028"/>
      <c r="AX38" s="1028"/>
      <c r="AY38" s="1028"/>
      <c r="AZ38" s="1029"/>
      <c r="BA38" s="1019" t="s">
        <v>657</v>
      </c>
      <c r="BB38" s="1019"/>
      <c r="BC38" s="1019"/>
      <c r="BD38" s="1019"/>
      <c r="BE38" s="1019"/>
      <c r="BF38" s="1019"/>
      <c r="BG38" s="1018" t="s">
        <v>664</v>
      </c>
      <c r="BH38" s="993"/>
      <c r="BI38" s="993"/>
      <c r="BJ38" s="993"/>
      <c r="BK38" s="993"/>
      <c r="BL38" s="993"/>
      <c r="BM38" s="993"/>
      <c r="BN38" s="993"/>
      <c r="BO38" s="993"/>
      <c r="BP38" s="993"/>
      <c r="BQ38" s="993"/>
      <c r="BR38" s="993"/>
      <c r="BS38" s="993"/>
      <c r="BT38" s="993"/>
      <c r="BU38" s="993"/>
      <c r="BV38" s="993"/>
      <c r="BW38" s="1031"/>
      <c r="BX38" s="536" t="s">
        <v>645</v>
      </c>
      <c r="BY38" s="537"/>
      <c r="BZ38" s="493"/>
      <c r="CA38" s="493"/>
      <c r="CB38" s="493"/>
      <c r="CC38" s="493"/>
      <c r="CD38" s="493"/>
      <c r="CE38" s="536"/>
    </row>
    <row r="39" spans="1:83" ht="20.25" customHeight="1"/>
    <row r="40" spans="1:83" ht="12" customHeight="1">
      <c r="A40" s="623" t="str">
        <f>入力シート!AA2</f>
        <v>株式会社ＤＴＳ</v>
      </c>
      <c r="B40" s="623"/>
      <c r="C40" s="623"/>
      <c r="D40" s="623"/>
      <c r="E40" s="623"/>
      <c r="F40" s="623"/>
      <c r="G40" s="623"/>
      <c r="H40" s="623"/>
      <c r="I40" s="623"/>
      <c r="J40" s="623"/>
      <c r="K40" s="623"/>
      <c r="L40" s="623"/>
      <c r="M40" s="623"/>
      <c r="N40" s="623"/>
      <c r="O40" s="623"/>
      <c r="P40" s="623"/>
      <c r="Q40" s="623"/>
      <c r="R40" s="623"/>
      <c r="S40" s="623"/>
      <c r="T40" s="623"/>
      <c r="U40" s="623"/>
      <c r="V40" s="623"/>
      <c r="W40" s="623"/>
      <c r="X40" s="623"/>
      <c r="Y40" s="623"/>
      <c r="Z40" s="623"/>
      <c r="AA40" s="623"/>
      <c r="AB40" s="623"/>
      <c r="AC40" s="623"/>
      <c r="AD40" s="623"/>
      <c r="AE40" s="623"/>
      <c r="AF40" s="623"/>
      <c r="AG40" s="623"/>
      <c r="AH40" s="623"/>
      <c r="AI40" s="623"/>
      <c r="AJ40" s="623"/>
      <c r="AK40" s="623"/>
      <c r="AL40" s="623"/>
      <c r="AM40" s="623"/>
      <c r="AN40" s="623"/>
      <c r="AO40" s="623"/>
      <c r="AP40" s="623"/>
    </row>
    <row r="41" spans="1:83" ht="12" customHeight="1">
      <c r="A41" s="624" t="str">
        <f>入力シート!AA3</f>
        <v>東京都中央区八丁堀２－２３－１　エンパイヤビル８F</v>
      </c>
      <c r="B41" s="623"/>
      <c r="C41" s="623"/>
      <c r="D41" s="623"/>
      <c r="E41" s="623"/>
      <c r="F41" s="623"/>
      <c r="G41" s="623"/>
      <c r="H41" s="623"/>
      <c r="I41" s="623"/>
      <c r="J41" s="623"/>
      <c r="K41" s="623"/>
      <c r="L41" s="623"/>
      <c r="M41" s="623"/>
      <c r="N41" s="623"/>
      <c r="O41" s="623"/>
      <c r="P41" s="623"/>
      <c r="Q41" s="623"/>
      <c r="R41" s="623"/>
      <c r="S41" s="623"/>
      <c r="T41" s="623"/>
      <c r="U41" s="623"/>
      <c r="V41" s="623"/>
      <c r="W41" s="623"/>
      <c r="X41" s="623"/>
      <c r="Y41" s="623"/>
      <c r="Z41" s="623"/>
      <c r="AA41" s="623"/>
      <c r="AB41" s="623"/>
      <c r="AC41" s="623"/>
      <c r="AD41" s="623"/>
      <c r="AE41" s="623"/>
      <c r="AF41" s="623"/>
      <c r="AG41" s="623"/>
      <c r="AH41" s="623"/>
      <c r="AI41" s="623"/>
      <c r="AJ41" s="623"/>
      <c r="AK41" s="623"/>
      <c r="AL41" s="623"/>
      <c r="AM41" s="623"/>
      <c r="AN41" s="623"/>
      <c r="AO41" s="623"/>
      <c r="AP41" s="623"/>
    </row>
    <row r="42" spans="1:83" ht="15" customHeight="1">
      <c r="A42" s="623" t="str">
        <f>入力シート!AA4</f>
        <v>ＴＥＬ：03-3948-5488</v>
      </c>
      <c r="B42" s="623"/>
      <c r="C42" s="623"/>
      <c r="D42" s="623"/>
      <c r="E42" s="623"/>
      <c r="F42" s="623"/>
      <c r="G42" s="623"/>
      <c r="H42" s="623"/>
      <c r="I42" s="623"/>
      <c r="J42" s="623"/>
      <c r="K42" s="623"/>
      <c r="L42" s="623"/>
      <c r="M42" s="623"/>
      <c r="N42" s="623"/>
      <c r="O42" s="623"/>
      <c r="P42" s="623"/>
      <c r="Q42" s="623"/>
      <c r="R42" s="623"/>
      <c r="S42" s="623"/>
      <c r="T42" s="623"/>
      <c r="U42" s="623"/>
      <c r="V42" s="623"/>
      <c r="W42" s="623"/>
      <c r="X42" s="623"/>
      <c r="Y42" s="623"/>
      <c r="Z42" s="623"/>
      <c r="AA42" s="623"/>
      <c r="AB42" s="623"/>
      <c r="AC42" s="623"/>
      <c r="AD42" s="623"/>
      <c r="AE42" s="623"/>
      <c r="AF42" s="623"/>
      <c r="AG42" s="623"/>
      <c r="AH42" s="623"/>
      <c r="AI42" s="623"/>
      <c r="AJ42" s="623"/>
      <c r="AK42" s="623"/>
      <c r="AL42" s="623"/>
      <c r="AM42" s="623"/>
      <c r="AN42" s="623"/>
      <c r="AO42" s="623"/>
      <c r="AP42" s="625" t="str">
        <f>入力シート!AA1</f>
        <v>様式（BP）2019.12　Ver9.40</v>
      </c>
    </row>
    <row r="43" spans="1:83" ht="15" customHeight="1"/>
    <row r="44" spans="1:83" ht="15" customHeight="1"/>
    <row r="45" spans="1:83" ht="15" customHeight="1"/>
    <row r="46" spans="1:83" ht="15" customHeight="1"/>
    <row r="47" spans="1:83" ht="15" customHeight="1"/>
    <row r="48" spans="1:83" ht="15" customHeight="1"/>
    <row r="49" ht="15" customHeight="1"/>
    <row r="50" ht="15" customHeight="1"/>
  </sheetData>
  <mergeCells count="66">
    <mergeCell ref="K20:AO26"/>
    <mergeCell ref="K27:AO30"/>
    <mergeCell ref="B35:J35"/>
    <mergeCell ref="B16:J16"/>
    <mergeCell ref="K16:AO16"/>
    <mergeCell ref="O35:AO35"/>
    <mergeCell ref="AR35:AZ35"/>
    <mergeCell ref="BA35:CE35"/>
    <mergeCell ref="B36:J38"/>
    <mergeCell ref="B27:J30"/>
    <mergeCell ref="AR20:AZ26"/>
    <mergeCell ref="AR27:AZ30"/>
    <mergeCell ref="C31:N31"/>
    <mergeCell ref="O31:Q31"/>
    <mergeCell ref="S31:U31"/>
    <mergeCell ref="AI31:AK31"/>
    <mergeCell ref="AM31:AO31"/>
    <mergeCell ref="W31:AH31"/>
    <mergeCell ref="B20:J26"/>
    <mergeCell ref="BG36:CE36"/>
    <mergeCell ref="K37:P37"/>
    <mergeCell ref="Q37:AO37"/>
    <mergeCell ref="BA37:BF37"/>
    <mergeCell ref="BG37:CE37"/>
    <mergeCell ref="K36:P36"/>
    <mergeCell ref="Q36:AO36"/>
    <mergeCell ref="AR36:AZ38"/>
    <mergeCell ref="BA36:BF36"/>
    <mergeCell ref="K38:P38"/>
    <mergeCell ref="Q38:AG38"/>
    <mergeCell ref="BA38:BF38"/>
    <mergeCell ref="BG38:BW38"/>
    <mergeCell ref="BA19:CE19"/>
    <mergeCell ref="B17:J17"/>
    <mergeCell ref="K17:AO17"/>
    <mergeCell ref="AR17:AZ17"/>
    <mergeCell ref="BA17:CE17"/>
    <mergeCell ref="B18:J18"/>
    <mergeCell ref="AR18:AZ18"/>
    <mergeCell ref="BA18:CE18"/>
    <mergeCell ref="K18:AO18"/>
    <mergeCell ref="B19:J19"/>
    <mergeCell ref="K19:AO19"/>
    <mergeCell ref="AR19:AZ19"/>
    <mergeCell ref="AR16:AZ16"/>
    <mergeCell ref="BA16:CE16"/>
    <mergeCell ref="U7:W7"/>
    <mergeCell ref="BK7:BM7"/>
    <mergeCell ref="U8:W8"/>
    <mergeCell ref="BK8:BM8"/>
    <mergeCell ref="U9:W9"/>
    <mergeCell ref="BK9:BM9"/>
    <mergeCell ref="A12:AP12"/>
    <mergeCell ref="AQ12:CF12"/>
    <mergeCell ref="B14:AO14"/>
    <mergeCell ref="AR14:CE14"/>
    <mergeCell ref="X9:AO9"/>
    <mergeCell ref="AB10:AN10"/>
    <mergeCell ref="X7:AO8"/>
    <mergeCell ref="U10:Z10"/>
    <mergeCell ref="BV1:CF1"/>
    <mergeCell ref="I3:AH3"/>
    <mergeCell ref="AY3:BX3"/>
    <mergeCell ref="A6:L6"/>
    <mergeCell ref="AQ6:BB6"/>
    <mergeCell ref="AD1:AP1"/>
  </mergeCells>
  <phoneticPr fontId="2"/>
  <pageMargins left="0.70866141732283472" right="0.70866141732283472" top="0.74803149606299213" bottom="0.74803149606299213" header="0.31496062992125984" footer="0.31496062992125984"/>
  <pageSetup paperSize="9" scale="98" orientation="portrait" r:id="rId1"/>
  <ignoredErrors>
    <ignoredError sqref="X9"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V64"/>
  <sheetViews>
    <sheetView showGridLines="0" zoomScaleNormal="100" zoomScaleSheetLayoutView="100" workbookViewId="0">
      <selection activeCell="E28" sqref="E28"/>
    </sheetView>
  </sheetViews>
  <sheetFormatPr defaultColWidth="9" defaultRowHeight="13.5"/>
  <cols>
    <col min="1" max="1" width="3.375" style="443" customWidth="1"/>
    <col min="2" max="2" width="5.25" style="2" customWidth="1"/>
    <col min="3" max="3" width="4.875" style="2" customWidth="1"/>
    <col min="4" max="9" width="17.125" style="2" customWidth="1"/>
    <col min="10" max="10" width="7.875" style="2" customWidth="1"/>
    <col min="11" max="13" width="6.125" style="2" customWidth="1"/>
    <col min="14" max="16" width="9" style="2"/>
    <col min="17" max="18" width="2.5" style="2" hidden="1" customWidth="1"/>
    <col min="19" max="16384" width="9" style="2"/>
  </cols>
  <sheetData>
    <row r="1" spans="1:22">
      <c r="B1" s="443"/>
      <c r="C1" s="443"/>
      <c r="D1" s="443"/>
      <c r="E1" s="443"/>
      <c r="F1" s="443"/>
      <c r="G1" s="443"/>
      <c r="H1" s="443"/>
      <c r="I1" s="443"/>
      <c r="J1" s="443"/>
    </row>
    <row r="2" spans="1:22" ht="17.25">
      <c r="B2" s="444" t="s">
        <v>665</v>
      </c>
      <c r="C2" s="443"/>
      <c r="D2" s="443"/>
      <c r="E2" s="443"/>
      <c r="F2" s="443"/>
      <c r="G2" s="443"/>
      <c r="H2" s="443"/>
      <c r="I2" s="443"/>
      <c r="J2" s="443"/>
    </row>
    <row r="3" spans="1:22" ht="9.75" customHeight="1">
      <c r="B3" s="444"/>
      <c r="C3" s="443"/>
      <c r="D3" s="443"/>
      <c r="E3" s="443"/>
      <c r="F3" s="443"/>
      <c r="G3" s="443"/>
      <c r="H3" s="443"/>
      <c r="I3" s="443"/>
      <c r="J3" s="443"/>
    </row>
    <row r="4" spans="1:22" ht="9.75" customHeight="1">
      <c r="A4" s="445"/>
      <c r="B4" s="497"/>
      <c r="C4" s="497"/>
      <c r="D4" s="497"/>
      <c r="E4" s="497"/>
      <c r="F4" s="497"/>
      <c r="G4" s="497"/>
      <c r="H4" s="497"/>
      <c r="I4" s="497"/>
      <c r="J4" s="497"/>
      <c r="K4" s="432"/>
      <c r="L4" s="432"/>
      <c r="M4" s="433"/>
      <c r="N4" s="433"/>
      <c r="O4" s="433"/>
      <c r="P4" s="433"/>
      <c r="Q4" s="433"/>
      <c r="R4" s="433"/>
      <c r="S4" s="433"/>
      <c r="T4" s="433"/>
      <c r="U4" s="433"/>
    </row>
    <row r="5" spans="1:22" ht="6.75" customHeight="1">
      <c r="A5" s="445"/>
      <c r="B5" s="445"/>
      <c r="C5" s="446"/>
      <c r="D5" s="445"/>
      <c r="E5" s="447"/>
      <c r="F5" s="447"/>
      <c r="G5" s="447"/>
      <c r="H5" s="445"/>
      <c r="I5" s="445"/>
      <c r="J5" s="445"/>
      <c r="K5" s="433"/>
      <c r="L5" s="433"/>
      <c r="M5" s="433"/>
      <c r="N5" s="433"/>
      <c r="O5" s="433"/>
      <c r="P5" s="433"/>
      <c r="Q5" s="433"/>
    </row>
    <row r="6" spans="1:22" ht="6.75" customHeight="1">
      <c r="A6" s="445"/>
      <c r="B6" s="445"/>
      <c r="C6" s="448"/>
      <c r="D6" s="445"/>
      <c r="E6" s="447"/>
      <c r="F6" s="447"/>
      <c r="G6" s="447"/>
      <c r="H6" s="445"/>
      <c r="I6" s="445"/>
      <c r="J6" s="445"/>
      <c r="K6" s="433"/>
      <c r="L6" s="433"/>
      <c r="M6" s="433"/>
      <c r="N6" s="433"/>
      <c r="O6" s="433"/>
      <c r="P6" s="433"/>
      <c r="Q6" s="433"/>
    </row>
    <row r="7" spans="1:22" ht="16.5" customHeight="1">
      <c r="A7" s="445"/>
      <c r="B7" s="445"/>
      <c r="C7" s="446"/>
      <c r="D7" s="449"/>
      <c r="E7" s="561"/>
      <c r="F7" s="797">
        <f>計算シート!T2</f>
        <v>44197</v>
      </c>
      <c r="G7" s="798">
        <f>月</f>
        <v>1</v>
      </c>
      <c r="H7" s="534"/>
      <c r="I7" s="534"/>
      <c r="J7" s="450"/>
      <c r="K7" s="434"/>
      <c r="L7" s="435"/>
      <c r="M7" s="435"/>
      <c r="N7" s="433"/>
      <c r="O7" s="433"/>
      <c r="P7" s="433"/>
      <c r="Q7" s="433"/>
    </row>
    <row r="8" spans="1:22" ht="16.5" hidden="1" customHeight="1">
      <c r="A8" s="445"/>
      <c r="B8" s="445"/>
      <c r="C8" s="451"/>
      <c r="D8" s="449"/>
      <c r="E8" s="538">
        <f>入力シート!N8</f>
        <v>2021</v>
      </c>
      <c r="F8" s="538">
        <f>入力シート!N8</f>
        <v>2021</v>
      </c>
      <c r="G8" s="443"/>
      <c r="H8" s="443"/>
      <c r="I8" s="445"/>
      <c r="J8" s="445"/>
      <c r="K8" s="433"/>
      <c r="L8" s="433"/>
      <c r="M8" s="433"/>
      <c r="N8" s="433"/>
      <c r="O8" s="433"/>
      <c r="P8" s="433"/>
      <c r="Q8" s="433"/>
    </row>
    <row r="9" spans="1:22" ht="27.75" customHeight="1">
      <c r="A9" s="445"/>
      <c r="B9" s="1083" t="s">
        <v>534</v>
      </c>
      <c r="C9" s="1083"/>
      <c r="D9" s="1077" t="str">
        <f>入力シート!D6</f>
        <v>フォレストソフト株式会社</v>
      </c>
      <c r="E9" s="1077"/>
      <c r="F9" s="540"/>
      <c r="G9" s="457"/>
      <c r="H9" s="457"/>
      <c r="I9" s="452"/>
      <c r="J9" s="452"/>
      <c r="K9" s="331"/>
      <c r="L9" s="331"/>
      <c r="M9" s="331"/>
      <c r="N9" s="436"/>
      <c r="O9" s="437"/>
      <c r="Q9" s="433"/>
    </row>
    <row r="10" spans="1:22" ht="27.75" customHeight="1">
      <c r="A10" s="445"/>
      <c r="B10" s="1083" t="s">
        <v>535</v>
      </c>
      <c r="C10" s="1083"/>
      <c r="D10" s="1078" t="str">
        <f>入力シート!D8</f>
        <v>李 学強</v>
      </c>
      <c r="E10" s="1078"/>
      <c r="F10" s="449"/>
      <c r="G10" s="453"/>
      <c r="H10" s="454"/>
      <c r="I10" s="449"/>
      <c r="J10" s="449"/>
      <c r="K10" s="333"/>
      <c r="L10" s="333"/>
      <c r="M10" s="333"/>
      <c r="N10" s="211"/>
      <c r="O10" s="49"/>
      <c r="Q10" s="433"/>
    </row>
    <row r="11" spans="1:22" ht="27.75" customHeight="1">
      <c r="A11" s="445"/>
      <c r="B11" s="1080" t="s">
        <v>668</v>
      </c>
      <c r="C11" s="1080"/>
      <c r="D11" s="1079">
        <f>入力シート!D7</f>
        <v>83500059</v>
      </c>
      <c r="E11" s="1079"/>
      <c r="F11" s="443"/>
      <c r="G11" s="443"/>
      <c r="H11" s="443"/>
      <c r="I11" s="443"/>
      <c r="J11" s="451"/>
      <c r="K11" s="370"/>
      <c r="L11" s="370"/>
      <c r="M11" s="370"/>
      <c r="N11" s="368"/>
      <c r="O11" s="369"/>
      <c r="Q11" s="433"/>
    </row>
    <row r="12" spans="1:22" ht="10.5" customHeight="1" thickBot="1">
      <c r="A12" s="445"/>
      <c r="B12" s="445"/>
      <c r="C12" s="455"/>
      <c r="D12" s="456"/>
      <c r="E12" s="457"/>
      <c r="F12" s="457"/>
      <c r="G12" s="457"/>
      <c r="H12" s="458"/>
      <c r="I12" s="458"/>
      <c r="J12" s="458"/>
      <c r="K12" s="332"/>
      <c r="L12" s="332"/>
      <c r="M12" s="332"/>
      <c r="N12" s="332"/>
      <c r="O12" s="332"/>
      <c r="U12" s="208"/>
      <c r="V12" s="433"/>
    </row>
    <row r="13" spans="1:22" ht="18" customHeight="1">
      <c r="A13" s="445"/>
      <c r="B13" s="1084" t="s">
        <v>536</v>
      </c>
      <c r="C13" s="1085"/>
      <c r="D13" s="1081" t="s">
        <v>672</v>
      </c>
      <c r="E13" s="1081"/>
      <c r="F13" s="1081"/>
      <c r="G13" s="1081"/>
      <c r="H13" s="1082"/>
      <c r="I13" s="495"/>
      <c r="J13" s="494"/>
    </row>
    <row r="14" spans="1:22" ht="32.25" customHeight="1" thickBot="1">
      <c r="B14" s="1086"/>
      <c r="C14" s="1087"/>
      <c r="D14" s="794" t="str">
        <f>IF(ISBLANK(入力シート!Q12),"",入力シート!Q12)</f>
        <v>3521-05434</v>
      </c>
      <c r="E14" s="795" t="str">
        <f>IF(ISBLANK(入力シート!R12),"",入力シート!R12)</f>
        <v/>
      </c>
      <c r="F14" s="795" t="str">
        <f>IF(ISBLANK(入力シート!S12),"",入力シート!S12)</f>
        <v/>
      </c>
      <c r="G14" s="795" t="str">
        <f>IF(ISBLANK(入力シート!T12),"",入力シート!T12)</f>
        <v/>
      </c>
      <c r="H14" s="796" t="str">
        <f>IF(ISBLANK(入力シート!U12),"",入力シート!U12)</f>
        <v/>
      </c>
      <c r="I14" s="496"/>
      <c r="J14" s="494"/>
    </row>
    <row r="15" spans="1:22" ht="21.75" customHeight="1">
      <c r="B15" s="1067">
        <f>入力シート!C13</f>
        <v>44197</v>
      </c>
      <c r="C15" s="1068"/>
      <c r="D15" s="736" t="str">
        <f>IF(ISBLANK(入力シート!Q13),"",入力シート!Q13)</f>
        <v/>
      </c>
      <c r="E15" s="737" t="str">
        <f>IF(ISBLANK(入力シート!R13),"",入力シート!R13)</f>
        <v/>
      </c>
      <c r="F15" s="737" t="str">
        <f>IF(ISBLANK(入力シート!S13),"",入力シート!S13)</f>
        <v/>
      </c>
      <c r="G15" s="737" t="str">
        <f>IF(ISBLANK(入力シート!T13),"",入力シート!T13)</f>
        <v/>
      </c>
      <c r="H15" s="737" t="str">
        <f>IF(ISBLANK(入力シート!U13),"",入力シート!U13)</f>
        <v/>
      </c>
      <c r="I15" s="498"/>
      <c r="J15" s="458"/>
    </row>
    <row r="16" spans="1:22" ht="21.75" customHeight="1">
      <c r="B16" s="1067">
        <f>入力シート!C14</f>
        <v>44198</v>
      </c>
      <c r="C16" s="1068"/>
      <c r="D16" s="736" t="str">
        <f>IF(ISBLANK(入力シート!Q14),"",入力シート!Q14)</f>
        <v/>
      </c>
      <c r="E16" s="738" t="str">
        <f>IF(ISBLANK(入力シート!R14),"",入力シート!R14)</f>
        <v/>
      </c>
      <c r="F16" s="738" t="str">
        <f>IF(ISBLANK(入力シート!S14),"",入力シート!S14)</f>
        <v/>
      </c>
      <c r="G16" s="738" t="str">
        <f>IF(ISBLANK(入力シート!T14),"",入力シート!T14)</f>
        <v/>
      </c>
      <c r="H16" s="738" t="str">
        <f>IF(ISBLANK(入力シート!U14),"",入力シート!U14)</f>
        <v/>
      </c>
      <c r="I16" s="498"/>
      <c r="J16" s="458"/>
    </row>
    <row r="17" spans="2:10" ht="21.75" customHeight="1">
      <c r="B17" s="1067">
        <f>入力シート!C15</f>
        <v>44199</v>
      </c>
      <c r="C17" s="1068"/>
      <c r="D17" s="736" t="str">
        <f>IF(ISBLANK(入力シート!Q15),"",入力シート!Q15)</f>
        <v/>
      </c>
      <c r="E17" s="738" t="str">
        <f>IF(ISBLANK(入力シート!R15),"",入力シート!R15)</f>
        <v/>
      </c>
      <c r="F17" s="738" t="str">
        <f>IF(ISBLANK(入力シート!S15),"",入力シート!S15)</f>
        <v/>
      </c>
      <c r="G17" s="738" t="str">
        <f>IF(ISBLANK(入力シート!T15),"",入力シート!T15)</f>
        <v/>
      </c>
      <c r="H17" s="738" t="str">
        <f>IF(ISBLANK(入力シート!U15),"",入力シート!U15)</f>
        <v/>
      </c>
      <c r="I17" s="498"/>
      <c r="J17" s="458"/>
    </row>
    <row r="18" spans="2:10" ht="21.75" customHeight="1">
      <c r="B18" s="1067">
        <f>入力シート!C16</f>
        <v>44200</v>
      </c>
      <c r="C18" s="1068"/>
      <c r="D18" s="736">
        <f>IF(ISBLANK(入力シート!Q16),"",入力シート!Q16)</f>
        <v>0.32291666666666669</v>
      </c>
      <c r="E18" s="738" t="str">
        <f>IF(ISBLANK(入力シート!R16),"",入力シート!R16)</f>
        <v/>
      </c>
      <c r="F18" s="738" t="str">
        <f>IF(ISBLANK(入力シート!S16),"",入力シート!S16)</f>
        <v/>
      </c>
      <c r="G18" s="738" t="str">
        <f>IF(ISBLANK(入力シート!T16),"",入力シート!T16)</f>
        <v/>
      </c>
      <c r="H18" s="738" t="str">
        <f>IF(ISBLANK(入力シート!U16),"",入力シート!U16)</f>
        <v/>
      </c>
      <c r="I18" s="498"/>
      <c r="J18" s="458"/>
    </row>
    <row r="19" spans="2:10" ht="21.75" customHeight="1">
      <c r="B19" s="1067">
        <f>入力シート!C17</f>
        <v>44201</v>
      </c>
      <c r="C19" s="1068"/>
      <c r="D19" s="736">
        <f>IF(ISBLANK(入力シート!Q17),"",入力シート!Q17)</f>
        <v>0.33333333333333331</v>
      </c>
      <c r="E19" s="738" t="str">
        <f>IF(ISBLANK(入力シート!R17),"",入力シート!R17)</f>
        <v/>
      </c>
      <c r="F19" s="738" t="str">
        <f>IF(ISBLANK(入力シート!S17),"",入力シート!S17)</f>
        <v/>
      </c>
      <c r="G19" s="738" t="str">
        <f>IF(ISBLANK(入力シート!T17),"",入力シート!T17)</f>
        <v/>
      </c>
      <c r="H19" s="738" t="str">
        <f>IF(ISBLANK(入力シート!U17),"",入力シート!U17)</f>
        <v/>
      </c>
      <c r="I19" s="498"/>
      <c r="J19" s="458"/>
    </row>
    <row r="20" spans="2:10" ht="21.75" customHeight="1">
      <c r="B20" s="1067">
        <f>入力シート!C18</f>
        <v>44202</v>
      </c>
      <c r="C20" s="1068"/>
      <c r="D20" s="736">
        <f>IF(ISBLANK(入力シート!Q18),"",入力シート!Q18)</f>
        <v>0.32291666666666669</v>
      </c>
      <c r="E20" s="738" t="str">
        <f>IF(ISBLANK(入力シート!R18),"",入力シート!R18)</f>
        <v/>
      </c>
      <c r="F20" s="738" t="str">
        <f>IF(ISBLANK(入力シート!S18),"",入力シート!S18)</f>
        <v/>
      </c>
      <c r="G20" s="738" t="str">
        <f>IF(ISBLANK(入力シート!T18),"",入力シート!T18)</f>
        <v/>
      </c>
      <c r="H20" s="738" t="str">
        <f>IF(ISBLANK(入力シート!U18),"",入力シート!U18)</f>
        <v/>
      </c>
      <c r="I20" s="498"/>
      <c r="J20" s="458"/>
    </row>
    <row r="21" spans="2:10" ht="21.75" customHeight="1">
      <c r="B21" s="1067">
        <f>入力シート!C19</f>
        <v>44203</v>
      </c>
      <c r="C21" s="1068"/>
      <c r="D21" s="736">
        <f>IF(ISBLANK(入力シート!Q19),"",入力シート!Q19)</f>
        <v>0.40625</v>
      </c>
      <c r="E21" s="738" t="str">
        <f>IF(ISBLANK(入力シート!R19),"",入力シート!R19)</f>
        <v/>
      </c>
      <c r="F21" s="738" t="str">
        <f>IF(ISBLANK(入力シート!S19),"",入力シート!S19)</f>
        <v/>
      </c>
      <c r="G21" s="738" t="str">
        <f>IF(ISBLANK(入力シート!T19),"",入力シート!T19)</f>
        <v/>
      </c>
      <c r="H21" s="738" t="str">
        <f>IF(ISBLANK(入力シート!U19),"",入力シート!U19)</f>
        <v/>
      </c>
      <c r="I21" s="498"/>
      <c r="J21" s="458"/>
    </row>
    <row r="22" spans="2:10" ht="21.75" customHeight="1">
      <c r="B22" s="1067">
        <f>入力シート!C20</f>
        <v>44204</v>
      </c>
      <c r="C22" s="1068"/>
      <c r="D22" s="736">
        <f>IF(ISBLANK(入力シート!Q20),"",入力シート!Q20)</f>
        <v>0.40625</v>
      </c>
      <c r="E22" s="738" t="str">
        <f>IF(ISBLANK(入力シート!R20),"",入力シート!R20)</f>
        <v/>
      </c>
      <c r="F22" s="738" t="str">
        <f>IF(ISBLANK(入力シート!S20),"",入力シート!S20)</f>
        <v/>
      </c>
      <c r="G22" s="738" t="str">
        <f>IF(ISBLANK(入力シート!T20),"",入力シート!T20)</f>
        <v/>
      </c>
      <c r="H22" s="738" t="str">
        <f>IF(ISBLANK(入力シート!U20),"",入力シート!U20)</f>
        <v/>
      </c>
      <c r="I22" s="498"/>
      <c r="J22" s="458"/>
    </row>
    <row r="23" spans="2:10" ht="21.75" customHeight="1">
      <c r="B23" s="1067">
        <f>入力シート!C21</f>
        <v>44205</v>
      </c>
      <c r="C23" s="1068"/>
      <c r="D23" s="736" t="str">
        <f>IF(ISBLANK(入力シート!Q21),"",入力シート!Q21)</f>
        <v/>
      </c>
      <c r="E23" s="738" t="str">
        <f>IF(ISBLANK(入力シート!R21),"",入力シート!R21)</f>
        <v/>
      </c>
      <c r="F23" s="738" t="str">
        <f>IF(ISBLANK(入力シート!S21),"",入力シート!S21)</f>
        <v/>
      </c>
      <c r="G23" s="738" t="str">
        <f>IF(ISBLANK(入力シート!T21),"",入力シート!T21)</f>
        <v/>
      </c>
      <c r="H23" s="738" t="str">
        <f>IF(ISBLANK(入力シート!U21),"",入力シート!U21)</f>
        <v/>
      </c>
      <c r="I23" s="498"/>
      <c r="J23" s="458"/>
    </row>
    <row r="24" spans="2:10" ht="21.75" customHeight="1">
      <c r="B24" s="1067">
        <f>入力シート!C22</f>
        <v>44206</v>
      </c>
      <c r="C24" s="1068"/>
      <c r="D24" s="736" t="str">
        <f>IF(ISBLANK(入力シート!Q22),"",入力シート!Q22)</f>
        <v/>
      </c>
      <c r="E24" s="738" t="str">
        <f>IF(ISBLANK(入力シート!R22),"",入力シート!R22)</f>
        <v/>
      </c>
      <c r="F24" s="738" t="str">
        <f>IF(ISBLANK(入力シート!S22),"",入力シート!S22)</f>
        <v/>
      </c>
      <c r="G24" s="738" t="str">
        <f>IF(ISBLANK(入力シート!T22),"",入力シート!T22)</f>
        <v/>
      </c>
      <c r="H24" s="738" t="str">
        <f>IF(ISBLANK(入力シート!U22),"",入力シート!U22)</f>
        <v/>
      </c>
      <c r="I24" s="498"/>
      <c r="J24" s="458"/>
    </row>
    <row r="25" spans="2:10" ht="21.75" customHeight="1">
      <c r="B25" s="1067">
        <f>入力シート!C23</f>
        <v>44207</v>
      </c>
      <c r="C25" s="1068"/>
      <c r="D25" s="736" t="str">
        <f>IF(ISBLANK(入力シート!Q23),"",入力シート!Q23)</f>
        <v/>
      </c>
      <c r="E25" s="738" t="str">
        <f>IF(ISBLANK(入力シート!R23),"",入力シート!R23)</f>
        <v/>
      </c>
      <c r="F25" s="738" t="str">
        <f>IF(ISBLANK(入力シート!S23),"",入力シート!S23)</f>
        <v/>
      </c>
      <c r="G25" s="738" t="str">
        <f>IF(ISBLANK(入力シート!T23),"",入力シート!T23)</f>
        <v/>
      </c>
      <c r="H25" s="738" t="str">
        <f>IF(ISBLANK(入力シート!U23),"",入力シート!U23)</f>
        <v/>
      </c>
      <c r="I25" s="498"/>
      <c r="J25" s="458"/>
    </row>
    <row r="26" spans="2:10" ht="21.75" customHeight="1">
      <c r="B26" s="1067">
        <f>入力シート!C24</f>
        <v>44208</v>
      </c>
      <c r="C26" s="1068"/>
      <c r="D26" s="736">
        <f>IF(ISBLANK(入力シート!Q24),"",入力シート!Q24)</f>
        <v>0.32291666666666669</v>
      </c>
      <c r="E26" s="738" t="str">
        <f>IF(ISBLANK(入力シート!R24),"",入力シート!R24)</f>
        <v/>
      </c>
      <c r="F26" s="738" t="str">
        <f>IF(ISBLANK(入力シート!S24),"",入力シート!S24)</f>
        <v/>
      </c>
      <c r="G26" s="738" t="str">
        <f>IF(ISBLANK(入力シート!T24),"",入力シート!T24)</f>
        <v/>
      </c>
      <c r="H26" s="738" t="str">
        <f>IF(ISBLANK(入力シート!U24),"",入力シート!U24)</f>
        <v/>
      </c>
      <c r="I26" s="498"/>
      <c r="J26" s="458"/>
    </row>
    <row r="27" spans="2:10" ht="21.75" customHeight="1">
      <c r="B27" s="1067">
        <f>入力シート!C25</f>
        <v>44209</v>
      </c>
      <c r="C27" s="1068"/>
      <c r="D27" s="736">
        <f>IF(ISBLANK(入力シート!Q25),"",入力シート!Q25)</f>
        <v>0.32291666666666669</v>
      </c>
      <c r="E27" s="738" t="str">
        <f>IF(ISBLANK(入力シート!R25),"",入力シート!R25)</f>
        <v/>
      </c>
      <c r="F27" s="738" t="str">
        <f>IF(ISBLANK(入力シート!S25),"",入力シート!S25)</f>
        <v/>
      </c>
      <c r="G27" s="738" t="str">
        <f>IF(ISBLANK(入力シート!T25),"",入力シート!T25)</f>
        <v/>
      </c>
      <c r="H27" s="738" t="str">
        <f>IF(ISBLANK(入力シート!U25),"",入力シート!U25)</f>
        <v/>
      </c>
      <c r="I27" s="498"/>
      <c r="J27" s="458"/>
    </row>
    <row r="28" spans="2:10" ht="21.75" customHeight="1">
      <c r="B28" s="1067">
        <f>入力シート!C26</f>
        <v>44210</v>
      </c>
      <c r="C28" s="1068"/>
      <c r="D28" s="736">
        <f>IF(ISBLANK(入力シート!Q26),"",入力シート!Q26)</f>
        <v>0.35416666666666669</v>
      </c>
      <c r="E28" s="738" t="str">
        <f>IF(ISBLANK(入力シート!R26),"",入力シート!R26)</f>
        <v/>
      </c>
      <c r="F28" s="738" t="str">
        <f>IF(ISBLANK(入力シート!S26),"",入力シート!S26)</f>
        <v/>
      </c>
      <c r="G28" s="738" t="str">
        <f>IF(ISBLANK(入力シート!T26),"",入力シート!T26)</f>
        <v/>
      </c>
      <c r="H28" s="738" t="str">
        <f>IF(ISBLANK(入力シート!U26),"",入力シート!U26)</f>
        <v/>
      </c>
      <c r="I28" s="498"/>
      <c r="J28" s="458"/>
    </row>
    <row r="29" spans="2:10" ht="21.75" customHeight="1">
      <c r="B29" s="1067">
        <f>入力シート!C27</f>
        <v>44211</v>
      </c>
      <c r="C29" s="1068"/>
      <c r="D29" s="736">
        <f>IF(ISBLANK(入力シート!Q27),"",入力シート!Q27)</f>
        <v>0.25</v>
      </c>
      <c r="E29" s="738" t="str">
        <f>IF(ISBLANK(入力シート!R27),"",入力シート!R27)</f>
        <v/>
      </c>
      <c r="F29" s="738" t="str">
        <f>IF(ISBLANK(入力シート!S27),"",入力シート!S27)</f>
        <v/>
      </c>
      <c r="G29" s="738" t="str">
        <f>IF(ISBLANK(入力シート!T27),"",入力シート!T27)</f>
        <v/>
      </c>
      <c r="H29" s="738" t="str">
        <f>IF(ISBLANK(入力シート!U27),"",入力シート!U27)</f>
        <v/>
      </c>
      <c r="I29" s="498"/>
      <c r="J29" s="458"/>
    </row>
    <row r="30" spans="2:10" ht="21.75" customHeight="1">
      <c r="B30" s="1067">
        <f>入力シート!C28</f>
        <v>44212</v>
      </c>
      <c r="C30" s="1068"/>
      <c r="D30" s="736" t="str">
        <f>IF(ISBLANK(入力シート!Q28),"",入力シート!Q28)</f>
        <v/>
      </c>
      <c r="E30" s="738" t="str">
        <f>IF(ISBLANK(入力シート!R28),"",入力シート!R28)</f>
        <v/>
      </c>
      <c r="F30" s="738" t="str">
        <f>IF(ISBLANK(入力シート!S28),"",入力シート!S28)</f>
        <v/>
      </c>
      <c r="G30" s="738" t="str">
        <f>IF(ISBLANK(入力シート!T28),"",入力シート!T28)</f>
        <v/>
      </c>
      <c r="H30" s="738" t="str">
        <f>IF(ISBLANK(入力シート!U28),"",入力シート!U28)</f>
        <v/>
      </c>
      <c r="I30" s="498"/>
      <c r="J30" s="458"/>
    </row>
    <row r="31" spans="2:10" ht="21.75" customHeight="1">
      <c r="B31" s="1067">
        <f>入力シート!C29</f>
        <v>44213</v>
      </c>
      <c r="C31" s="1068"/>
      <c r="D31" s="736" t="str">
        <f>IF(ISBLANK(入力シート!Q29),"",入力シート!Q29)</f>
        <v/>
      </c>
      <c r="E31" s="738" t="str">
        <f>IF(ISBLANK(入力シート!R29),"",入力シート!R29)</f>
        <v/>
      </c>
      <c r="F31" s="738" t="str">
        <f>IF(ISBLANK(入力シート!S29),"",入力シート!S29)</f>
        <v/>
      </c>
      <c r="G31" s="738" t="str">
        <f>IF(ISBLANK(入力シート!T29),"",入力シート!T29)</f>
        <v/>
      </c>
      <c r="H31" s="738" t="str">
        <f>IF(ISBLANK(入力シート!U29),"",入力シート!U29)</f>
        <v/>
      </c>
      <c r="I31" s="498"/>
      <c r="J31" s="458"/>
    </row>
    <row r="32" spans="2:10" ht="21.75" customHeight="1">
      <c r="B32" s="1067">
        <f>入力シート!C30</f>
        <v>44214</v>
      </c>
      <c r="C32" s="1068"/>
      <c r="D32" s="736">
        <f>IF(ISBLANK(入力シート!Q30),"",入力シート!Q30)</f>
        <v>0.32291666666666669</v>
      </c>
      <c r="E32" s="738" t="str">
        <f>IF(ISBLANK(入力シート!R30),"",入力シート!R30)</f>
        <v/>
      </c>
      <c r="F32" s="738" t="str">
        <f>IF(ISBLANK(入力シート!S30),"",入力シート!S30)</f>
        <v/>
      </c>
      <c r="G32" s="738" t="str">
        <f>IF(ISBLANK(入力シート!T30),"",入力シート!T30)</f>
        <v/>
      </c>
      <c r="H32" s="738" t="str">
        <f>IF(ISBLANK(入力シート!U30),"",入力シート!U30)</f>
        <v/>
      </c>
      <c r="I32" s="498"/>
      <c r="J32" s="458"/>
    </row>
    <row r="33" spans="2:12" ht="21.75" customHeight="1">
      <c r="B33" s="1067">
        <f>入力シート!C31</f>
        <v>44215</v>
      </c>
      <c r="C33" s="1068"/>
      <c r="D33" s="736">
        <f>IF(ISBLANK(入力シート!Q31),"",入力シート!Q31)</f>
        <v>0.32291666666666669</v>
      </c>
      <c r="E33" s="738" t="str">
        <f>IF(ISBLANK(入力シート!R31),"",入力シート!R31)</f>
        <v/>
      </c>
      <c r="F33" s="738" t="str">
        <f>IF(ISBLANK(入力シート!S31),"",入力シート!S31)</f>
        <v/>
      </c>
      <c r="G33" s="738" t="str">
        <f>IF(ISBLANK(入力シート!T31),"",入力シート!T31)</f>
        <v/>
      </c>
      <c r="H33" s="738" t="str">
        <f>IF(ISBLANK(入力シート!U31),"",入力シート!U31)</f>
        <v/>
      </c>
      <c r="I33" s="498"/>
      <c r="J33" s="458"/>
    </row>
    <row r="34" spans="2:12" ht="21.75" customHeight="1">
      <c r="B34" s="1067">
        <f>入力シート!C32</f>
        <v>44216</v>
      </c>
      <c r="C34" s="1068"/>
      <c r="D34" s="736">
        <f>IF(ISBLANK(入力シート!Q32),"",入力シート!Q32)</f>
        <v>0.32291666666666669</v>
      </c>
      <c r="E34" s="738" t="str">
        <f>IF(ISBLANK(入力シート!R32),"",入力シート!R32)</f>
        <v/>
      </c>
      <c r="F34" s="738" t="str">
        <f>IF(ISBLANK(入力シート!S32),"",入力シート!S32)</f>
        <v/>
      </c>
      <c r="G34" s="738" t="str">
        <f>IF(ISBLANK(入力シート!T32),"",入力シート!T32)</f>
        <v/>
      </c>
      <c r="H34" s="738" t="str">
        <f>IF(ISBLANK(入力シート!U32),"",入力シート!U32)</f>
        <v/>
      </c>
      <c r="I34" s="498"/>
      <c r="J34" s="458"/>
    </row>
    <row r="35" spans="2:12" ht="21.75" customHeight="1">
      <c r="B35" s="1067">
        <f>入力シート!C33</f>
        <v>44217</v>
      </c>
      <c r="C35" s="1068"/>
      <c r="D35" s="736">
        <f>IF(ISBLANK(入力シート!Q33),"",入力シート!Q33)</f>
        <v>0.34375</v>
      </c>
      <c r="E35" s="738" t="str">
        <f>IF(ISBLANK(入力シート!R33),"",入力シート!R33)</f>
        <v/>
      </c>
      <c r="F35" s="738" t="str">
        <f>IF(ISBLANK(入力シート!S33),"",入力シート!S33)</f>
        <v/>
      </c>
      <c r="G35" s="738" t="str">
        <f>IF(ISBLANK(入力シート!T33),"",入力シート!T33)</f>
        <v/>
      </c>
      <c r="H35" s="738" t="str">
        <f>IF(ISBLANK(入力シート!U33),"",入力シート!U33)</f>
        <v/>
      </c>
      <c r="I35" s="498"/>
      <c r="J35" s="458"/>
    </row>
    <row r="36" spans="2:12" ht="21.75" customHeight="1">
      <c r="B36" s="1067">
        <f>入力シート!C34</f>
        <v>44218</v>
      </c>
      <c r="C36" s="1068"/>
      <c r="D36" s="736">
        <f>IF(ISBLANK(入力シート!Q34),"",入力シート!Q34)</f>
        <v>0.32291666666666669</v>
      </c>
      <c r="E36" s="738" t="str">
        <f>IF(ISBLANK(入力シート!R34),"",入力シート!R34)</f>
        <v/>
      </c>
      <c r="F36" s="738" t="str">
        <f>IF(ISBLANK(入力シート!S34),"",入力シート!S34)</f>
        <v/>
      </c>
      <c r="G36" s="738" t="str">
        <f>IF(ISBLANK(入力シート!T34),"",入力シート!T34)</f>
        <v/>
      </c>
      <c r="H36" s="738" t="str">
        <f>IF(ISBLANK(入力シート!U34),"",入力シート!U34)</f>
        <v/>
      </c>
      <c r="I36" s="498"/>
      <c r="J36" s="458"/>
    </row>
    <row r="37" spans="2:12" ht="21.75" customHeight="1">
      <c r="B37" s="1067">
        <f>入力シート!C35</f>
        <v>44219</v>
      </c>
      <c r="C37" s="1068"/>
      <c r="D37" s="736" t="str">
        <f>IF(ISBLANK(入力シート!Q35),"",入力シート!Q35)</f>
        <v/>
      </c>
      <c r="E37" s="738" t="str">
        <f>IF(ISBLANK(入力シート!R35),"",入力シート!R35)</f>
        <v/>
      </c>
      <c r="F37" s="738" t="str">
        <f>IF(ISBLANK(入力シート!S35),"",入力シート!S35)</f>
        <v/>
      </c>
      <c r="G37" s="738" t="str">
        <f>IF(ISBLANK(入力シート!T35),"",入力シート!T35)</f>
        <v/>
      </c>
      <c r="H37" s="738" t="str">
        <f>IF(ISBLANK(入力シート!U35),"",入力シート!U35)</f>
        <v/>
      </c>
      <c r="I37" s="498"/>
      <c r="J37" s="458"/>
    </row>
    <row r="38" spans="2:12" ht="21.75" customHeight="1">
      <c r="B38" s="1067">
        <f>入力シート!C36</f>
        <v>44220</v>
      </c>
      <c r="C38" s="1068"/>
      <c r="D38" s="736" t="str">
        <f>IF(ISBLANK(入力シート!Q36),"",入力シート!Q36)</f>
        <v/>
      </c>
      <c r="E38" s="738" t="str">
        <f>IF(ISBLANK(入力シート!R36),"",入力シート!R36)</f>
        <v/>
      </c>
      <c r="F38" s="738" t="str">
        <f>IF(ISBLANK(入力シート!S36),"",入力シート!S36)</f>
        <v/>
      </c>
      <c r="G38" s="738" t="str">
        <f>IF(ISBLANK(入力シート!T36),"",入力シート!T36)</f>
        <v/>
      </c>
      <c r="H38" s="738" t="str">
        <f>IF(ISBLANK(入力シート!U36),"",入力シート!U36)</f>
        <v/>
      </c>
      <c r="I38" s="498"/>
      <c r="J38" s="458"/>
    </row>
    <row r="39" spans="2:12" ht="21.75" customHeight="1">
      <c r="B39" s="1067">
        <f>入力シート!C37</f>
        <v>44221</v>
      </c>
      <c r="C39" s="1068"/>
      <c r="D39" s="736">
        <f>IF(ISBLANK(入力シート!Q37),"",入力シート!Q37)</f>
        <v>0.32291666666666669</v>
      </c>
      <c r="E39" s="738" t="str">
        <f>IF(ISBLANK(入力シート!R37),"",入力シート!R37)</f>
        <v/>
      </c>
      <c r="F39" s="738" t="str">
        <f>IF(ISBLANK(入力シート!S37),"",入力シート!S37)</f>
        <v/>
      </c>
      <c r="G39" s="738" t="str">
        <f>IF(ISBLANK(入力シート!T37),"",入力シート!T37)</f>
        <v/>
      </c>
      <c r="H39" s="738" t="str">
        <f>IF(ISBLANK(入力シート!U37),"",入力シート!U37)</f>
        <v/>
      </c>
      <c r="I39" s="498"/>
      <c r="J39" s="458"/>
    </row>
    <row r="40" spans="2:12" ht="21.75" customHeight="1">
      <c r="B40" s="1067">
        <f>入力シート!C38</f>
        <v>44222</v>
      </c>
      <c r="C40" s="1068"/>
      <c r="D40" s="736">
        <f>IF(ISBLANK(入力シート!Q38),"",入力シート!Q38)</f>
        <v>0.36458333333333331</v>
      </c>
      <c r="E40" s="738" t="str">
        <f>IF(ISBLANK(入力シート!R38),"",入力シート!R38)</f>
        <v/>
      </c>
      <c r="F40" s="738" t="str">
        <f>IF(ISBLANK(入力シート!S38),"",入力シート!S38)</f>
        <v/>
      </c>
      <c r="G40" s="738" t="str">
        <f>IF(ISBLANK(入力シート!T38),"",入力シート!T38)</f>
        <v/>
      </c>
      <c r="H40" s="738" t="str">
        <f>IF(ISBLANK(入力シート!U38),"",入力シート!U38)</f>
        <v/>
      </c>
      <c r="I40" s="498"/>
      <c r="J40" s="458"/>
    </row>
    <row r="41" spans="2:12" ht="21.75" customHeight="1">
      <c r="B41" s="1067">
        <f>入力シート!C39</f>
        <v>44223</v>
      </c>
      <c r="C41" s="1068"/>
      <c r="D41" s="736">
        <f>IF(ISBLANK(入力シート!Q39),"",入力シート!Q39)</f>
        <v>0.32291666666666669</v>
      </c>
      <c r="E41" s="738" t="str">
        <f>IF(ISBLANK(入力シート!R39),"",入力シート!R39)</f>
        <v/>
      </c>
      <c r="F41" s="738" t="str">
        <f>IF(ISBLANK(入力シート!S39),"",入力シート!S39)</f>
        <v/>
      </c>
      <c r="G41" s="738" t="str">
        <f>IF(ISBLANK(入力シート!T39),"",入力シート!T39)</f>
        <v/>
      </c>
      <c r="H41" s="738" t="str">
        <f>IF(ISBLANK(入力シート!U39),"",入力シート!U39)</f>
        <v/>
      </c>
      <c r="I41" s="498"/>
      <c r="J41" s="458"/>
    </row>
    <row r="42" spans="2:12" ht="21.75" customHeight="1">
      <c r="B42" s="1067">
        <f>入力シート!C40</f>
        <v>44224</v>
      </c>
      <c r="C42" s="1068"/>
      <c r="D42" s="736">
        <f>IF(ISBLANK(入力シート!Q40),"",入力シート!Q40)</f>
        <v>0.32291666666666669</v>
      </c>
      <c r="E42" s="738" t="str">
        <f>IF(ISBLANK(入力シート!R40),"",入力シート!R40)</f>
        <v/>
      </c>
      <c r="F42" s="738" t="str">
        <f>IF(ISBLANK(入力シート!S40),"",入力シート!S40)</f>
        <v/>
      </c>
      <c r="G42" s="738" t="str">
        <f>IF(ISBLANK(入力シート!T40),"",入力シート!T40)</f>
        <v/>
      </c>
      <c r="H42" s="738" t="str">
        <f>IF(ISBLANK(入力シート!U40),"",入力シート!U40)</f>
        <v/>
      </c>
      <c r="I42" s="498"/>
      <c r="J42" s="458"/>
    </row>
    <row r="43" spans="2:12" ht="21.75" customHeight="1">
      <c r="B43" s="1067">
        <f>入力シート!C41</f>
        <v>44225</v>
      </c>
      <c r="C43" s="1068"/>
      <c r="D43" s="736">
        <f>IF(ISBLANK(入力シート!Q41),"",入力シート!Q41)</f>
        <v>0.32291666666666669</v>
      </c>
      <c r="E43" s="738" t="str">
        <f>IF(ISBLANK(入力シート!R41),"",入力シート!R41)</f>
        <v/>
      </c>
      <c r="F43" s="738" t="str">
        <f>IF(ISBLANK(入力シート!S41),"",入力シート!S41)</f>
        <v/>
      </c>
      <c r="G43" s="738" t="str">
        <f>IF(ISBLANK(入力シート!T41),"",入力シート!T41)</f>
        <v/>
      </c>
      <c r="H43" s="738" t="str">
        <f>IF(ISBLANK(入力シート!U41),"",入力シート!U41)</f>
        <v/>
      </c>
      <c r="I43" s="498"/>
      <c r="J43" s="458"/>
    </row>
    <row r="44" spans="2:12" ht="21.75" customHeight="1">
      <c r="B44" s="1067">
        <f>入力シート!C42</f>
        <v>44226</v>
      </c>
      <c r="C44" s="1068"/>
      <c r="D44" s="736" t="str">
        <f>IF(ISBLANK(入力シート!Q42),"",入力シート!Q42)</f>
        <v/>
      </c>
      <c r="E44" s="738" t="str">
        <f>IF(ISBLANK(入力シート!R42),"",入力シート!R42)</f>
        <v/>
      </c>
      <c r="F44" s="738" t="str">
        <f>IF(ISBLANK(入力シート!S42),"",入力シート!S42)</f>
        <v/>
      </c>
      <c r="G44" s="738" t="str">
        <f>IF(ISBLANK(入力シート!T42),"",入力シート!T42)</f>
        <v/>
      </c>
      <c r="H44" s="738" t="str">
        <f>IF(ISBLANK(入力シート!U42),"",入力シート!U42)</f>
        <v/>
      </c>
      <c r="I44" s="498"/>
      <c r="J44" s="458"/>
    </row>
    <row r="45" spans="2:12" ht="21.75" customHeight="1" thickBot="1">
      <c r="B45" s="1075">
        <f>入力シート!C43</f>
        <v>44227</v>
      </c>
      <c r="C45" s="1076"/>
      <c r="D45" s="739" t="str">
        <f>IF(ISBLANK(入力シート!Q43),"",入力シート!Q43)</f>
        <v/>
      </c>
      <c r="E45" s="740" t="str">
        <f>IF(ISBLANK(入力シート!R43),"",入力シート!R43)</f>
        <v/>
      </c>
      <c r="F45" s="740" t="str">
        <f>IF(ISBLANK(入力シート!S43),"",入力シート!S43)</f>
        <v/>
      </c>
      <c r="G45" s="740" t="str">
        <f>IF(ISBLANK(入力シート!T43),"",入力シート!T43)</f>
        <v/>
      </c>
      <c r="H45" s="740" t="str">
        <f>IF(ISBLANK(入力シート!U43),"",入力シート!U43)</f>
        <v/>
      </c>
      <c r="I45" s="498"/>
      <c r="J45" s="458"/>
    </row>
    <row r="46" spans="2:12">
      <c r="B46" s="459"/>
      <c r="C46" s="443"/>
      <c r="D46" s="443"/>
      <c r="E46" s="443"/>
      <c r="F46" s="443"/>
      <c r="G46" s="443"/>
      <c r="H46" s="443"/>
      <c r="I46" s="443"/>
      <c r="J46" s="443"/>
    </row>
    <row r="47" spans="2:12">
      <c r="B47" s="460" t="s">
        <v>537</v>
      </c>
      <c r="C47" s="443"/>
      <c r="D47" s="443"/>
      <c r="E47" s="443"/>
      <c r="F47" s="443"/>
      <c r="G47" s="443"/>
      <c r="H47" s="443"/>
      <c r="I47" s="443"/>
      <c r="J47" s="443"/>
    </row>
    <row r="48" spans="2:12" ht="39.75" customHeight="1">
      <c r="B48" s="460"/>
      <c r="C48" s="443"/>
      <c r="D48" s="443"/>
      <c r="E48" s="696" t="str">
        <f>IF(K48=0,"※契約条件どおり左記就業単位を選択して下さい","")</f>
        <v/>
      </c>
      <c r="F48" s="443"/>
      <c r="G48" s="443"/>
      <c r="H48" s="443"/>
      <c r="I48" s="443"/>
      <c r="J48" s="443"/>
      <c r="K48" s="700">
        <v>1</v>
      </c>
      <c r="L48" s="714"/>
    </row>
    <row r="49" spans="2:13" ht="8.25" customHeight="1">
      <c r="B49" s="460"/>
      <c r="C49" s="443"/>
      <c r="D49" s="443"/>
      <c r="E49" s="443"/>
      <c r="F49" s="443"/>
      <c r="G49" s="443"/>
      <c r="H49" s="443"/>
      <c r="I49" s="443"/>
      <c r="J49" s="443"/>
    </row>
    <row r="50" spans="2:13" ht="15" customHeight="1">
      <c r="B50" s="1073"/>
      <c r="C50" s="1073"/>
      <c r="D50" s="741" t="str">
        <f>IF(ISBLANK(入力シート!Q12),"",入力シート!Q12)</f>
        <v>3521-05434</v>
      </c>
      <c r="E50" s="741" t="str">
        <f>IF(ISBLANK(入力シート!R12),"",入力シート!R12)</f>
        <v/>
      </c>
      <c r="F50" s="741" t="str">
        <f>IF(ISBLANK(入力シート!S12),"",入力シート!S12)</f>
        <v/>
      </c>
      <c r="G50" s="741" t="str">
        <f>IF(ISBLANK(入力シート!T12),"",入力シート!T12)</f>
        <v/>
      </c>
      <c r="H50" s="741" t="str">
        <f>IF(ISBLANK(入力シート!U12),"",入力シート!U12)</f>
        <v/>
      </c>
      <c r="I50" s="735" t="s">
        <v>388</v>
      </c>
      <c r="J50" s="728"/>
    </row>
    <row r="51" spans="2:13" ht="21.75" customHeight="1">
      <c r="B51" s="744" t="s">
        <v>659</v>
      </c>
      <c r="C51" s="745"/>
      <c r="D51" s="742">
        <f>IF(ISBLANK(入力シート!Q45),"",入力シート!Q45)</f>
        <v>6.333333333333333</v>
      </c>
      <c r="E51" s="742">
        <f>IF(ISBLANK(入力シート!R45),"",入力シート!R45)</f>
        <v>0</v>
      </c>
      <c r="F51" s="742">
        <f>IF(ISBLANK(入力シート!S45),"",入力シート!S45)</f>
        <v>0</v>
      </c>
      <c r="G51" s="742">
        <f>IF(ISBLANK(入力シート!T45),"",入力シート!T45)</f>
        <v>0</v>
      </c>
      <c r="H51" s="742">
        <f>IF(ISBLANK(入力シート!U45),"",入力シート!U45)</f>
        <v>0</v>
      </c>
      <c r="I51" s="742">
        <f>IF($D$51="","",IF($K$48=1,FLOOR(SUM($D$51:$H$51),"0:15"),IF($K$48=2,FLOOR(SUM($D$51:$H$51),"0:30"),SUM($D$51:$H$51))))</f>
        <v>6.333333333333333</v>
      </c>
      <c r="J51" s="733">
        <f>SUM(D51:H51)</f>
        <v>6.333333333333333</v>
      </c>
      <c r="K51" s="734" t="s">
        <v>789</v>
      </c>
      <c r="M51" s="720"/>
    </row>
    <row r="52" spans="2:13" ht="23.25" customHeight="1">
      <c r="B52" s="746" t="s">
        <v>658</v>
      </c>
      <c r="C52" s="747"/>
      <c r="D52" s="743" t="str">
        <f>IFERROR(VLOOKUP(D50,実費精算書!$B$15:$E$24,3,FALSE),"")</f>
        <v/>
      </c>
      <c r="E52" s="792" t="str">
        <f>IFERROR(VLOOKUP(E50,実費精算書!$B$15:$E$24,3,FALSE),"")</f>
        <v/>
      </c>
      <c r="F52" s="743" t="str">
        <f>IFERROR(VLOOKUP(F50,実費精算書!$B$15:$E$24,3,FALSE),"")</f>
        <v/>
      </c>
      <c r="G52" s="743" t="str">
        <f>IFERROR(VLOOKUP(G50,実費精算書!$B$15:$E$24,3,FALSE),"")</f>
        <v/>
      </c>
      <c r="H52" s="743" t="str">
        <f>IFERROR(VLOOKUP(H50,実費精算書!$B$15:$E$24,3,FALSE),"")</f>
        <v/>
      </c>
      <c r="I52" s="743">
        <f>SUM(D52:H52)</f>
        <v>0</v>
      </c>
      <c r="J52" s="443"/>
    </row>
    <row r="53" spans="2:13" ht="15.75">
      <c r="B53" s="748" t="s">
        <v>667</v>
      </c>
      <c r="C53" s="749"/>
      <c r="D53" s="793">
        <f>IF(ISBLANK(入力シート!C47),"",入力シート!C47)</f>
        <v>19</v>
      </c>
      <c r="E53" s="541"/>
      <c r="F53" s="541"/>
      <c r="G53" s="443"/>
      <c r="H53" s="443"/>
      <c r="I53" s="729" t="s">
        <v>788</v>
      </c>
      <c r="J53" s="443"/>
    </row>
    <row r="54" spans="2:13">
      <c r="B54" s="1065"/>
      <c r="C54" s="1066"/>
      <c r="D54" s="443"/>
      <c r="E54" s="443"/>
      <c r="F54" s="443"/>
      <c r="G54" s="443"/>
      <c r="H54" s="443"/>
      <c r="I54" s="443"/>
      <c r="J54" s="443"/>
    </row>
    <row r="55" spans="2:13">
      <c r="B55" s="1072" t="s">
        <v>538</v>
      </c>
      <c r="C55" s="1072"/>
      <c r="D55" s="539" t="s">
        <v>540</v>
      </c>
      <c r="E55" s="443"/>
      <c r="F55" s="461"/>
      <c r="G55" s="443"/>
      <c r="H55" s="443"/>
      <c r="I55" s="499"/>
      <c r="J55" s="499"/>
    </row>
    <row r="56" spans="2:13">
      <c r="B56" s="1069">
        <f>D11</f>
        <v>83500059</v>
      </c>
      <c r="C56" s="1070"/>
      <c r="D56" s="1070" t="str">
        <f>D10</f>
        <v>李 学強</v>
      </c>
      <c r="E56" s="443"/>
      <c r="F56" s="1074"/>
      <c r="G56" s="443"/>
      <c r="H56" s="443"/>
      <c r="I56" s="443"/>
      <c r="J56" s="443"/>
    </row>
    <row r="57" spans="2:13">
      <c r="B57" s="1071"/>
      <c r="C57" s="1071"/>
      <c r="D57" s="1071"/>
      <c r="E57" s="443"/>
      <c r="F57" s="1074"/>
      <c r="G57" s="443"/>
      <c r="H57" s="443"/>
      <c r="I57" s="807"/>
      <c r="J57" s="499"/>
    </row>
    <row r="58" spans="2:13" ht="12.75" customHeight="1">
      <c r="B58" s="443"/>
      <c r="C58" s="443"/>
      <c r="D58" s="443"/>
      <c r="E58" s="443"/>
      <c r="F58" s="443"/>
      <c r="G58" s="443"/>
      <c r="H58" s="443"/>
      <c r="I58" s="808"/>
      <c r="J58" s="443"/>
    </row>
    <row r="59" spans="2:13">
      <c r="B59" s="443"/>
      <c r="C59" s="443"/>
      <c r="D59" s="443"/>
      <c r="E59" s="443"/>
      <c r="F59" s="443"/>
      <c r="G59" s="443"/>
      <c r="H59" s="443"/>
      <c r="I59" s="809" t="str">
        <f>入力シート!AA1</f>
        <v>様式（BP）2019.12　Ver9.40</v>
      </c>
      <c r="J59" s="443"/>
    </row>
    <row r="60" spans="2:13">
      <c r="B60" s="443"/>
      <c r="C60" s="443"/>
      <c r="D60" s="443"/>
      <c r="E60" s="443"/>
      <c r="F60" s="443"/>
      <c r="G60" s="443"/>
      <c r="H60" s="443"/>
      <c r="I60" s="499"/>
      <c r="J60" s="499"/>
    </row>
    <row r="61" spans="2:13">
      <c r="B61" s="443"/>
      <c r="C61" s="443"/>
      <c r="D61" s="443"/>
      <c r="E61" s="443"/>
      <c r="F61" s="443"/>
      <c r="G61" s="443"/>
      <c r="H61" s="443"/>
      <c r="I61" s="443"/>
      <c r="J61" s="443"/>
    </row>
    <row r="62" spans="2:13">
      <c r="B62" s="443"/>
      <c r="C62" s="443"/>
      <c r="D62" s="443"/>
      <c r="E62" s="443"/>
      <c r="F62" s="443"/>
      <c r="G62" s="443"/>
      <c r="H62" s="443"/>
      <c r="I62" s="499"/>
      <c r="J62" s="499"/>
    </row>
    <row r="63" spans="2:13">
      <c r="B63" s="443"/>
      <c r="C63" s="443"/>
      <c r="D63" s="443"/>
      <c r="E63" s="443"/>
      <c r="F63" s="443"/>
      <c r="G63" s="443"/>
      <c r="H63" s="443"/>
      <c r="I63" s="443"/>
      <c r="J63" s="443"/>
    </row>
    <row r="64" spans="2:13">
      <c r="B64" s="443"/>
      <c r="C64" s="443"/>
      <c r="D64" s="443"/>
      <c r="E64" s="443"/>
      <c r="F64" s="443"/>
      <c r="G64" s="443"/>
      <c r="H64" s="443"/>
      <c r="I64" s="443"/>
      <c r="J64" s="443"/>
    </row>
  </sheetData>
  <mergeCells count="45">
    <mergeCell ref="B15:C15"/>
    <mergeCell ref="D9:E9"/>
    <mergeCell ref="D10:E10"/>
    <mergeCell ref="D11:E11"/>
    <mergeCell ref="B11:C11"/>
    <mergeCell ref="D13:H13"/>
    <mergeCell ref="B9:C9"/>
    <mergeCell ref="B10:C10"/>
    <mergeCell ref="B13:C14"/>
    <mergeCell ref="F56:F57"/>
    <mergeCell ref="B25:C25"/>
    <mergeCell ref="B28:C28"/>
    <mergeCell ref="B26:C26"/>
    <mergeCell ref="B43:C43"/>
    <mergeCell ref="B34:C34"/>
    <mergeCell ref="B38:C38"/>
    <mergeCell ref="B35:C35"/>
    <mergeCell ref="B30:C30"/>
    <mergeCell ref="B32:C32"/>
    <mergeCell ref="B45:C45"/>
    <mergeCell ref="B29:C29"/>
    <mergeCell ref="B33:C33"/>
    <mergeCell ref="B41:C41"/>
    <mergeCell ref="B31:C31"/>
    <mergeCell ref="D56:D57"/>
    <mergeCell ref="B16:C16"/>
    <mergeCell ref="B17:C17"/>
    <mergeCell ref="B24:C24"/>
    <mergeCell ref="B22:C22"/>
    <mergeCell ref="B18:C18"/>
    <mergeCell ref="B21:C21"/>
    <mergeCell ref="B19:C19"/>
    <mergeCell ref="B20:C20"/>
    <mergeCell ref="B23:C23"/>
    <mergeCell ref="B54:C54"/>
    <mergeCell ref="B44:C44"/>
    <mergeCell ref="B42:C42"/>
    <mergeCell ref="B27:C27"/>
    <mergeCell ref="B56:C57"/>
    <mergeCell ref="B55:C55"/>
    <mergeCell ref="B50:C50"/>
    <mergeCell ref="B39:C39"/>
    <mergeCell ref="B37:C37"/>
    <mergeCell ref="B36:C36"/>
    <mergeCell ref="B40:C40"/>
  </mergeCells>
  <phoneticPr fontId="2"/>
  <conditionalFormatting sqref="B15:J45">
    <cfRule type="expression" dxfId="48" priority="9" stopIfTrue="1">
      <formula>OR(#REF!=1,#REF!=7,#REF!=8)</formula>
    </cfRule>
  </conditionalFormatting>
  <printOptions horizontalCentered="1" verticalCentered="1"/>
  <pageMargins left="0.78740157480314965" right="0.27559055118110237" top="0.23622047244094491" bottom="0.19685039370078741" header="0.15748031496062992" footer="0.15748031496062992"/>
  <pageSetup paperSize="9" scale="80" orientation="portrait" r:id="rId1"/>
  <headerFooter alignWithMargins="0"/>
  <ignoredErrors>
    <ignoredError sqref="G14:G17 H14:H15 G51" formula="1"/>
    <ignoredError sqref="D52:H5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265" r:id="rId4" name="Group Box 1">
              <controlPr locked="0" defaultSize="0" autoFill="0" autoPict="0">
                <anchor moveWithCells="1">
                  <from>
                    <xdr:col>1</xdr:col>
                    <xdr:colOff>76200</xdr:colOff>
                    <xdr:row>47</xdr:row>
                    <xdr:rowOff>66675</xdr:rowOff>
                  </from>
                  <to>
                    <xdr:col>3</xdr:col>
                    <xdr:colOff>904875</xdr:colOff>
                    <xdr:row>47</xdr:row>
                    <xdr:rowOff>447675</xdr:rowOff>
                  </to>
                </anchor>
              </controlPr>
            </control>
          </mc:Choice>
        </mc:AlternateContent>
        <mc:AlternateContent xmlns:mc="http://schemas.openxmlformats.org/markup-compatibility/2006">
          <mc:Choice Requires="x14">
            <control shapeId="11266" r:id="rId5" name="Option Button 2">
              <controlPr locked="0" defaultSize="0" autoFill="0" autoLine="0" autoPict="0">
                <anchor moveWithCells="1">
                  <from>
                    <xdr:col>1</xdr:col>
                    <xdr:colOff>171450</xdr:colOff>
                    <xdr:row>47</xdr:row>
                    <xdr:rowOff>171450</xdr:rowOff>
                  </from>
                  <to>
                    <xdr:col>3</xdr:col>
                    <xdr:colOff>9525</xdr:colOff>
                    <xdr:row>47</xdr:row>
                    <xdr:rowOff>381000</xdr:rowOff>
                  </to>
                </anchor>
              </controlPr>
            </control>
          </mc:Choice>
        </mc:AlternateContent>
        <mc:AlternateContent xmlns:mc="http://schemas.openxmlformats.org/markup-compatibility/2006">
          <mc:Choice Requires="x14">
            <control shapeId="11267" r:id="rId6" name="Option Button 3">
              <controlPr locked="0" defaultSize="0" autoFill="0" autoLine="0" autoPict="0">
                <anchor moveWithCells="1">
                  <from>
                    <xdr:col>3</xdr:col>
                    <xdr:colOff>152400</xdr:colOff>
                    <xdr:row>47</xdr:row>
                    <xdr:rowOff>171450</xdr:rowOff>
                  </from>
                  <to>
                    <xdr:col>3</xdr:col>
                    <xdr:colOff>762000</xdr:colOff>
                    <xdr:row>47</xdr:row>
                    <xdr:rowOff>381000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Z177"/>
  <sheetViews>
    <sheetView showGridLines="0" topLeftCell="A46" zoomScaleNormal="100" zoomScaleSheetLayoutView="100" workbookViewId="0">
      <selection activeCell="T34" sqref="T34:V34"/>
    </sheetView>
  </sheetViews>
  <sheetFormatPr defaultColWidth="9" defaultRowHeight="12"/>
  <cols>
    <col min="1" max="2" width="4.125" style="442" customWidth="1"/>
    <col min="3" max="3" width="3.25" style="442" bestFit="1" customWidth="1"/>
    <col min="4" max="42" width="2.25" style="442" customWidth="1"/>
    <col min="43" max="46" width="2.25" style="440" customWidth="1"/>
    <col min="47" max="47" width="6.75" style="440" bestFit="1" customWidth="1"/>
    <col min="48" max="48" width="2.25" style="440" customWidth="1"/>
    <col min="49" max="49" width="6.125" style="440" customWidth="1"/>
    <col min="50" max="107" width="2.25" style="440" customWidth="1"/>
    <col min="108" max="16384" width="9" style="440"/>
  </cols>
  <sheetData>
    <row r="1" spans="1:52" s="438" customFormat="1" ht="17.25">
      <c r="A1" s="1297" t="s">
        <v>546</v>
      </c>
      <c r="B1" s="1297"/>
      <c r="C1" s="1297"/>
      <c r="D1" s="1297"/>
      <c r="E1" s="1297"/>
      <c r="F1" s="1297"/>
      <c r="G1" s="1297"/>
      <c r="H1" s="1297"/>
      <c r="I1" s="1297"/>
      <c r="J1" s="1297"/>
      <c r="K1" s="1297"/>
      <c r="L1" s="1297"/>
      <c r="M1" s="1297"/>
      <c r="N1" s="1297"/>
      <c r="O1" s="1297"/>
      <c r="P1" s="1297"/>
      <c r="Q1" s="1297"/>
      <c r="R1" s="1297"/>
      <c r="S1" s="1297"/>
      <c r="T1" s="1297"/>
      <c r="U1" s="1297"/>
      <c r="V1" s="1297"/>
      <c r="W1" s="1297"/>
      <c r="X1" s="1297"/>
      <c r="Y1" s="1297"/>
      <c r="Z1" s="1297"/>
      <c r="AA1" s="1297"/>
      <c r="AB1" s="1297"/>
      <c r="AC1" s="1297"/>
      <c r="AD1" s="1297"/>
      <c r="AE1" s="1297"/>
      <c r="AF1" s="1297"/>
      <c r="AG1" s="1297"/>
      <c r="AH1" s="1297"/>
      <c r="AI1" s="1297"/>
      <c r="AJ1" s="1297"/>
      <c r="AK1" s="1297"/>
      <c r="AL1" s="1297"/>
      <c r="AM1" s="1297"/>
      <c r="AN1" s="1297"/>
      <c r="AO1" s="1297"/>
      <c r="AP1" s="1297"/>
      <c r="AQ1" s="1297"/>
      <c r="AR1" s="1297"/>
      <c r="AS1" s="1297"/>
    </row>
    <row r="2" spans="1:52" s="438" customFormat="1" ht="12" customHeight="1">
      <c r="A2" s="441"/>
      <c r="B2" s="441"/>
      <c r="C2" s="441"/>
      <c r="D2" s="441"/>
      <c r="E2" s="441"/>
      <c r="F2" s="441"/>
      <c r="G2" s="441"/>
      <c r="H2" s="441"/>
      <c r="I2" s="441"/>
      <c r="J2" s="441"/>
      <c r="K2" s="441"/>
      <c r="L2" s="441"/>
      <c r="M2" s="441"/>
      <c r="N2" s="441"/>
      <c r="O2" s="441"/>
      <c r="P2" s="441"/>
      <c r="Q2" s="441"/>
      <c r="R2" s="441"/>
      <c r="S2" s="441"/>
      <c r="T2" s="441"/>
      <c r="U2" s="441"/>
      <c r="V2" s="441"/>
      <c r="W2" s="441"/>
      <c r="X2" s="441"/>
      <c r="Y2" s="441"/>
      <c r="Z2" s="441"/>
      <c r="AA2" s="441"/>
      <c r="AB2" s="441"/>
      <c r="AC2" s="441"/>
      <c r="AD2" s="441"/>
      <c r="AE2" s="441"/>
      <c r="AF2" s="441"/>
      <c r="AG2" s="441"/>
      <c r="AH2" s="441"/>
      <c r="AI2" s="441"/>
      <c r="AJ2" s="441"/>
      <c r="AK2" s="473"/>
      <c r="AL2" s="473"/>
      <c r="AM2" s="473"/>
      <c r="AN2" s="473"/>
      <c r="AO2" s="473"/>
      <c r="AP2" s="473"/>
    </row>
    <row r="3" spans="1:52" s="438" customFormat="1" ht="24" customHeight="1">
      <c r="A3" s="799">
        <f>年</f>
        <v>2021</v>
      </c>
      <c r="B3" s="480" t="s">
        <v>547</v>
      </c>
      <c r="C3" s="800">
        <f>月</f>
        <v>1</v>
      </c>
      <c r="D3" s="474" t="s">
        <v>548</v>
      </c>
      <c r="E3" s="471"/>
      <c r="G3" s="1188" t="s">
        <v>585</v>
      </c>
      <c r="H3" s="1189"/>
      <c r="I3" s="1190"/>
      <c r="J3" s="1196"/>
      <c r="K3" s="1197"/>
      <c r="L3" s="1197"/>
      <c r="M3" s="1197"/>
      <c r="N3" s="1197"/>
      <c r="O3" s="1197"/>
      <c r="P3" s="1197"/>
      <c r="Q3" s="1197"/>
      <c r="R3" s="1197"/>
      <c r="S3" s="1197"/>
      <c r="T3" s="1197"/>
      <c r="U3" s="1197"/>
      <c r="V3" s="1197"/>
      <c r="W3" s="1197"/>
      <c r="X3" s="1197"/>
      <c r="Y3" s="1197"/>
      <c r="Z3" s="1197"/>
      <c r="AA3" s="1191" t="s">
        <v>569</v>
      </c>
      <c r="AB3" s="1192"/>
      <c r="AC3" s="1193"/>
      <c r="AD3" s="1198">
        <f>入力シート!D7</f>
        <v>83500059</v>
      </c>
      <c r="AE3" s="1199"/>
      <c r="AF3" s="1199"/>
      <c r="AG3" s="1200"/>
      <c r="AH3" s="1201" t="s">
        <v>586</v>
      </c>
      <c r="AI3" s="1202"/>
      <c r="AJ3" s="1202"/>
      <c r="AK3" s="1202"/>
      <c r="AL3" s="1203"/>
      <c r="AM3" s="1204" t="str">
        <f>入力シート!D8</f>
        <v>李 学強</v>
      </c>
      <c r="AN3" s="1205"/>
      <c r="AO3" s="1205"/>
      <c r="AP3" s="1205"/>
      <c r="AQ3" s="1205"/>
      <c r="AR3" s="1205"/>
      <c r="AS3" s="1206"/>
    </row>
    <row r="4" spans="1:52" s="438" customFormat="1" ht="4.5" customHeight="1">
      <c r="A4" s="441"/>
      <c r="B4" s="441"/>
      <c r="C4" s="441"/>
      <c r="D4" s="441"/>
      <c r="E4" s="441"/>
      <c r="F4" s="441"/>
      <c r="G4" s="441"/>
      <c r="H4" s="441"/>
      <c r="I4" s="441"/>
      <c r="J4" s="441"/>
      <c r="K4" s="441"/>
      <c r="L4" s="441"/>
      <c r="M4" s="441"/>
      <c r="N4" s="441"/>
      <c r="O4" s="441"/>
      <c r="P4" s="441"/>
      <c r="Q4" s="441"/>
      <c r="R4" s="441"/>
      <c r="S4" s="441"/>
      <c r="T4" s="441"/>
      <c r="U4" s="441"/>
      <c r="V4" s="441"/>
      <c r="W4" s="441"/>
      <c r="X4" s="441"/>
      <c r="Y4" s="441"/>
      <c r="Z4" s="441"/>
      <c r="AA4" s="441"/>
      <c r="AB4" s="441"/>
      <c r="AC4" s="441"/>
      <c r="AD4" s="441"/>
      <c r="AE4" s="441"/>
      <c r="AF4" s="441"/>
      <c r="AG4" s="441"/>
      <c r="AH4" s="441"/>
      <c r="AI4" s="441"/>
      <c r="AJ4" s="441"/>
      <c r="AK4" s="441"/>
      <c r="AL4" s="441"/>
      <c r="AM4" s="441"/>
      <c r="AN4" s="441"/>
      <c r="AO4" s="441"/>
      <c r="AP4" s="441"/>
    </row>
    <row r="5" spans="1:52" s="439" customFormat="1" ht="14.1" customHeight="1">
      <c r="A5" s="1264" t="s">
        <v>549</v>
      </c>
      <c r="B5" s="1215" t="s">
        <v>550</v>
      </c>
      <c r="C5" s="1216"/>
      <c r="D5" s="1216"/>
      <c r="E5" s="1217"/>
      <c r="F5" s="1212" t="s">
        <v>587</v>
      </c>
      <c r="G5" s="1213"/>
      <c r="H5" s="1213"/>
      <c r="I5" s="1214"/>
      <c r="J5" s="1194"/>
      <c r="K5" s="1194"/>
      <c r="L5" s="1194"/>
      <c r="M5" s="1194"/>
      <c r="N5" s="1194"/>
      <c r="O5" s="1194"/>
      <c r="P5" s="1194"/>
      <c r="Q5" s="1194"/>
      <c r="R5" s="1194"/>
      <c r="S5" s="1194"/>
      <c r="T5" s="1194"/>
      <c r="U5" s="1194"/>
      <c r="V5" s="1194"/>
      <c r="W5" s="1194"/>
      <c r="X5" s="1194"/>
      <c r="Y5" s="1194"/>
      <c r="Z5" s="1194"/>
      <c r="AA5" s="1194"/>
      <c r="AB5" s="1194"/>
      <c r="AC5" s="1194"/>
      <c r="AD5" s="1194"/>
      <c r="AE5" s="1194"/>
      <c r="AF5" s="1194"/>
      <c r="AG5" s="1194"/>
      <c r="AH5" s="1194"/>
      <c r="AI5" s="1194"/>
      <c r="AJ5" s="1194"/>
      <c r="AK5" s="1194"/>
      <c r="AL5" s="1194"/>
      <c r="AM5" s="1194"/>
      <c r="AN5" s="1194"/>
      <c r="AO5" s="1194"/>
      <c r="AP5" s="1194"/>
      <c r="AQ5" s="1194"/>
      <c r="AR5" s="1194"/>
      <c r="AS5" s="1195"/>
    </row>
    <row r="6" spans="1:52" s="439" customFormat="1" ht="14.1" customHeight="1">
      <c r="A6" s="1265"/>
      <c r="B6" s="1256"/>
      <c r="C6" s="1257"/>
      <c r="D6" s="1257"/>
      <c r="E6" s="1258"/>
      <c r="F6" s="1207" t="s">
        <v>588</v>
      </c>
      <c r="G6" s="1208"/>
      <c r="H6" s="1208"/>
      <c r="I6" s="1209"/>
      <c r="J6" s="1210"/>
      <c r="K6" s="1210"/>
      <c r="L6" s="1210"/>
      <c r="M6" s="1210"/>
      <c r="N6" s="1210"/>
      <c r="O6" s="1210"/>
      <c r="P6" s="1210"/>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1"/>
      <c r="AU6" s="699" t="s">
        <v>779</v>
      </c>
    </row>
    <row r="7" spans="1:52" s="439" customFormat="1" ht="14.1" customHeight="1">
      <c r="A7" s="1265"/>
      <c r="B7" s="1256"/>
      <c r="C7" s="1257"/>
      <c r="D7" s="1257"/>
      <c r="E7" s="1258"/>
      <c r="F7" s="1207" t="s">
        <v>589</v>
      </c>
      <c r="G7" s="1208"/>
      <c r="H7" s="1208"/>
      <c r="I7" s="1209"/>
      <c r="J7" s="1210"/>
      <c r="K7" s="1210"/>
      <c r="L7" s="1210"/>
      <c r="M7" s="1210"/>
      <c r="N7" s="1210"/>
      <c r="O7" s="1210"/>
      <c r="P7" s="1210"/>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1"/>
      <c r="AU7" s="699" t="s">
        <v>780</v>
      </c>
    </row>
    <row r="8" spans="1:52" s="439" customFormat="1" ht="14.1" customHeight="1">
      <c r="A8" s="1265"/>
      <c r="B8" s="1218"/>
      <c r="C8" s="1219"/>
      <c r="D8" s="1219"/>
      <c r="E8" s="1220"/>
      <c r="F8" s="1267" t="s">
        <v>590</v>
      </c>
      <c r="G8" s="1177"/>
      <c r="H8" s="1177"/>
      <c r="I8" s="1178"/>
      <c r="J8" s="1268"/>
      <c r="K8" s="1268"/>
      <c r="L8" s="1268"/>
      <c r="M8" s="1268"/>
      <c r="N8" s="1268"/>
      <c r="O8" s="1268"/>
      <c r="P8" s="1268"/>
      <c r="Q8" s="1268"/>
      <c r="R8" s="1268"/>
      <c r="S8" s="1268"/>
      <c r="T8" s="1268"/>
      <c r="U8" s="1268"/>
      <c r="V8" s="1268"/>
      <c r="W8" s="1268"/>
      <c r="X8" s="1268"/>
      <c r="Y8" s="1268"/>
      <c r="Z8" s="1268"/>
      <c r="AA8" s="1268"/>
      <c r="AB8" s="1268"/>
      <c r="AC8" s="1268"/>
      <c r="AD8" s="1268"/>
      <c r="AE8" s="1268"/>
      <c r="AF8" s="1268"/>
      <c r="AG8" s="1268"/>
      <c r="AH8" s="1268"/>
      <c r="AI8" s="1268"/>
      <c r="AJ8" s="1268"/>
      <c r="AK8" s="1268"/>
      <c r="AL8" s="1268"/>
      <c r="AM8" s="1268"/>
      <c r="AN8" s="1268"/>
      <c r="AO8" s="1268"/>
      <c r="AP8" s="1268"/>
      <c r="AQ8" s="1268"/>
      <c r="AR8" s="1268"/>
      <c r="AS8" s="1269"/>
    </row>
    <row r="9" spans="1:52" s="439" customFormat="1" ht="14.1" customHeight="1">
      <c r="A9" s="1265"/>
      <c r="B9" s="1088" t="s">
        <v>731</v>
      </c>
      <c r="C9" s="1089"/>
      <c r="D9" s="1089"/>
      <c r="E9" s="1090"/>
      <c r="F9" s="1091"/>
      <c r="G9" s="1092"/>
      <c r="H9" s="1092"/>
      <c r="I9" s="1092"/>
      <c r="J9" s="1092"/>
      <c r="K9" s="1092"/>
      <c r="L9" s="1092"/>
      <c r="M9" s="1092"/>
      <c r="N9" s="1092"/>
      <c r="O9" s="1092"/>
      <c r="P9" s="1092"/>
      <c r="Q9" s="1092"/>
      <c r="R9" s="1092"/>
      <c r="S9" s="1092"/>
      <c r="T9" s="1092"/>
      <c r="U9" s="1092"/>
      <c r="V9" s="1092"/>
      <c r="W9" s="1092"/>
      <c r="X9" s="1092"/>
      <c r="Y9" s="1092"/>
      <c r="Z9" s="1092"/>
      <c r="AA9" s="1092"/>
      <c r="AB9" s="1092"/>
      <c r="AC9" s="1092"/>
      <c r="AD9" s="1092"/>
      <c r="AE9" s="1092"/>
      <c r="AF9" s="1092"/>
      <c r="AG9" s="1092"/>
      <c r="AH9" s="1092"/>
      <c r="AI9" s="1092"/>
      <c r="AJ9" s="1092"/>
      <c r="AK9" s="1092"/>
      <c r="AL9" s="1092"/>
      <c r="AM9" s="1092"/>
      <c r="AN9" s="1092"/>
      <c r="AO9" s="1092"/>
      <c r="AP9" s="1092"/>
      <c r="AQ9" s="1092"/>
      <c r="AR9" s="1092"/>
      <c r="AS9" s="1093"/>
      <c r="AZ9" s="479"/>
    </row>
    <row r="10" spans="1:52" s="439" customFormat="1" ht="14.1" customHeight="1">
      <c r="A10" s="1265"/>
      <c r="B10" s="1215" t="s">
        <v>551</v>
      </c>
      <c r="C10" s="1216"/>
      <c r="D10" s="1216"/>
      <c r="E10" s="1217"/>
      <c r="F10" s="1212" t="s">
        <v>591</v>
      </c>
      <c r="G10" s="1213"/>
      <c r="H10" s="1213"/>
      <c r="I10" s="1214"/>
      <c r="J10" s="1270"/>
      <c r="K10" s="1180"/>
      <c r="L10" s="1180"/>
      <c r="M10" s="1180"/>
      <c r="N10" s="1180"/>
      <c r="O10" s="1180"/>
      <c r="P10" s="1180"/>
      <c r="Q10" s="1180"/>
      <c r="R10" s="1180"/>
      <c r="S10" s="1180"/>
      <c r="T10" s="1180"/>
      <c r="U10" s="1180"/>
      <c r="V10" s="1180"/>
      <c r="W10" s="1180"/>
      <c r="X10" s="1180"/>
      <c r="Y10" s="1180"/>
      <c r="Z10" s="1180"/>
      <c r="AA10" s="1180"/>
      <c r="AB10" s="1271"/>
      <c r="AC10" s="1272" t="s">
        <v>592</v>
      </c>
      <c r="AD10" s="1213"/>
      <c r="AE10" s="1213"/>
      <c r="AF10" s="1214"/>
      <c r="AG10" s="1180"/>
      <c r="AH10" s="1180"/>
      <c r="AI10" s="1180"/>
      <c r="AJ10" s="1180"/>
      <c r="AK10" s="1180"/>
      <c r="AL10" s="1180"/>
      <c r="AM10" s="1180"/>
      <c r="AN10" s="1180"/>
      <c r="AO10" s="1180"/>
      <c r="AP10" s="1180"/>
      <c r="AQ10" s="1180"/>
      <c r="AR10" s="1180"/>
      <c r="AS10" s="1181"/>
      <c r="AZ10" s="479"/>
    </row>
    <row r="11" spans="1:52" s="439" customFormat="1" ht="14.1" customHeight="1">
      <c r="A11" s="1265"/>
      <c r="B11" s="1218"/>
      <c r="C11" s="1219"/>
      <c r="D11" s="1219"/>
      <c r="E11" s="1220"/>
      <c r="F11" s="1267" t="s">
        <v>593</v>
      </c>
      <c r="G11" s="1177"/>
      <c r="H11" s="1177"/>
      <c r="I11" s="1178"/>
      <c r="J11" s="1173"/>
      <c r="K11" s="1174"/>
      <c r="L11" s="1174"/>
      <c r="M11" s="1174"/>
      <c r="N11" s="1174"/>
      <c r="O11" s="1174"/>
      <c r="P11" s="1174"/>
      <c r="Q11" s="1174"/>
      <c r="R11" s="1174"/>
      <c r="S11" s="1174"/>
      <c r="T11" s="1174"/>
      <c r="U11" s="1174"/>
      <c r="V11" s="1174"/>
      <c r="W11" s="1174"/>
      <c r="X11" s="1174"/>
      <c r="Y11" s="1174"/>
      <c r="Z11" s="1174"/>
      <c r="AA11" s="1174"/>
      <c r="AB11" s="1175"/>
      <c r="AC11" s="1176" t="s">
        <v>594</v>
      </c>
      <c r="AD11" s="1177"/>
      <c r="AE11" s="1177"/>
      <c r="AF11" s="1178"/>
      <c r="AG11" s="1174"/>
      <c r="AH11" s="1174"/>
      <c r="AI11" s="1174"/>
      <c r="AJ11" s="1174"/>
      <c r="AK11" s="1174"/>
      <c r="AL11" s="1174"/>
      <c r="AM11" s="1174"/>
      <c r="AN11" s="1174"/>
      <c r="AO11" s="1174"/>
      <c r="AP11" s="1174"/>
      <c r="AQ11" s="1174"/>
      <c r="AR11" s="1174"/>
      <c r="AS11" s="1179"/>
    </row>
    <row r="12" spans="1:52" s="439" customFormat="1" ht="14.1" customHeight="1">
      <c r="A12" s="1265"/>
      <c r="B12" s="1215" t="s">
        <v>552</v>
      </c>
      <c r="C12" s="1216"/>
      <c r="D12" s="1216"/>
      <c r="E12" s="1217"/>
      <c r="F12" s="1212" t="s">
        <v>588</v>
      </c>
      <c r="G12" s="1213"/>
      <c r="H12" s="1213"/>
      <c r="I12" s="1214"/>
      <c r="J12" s="1270"/>
      <c r="K12" s="1180"/>
      <c r="L12" s="1180"/>
      <c r="M12" s="1180"/>
      <c r="N12" s="1180"/>
      <c r="O12" s="1180"/>
      <c r="P12" s="1180"/>
      <c r="Q12" s="1180"/>
      <c r="R12" s="1180"/>
      <c r="S12" s="1180"/>
      <c r="T12" s="1180"/>
      <c r="U12" s="1180"/>
      <c r="V12" s="1180"/>
      <c r="W12" s="1180"/>
      <c r="X12" s="1180"/>
      <c r="Y12" s="1180"/>
      <c r="Z12" s="1180"/>
      <c r="AA12" s="1180"/>
      <c r="AB12" s="1271"/>
      <c r="AC12" s="1272" t="s">
        <v>592</v>
      </c>
      <c r="AD12" s="1213"/>
      <c r="AE12" s="1213"/>
      <c r="AF12" s="1214"/>
      <c r="AG12" s="1180"/>
      <c r="AH12" s="1180"/>
      <c r="AI12" s="1180"/>
      <c r="AJ12" s="1180"/>
      <c r="AK12" s="1180"/>
      <c r="AL12" s="1180"/>
      <c r="AM12" s="1180"/>
      <c r="AN12" s="1180"/>
      <c r="AO12" s="1180"/>
      <c r="AP12" s="1180"/>
      <c r="AQ12" s="1180"/>
      <c r="AR12" s="1180"/>
      <c r="AS12" s="1181"/>
    </row>
    <row r="13" spans="1:52" s="439" customFormat="1" ht="14.1" customHeight="1">
      <c r="A13" s="1265"/>
      <c r="B13" s="1253"/>
      <c r="C13" s="1254"/>
      <c r="D13" s="1254"/>
      <c r="E13" s="1255"/>
      <c r="F13" s="1267" t="s">
        <v>593</v>
      </c>
      <c r="G13" s="1177"/>
      <c r="H13" s="1177"/>
      <c r="I13" s="1178"/>
      <c r="J13" s="1173"/>
      <c r="K13" s="1174"/>
      <c r="L13" s="1174"/>
      <c r="M13" s="1174"/>
      <c r="N13" s="1174"/>
      <c r="O13" s="1174"/>
      <c r="P13" s="1174"/>
      <c r="Q13" s="1174"/>
      <c r="R13" s="1174"/>
      <c r="S13" s="1174"/>
      <c r="T13" s="1174"/>
      <c r="U13" s="1174"/>
      <c r="V13" s="1174"/>
      <c r="W13" s="1174"/>
      <c r="X13" s="1174"/>
      <c r="Y13" s="1174"/>
      <c r="Z13" s="1174"/>
      <c r="AA13" s="1174"/>
      <c r="AB13" s="1175"/>
      <c r="AC13" s="1176" t="s">
        <v>594</v>
      </c>
      <c r="AD13" s="1177"/>
      <c r="AE13" s="1177"/>
      <c r="AF13" s="1178"/>
      <c r="AG13" s="1174"/>
      <c r="AH13" s="1174"/>
      <c r="AI13" s="1174"/>
      <c r="AJ13" s="1174"/>
      <c r="AK13" s="1174"/>
      <c r="AL13" s="1174"/>
      <c r="AM13" s="1174"/>
      <c r="AN13" s="1174"/>
      <c r="AO13" s="1174"/>
      <c r="AP13" s="1174"/>
      <c r="AQ13" s="1174"/>
      <c r="AR13" s="1174"/>
      <c r="AS13" s="1179"/>
    </row>
    <row r="14" spans="1:52" s="439" customFormat="1" ht="23.25" customHeight="1">
      <c r="A14" s="1266"/>
      <c r="B14" s="1261" t="s">
        <v>785</v>
      </c>
      <c r="C14" s="1262"/>
      <c r="D14" s="1262"/>
      <c r="E14" s="1263"/>
      <c r="F14" s="1307"/>
      <c r="G14" s="1308"/>
      <c r="H14" s="1308"/>
      <c r="I14" s="1308"/>
      <c r="J14" s="1308"/>
      <c r="K14" s="1308"/>
      <c r="L14" s="1308"/>
      <c r="M14" s="1308"/>
      <c r="N14" s="1308"/>
      <c r="O14" s="1308"/>
      <c r="P14" s="1308"/>
      <c r="Q14" s="1308"/>
      <c r="R14" s="1308"/>
      <c r="S14" s="1308"/>
      <c r="T14" s="1308"/>
      <c r="U14" s="1308"/>
      <c r="V14" s="1308"/>
      <c r="W14" s="1308"/>
      <c r="X14" s="1308"/>
      <c r="Y14" s="1308"/>
      <c r="Z14" s="1308"/>
      <c r="AA14" s="1308"/>
      <c r="AB14" s="1308"/>
      <c r="AC14" s="1308"/>
      <c r="AD14" s="1308"/>
      <c r="AE14" s="1308"/>
      <c r="AF14" s="1308"/>
      <c r="AG14" s="1308"/>
      <c r="AH14" s="1308"/>
      <c r="AI14" s="1308"/>
      <c r="AJ14" s="1308"/>
      <c r="AK14" s="1308"/>
      <c r="AL14" s="1308"/>
      <c r="AM14" s="1308"/>
      <c r="AN14" s="1308"/>
      <c r="AO14" s="1308"/>
      <c r="AP14" s="1308"/>
      <c r="AQ14" s="1308"/>
      <c r="AR14" s="1308"/>
      <c r="AS14" s="1309"/>
      <c r="AU14" s="699" t="s">
        <v>784</v>
      </c>
    </row>
    <row r="15" spans="1:52" s="439" customFormat="1" ht="14.1" customHeight="1">
      <c r="A15" s="1088" t="s">
        <v>595</v>
      </c>
      <c r="B15" s="1259"/>
      <c r="C15" s="1259"/>
      <c r="D15" s="1259"/>
      <c r="E15" s="1260"/>
      <c r="F15" s="1245"/>
      <c r="G15" s="1243"/>
      <c r="H15" s="1243"/>
      <c r="I15" s="1243"/>
      <c r="J15" s="1243"/>
      <c r="K15" s="1243"/>
      <c r="L15" s="1243"/>
      <c r="M15" s="1243"/>
      <c r="N15" s="1243"/>
      <c r="O15" s="1243"/>
      <c r="P15" s="1243"/>
      <c r="Q15" s="1243"/>
      <c r="R15" s="1243"/>
      <c r="S15" s="1244"/>
      <c r="T15" s="1088" t="s">
        <v>596</v>
      </c>
      <c r="U15" s="1089"/>
      <c r="V15" s="1089"/>
      <c r="W15" s="1089"/>
      <c r="X15" s="1089"/>
      <c r="Y15" s="1089"/>
      <c r="Z15" s="1241"/>
      <c r="AA15" s="1242"/>
      <c r="AB15" s="1243"/>
      <c r="AC15" s="1243"/>
      <c r="AD15" s="1243"/>
      <c r="AE15" s="1243"/>
      <c r="AF15" s="1243"/>
      <c r="AG15" s="1243"/>
      <c r="AH15" s="1243"/>
      <c r="AI15" s="1243"/>
      <c r="AJ15" s="1243"/>
      <c r="AK15" s="1243"/>
      <c r="AL15" s="1243"/>
      <c r="AM15" s="1243"/>
      <c r="AN15" s="1243"/>
      <c r="AO15" s="1243"/>
      <c r="AP15" s="1243"/>
      <c r="AQ15" s="1243"/>
      <c r="AR15" s="1243"/>
      <c r="AS15" s="1244"/>
    </row>
    <row r="16" spans="1:52" s="438" customFormat="1" ht="14.1" customHeight="1">
      <c r="A16" s="1215" t="s">
        <v>553</v>
      </c>
      <c r="B16" s="1216"/>
      <c r="C16" s="1216"/>
      <c r="D16" s="1216"/>
      <c r="E16" s="1217"/>
      <c r="F16" s="1227"/>
      <c r="G16" s="1098"/>
      <c r="H16" s="756" t="str">
        <f>IF(F16="","","～")</f>
        <v/>
      </c>
      <c r="I16" s="1099"/>
      <c r="J16" s="1100"/>
      <c r="K16" s="1098"/>
      <c r="L16" s="1098"/>
      <c r="M16" s="756" t="str">
        <f>IF(K16="","","～")</f>
        <v/>
      </c>
      <c r="N16" s="1099"/>
      <c r="O16" s="1100"/>
      <c r="P16" s="1098"/>
      <c r="Q16" s="1098"/>
      <c r="R16" s="756" t="str">
        <f>IF(P16="","","～")</f>
        <v/>
      </c>
      <c r="S16" s="1099"/>
      <c r="T16" s="1100"/>
      <c r="U16" s="1098"/>
      <c r="V16" s="1098"/>
      <c r="W16" s="756" t="str">
        <f>IF(U16="","","～")</f>
        <v/>
      </c>
      <c r="X16" s="1099"/>
      <c r="Y16" s="1100"/>
      <c r="Z16" s="1098"/>
      <c r="AA16" s="1098"/>
      <c r="AB16" s="756" t="str">
        <f>IF(Z16="","","～")</f>
        <v/>
      </c>
      <c r="AC16" s="1099"/>
      <c r="AD16" s="1100"/>
      <c r="AE16" s="1098"/>
      <c r="AF16" s="1098"/>
      <c r="AG16" s="756" t="str">
        <f>IF(AE16="","","～")</f>
        <v/>
      </c>
      <c r="AH16" s="1099"/>
      <c r="AI16" s="1100"/>
      <c r="AJ16" s="1098"/>
      <c r="AK16" s="1098"/>
      <c r="AL16" s="756" t="str">
        <f>IF(AJ16="","","～")</f>
        <v/>
      </c>
      <c r="AM16" s="1099"/>
      <c r="AN16" s="1100"/>
      <c r="AO16" s="1098"/>
      <c r="AP16" s="1098"/>
      <c r="AQ16" s="756" t="str">
        <f>IF(AO16="","","～")</f>
        <v/>
      </c>
      <c r="AR16" s="1099"/>
      <c r="AS16" s="1186"/>
    </row>
    <row r="17" spans="1:47" s="438" customFormat="1" ht="14.1" customHeight="1">
      <c r="A17" s="1256"/>
      <c r="B17" s="1257"/>
      <c r="C17" s="1257"/>
      <c r="D17" s="1257"/>
      <c r="E17" s="1258"/>
      <c r="F17" s="1224"/>
      <c r="G17" s="1101"/>
      <c r="H17" s="757" t="str">
        <f>IF(F17="","","～")</f>
        <v/>
      </c>
      <c r="I17" s="1102"/>
      <c r="J17" s="1103"/>
      <c r="K17" s="1101"/>
      <c r="L17" s="1101"/>
      <c r="M17" s="757" t="str">
        <f>IF(K17="","","～")</f>
        <v/>
      </c>
      <c r="N17" s="1102"/>
      <c r="O17" s="1103"/>
      <c r="P17" s="1101"/>
      <c r="Q17" s="1101"/>
      <c r="R17" s="757" t="str">
        <f>IF(P17="","","～")</f>
        <v/>
      </c>
      <c r="S17" s="1102"/>
      <c r="T17" s="1103"/>
      <c r="U17" s="1101"/>
      <c r="V17" s="1101"/>
      <c r="W17" s="757" t="str">
        <f>IF(U17="","","～")</f>
        <v/>
      </c>
      <c r="X17" s="1102"/>
      <c r="Y17" s="1103"/>
      <c r="Z17" s="1101"/>
      <c r="AA17" s="1101"/>
      <c r="AB17" s="757" t="str">
        <f>IF(Z17="","","～")</f>
        <v/>
      </c>
      <c r="AC17" s="1102"/>
      <c r="AD17" s="1103"/>
      <c r="AE17" s="1101"/>
      <c r="AF17" s="1101"/>
      <c r="AG17" s="757" t="str">
        <f>IF(AE17="","","～")</f>
        <v/>
      </c>
      <c r="AH17" s="1102"/>
      <c r="AI17" s="1103"/>
      <c r="AJ17" s="1101"/>
      <c r="AK17" s="1101"/>
      <c r="AL17" s="757" t="str">
        <f>IF(AJ17="","","～")</f>
        <v/>
      </c>
      <c r="AM17" s="1102"/>
      <c r="AN17" s="1103"/>
      <c r="AO17" s="1101"/>
      <c r="AP17" s="1101"/>
      <c r="AQ17" s="757"/>
      <c r="AR17" s="1102"/>
      <c r="AS17" s="1187"/>
    </row>
    <row r="18" spans="1:47" s="438" customFormat="1" ht="14.1" customHeight="1">
      <c r="A18" s="1215" t="s">
        <v>597</v>
      </c>
      <c r="B18" s="1216"/>
      <c r="C18" s="1216"/>
      <c r="D18" s="1216"/>
      <c r="E18" s="1217"/>
      <c r="F18" s="1227"/>
      <c r="G18" s="1098"/>
      <c r="H18" s="756" t="str">
        <f>IF(F18="","","～")</f>
        <v/>
      </c>
      <c r="I18" s="1099"/>
      <c r="J18" s="1100"/>
      <c r="K18" s="1098"/>
      <c r="L18" s="1098"/>
      <c r="M18" s="756" t="str">
        <f>IF(K18="","","～")</f>
        <v/>
      </c>
      <c r="N18" s="1099"/>
      <c r="O18" s="1100"/>
      <c r="P18" s="1098"/>
      <c r="Q18" s="1098"/>
      <c r="R18" s="756" t="str">
        <f>IF(P18="","","～")</f>
        <v/>
      </c>
      <c r="S18" s="1099"/>
      <c r="T18" s="1100"/>
      <c r="U18" s="1098"/>
      <c r="V18" s="1098"/>
      <c r="W18" s="756" t="str">
        <f>IF(U18="","","～")</f>
        <v/>
      </c>
      <c r="X18" s="1099"/>
      <c r="Y18" s="1100"/>
      <c r="Z18" s="1098"/>
      <c r="AA18" s="1098"/>
      <c r="AB18" s="756" t="str">
        <f>IF(Z18="","","～")</f>
        <v/>
      </c>
      <c r="AC18" s="1099"/>
      <c r="AD18" s="1100"/>
      <c r="AE18" s="1098"/>
      <c r="AF18" s="1098"/>
      <c r="AG18" s="756" t="str">
        <f>IF(AE18="","","～")</f>
        <v/>
      </c>
      <c r="AH18" s="1099"/>
      <c r="AI18" s="1100"/>
      <c r="AJ18" s="1098"/>
      <c r="AK18" s="1098"/>
      <c r="AL18" s="756" t="str">
        <f>IF(AJ18="","","～")</f>
        <v/>
      </c>
      <c r="AM18" s="1099"/>
      <c r="AN18" s="1100"/>
      <c r="AO18" s="1098"/>
      <c r="AP18" s="1098"/>
      <c r="AQ18" s="756" t="str">
        <f>IF(AO18="","","～")</f>
        <v/>
      </c>
      <c r="AR18" s="1099"/>
      <c r="AS18" s="1186"/>
    </row>
    <row r="19" spans="1:47" s="438" customFormat="1" ht="14.1" customHeight="1">
      <c r="A19" s="1218"/>
      <c r="B19" s="1219"/>
      <c r="C19" s="1219"/>
      <c r="D19" s="1219"/>
      <c r="E19" s="1220"/>
      <c r="F19" s="1224"/>
      <c r="G19" s="1101"/>
      <c r="H19" s="757" t="str">
        <f>IF(F19="","","～")</f>
        <v/>
      </c>
      <c r="I19" s="1102"/>
      <c r="J19" s="1103"/>
      <c r="K19" s="1101"/>
      <c r="L19" s="1101"/>
      <c r="M19" s="757" t="str">
        <f>IF(K19="","","～")</f>
        <v/>
      </c>
      <c r="N19" s="1102"/>
      <c r="O19" s="1103"/>
      <c r="P19" s="1101"/>
      <c r="Q19" s="1101"/>
      <c r="R19" s="757" t="str">
        <f>IF(P19="","","～")</f>
        <v/>
      </c>
      <c r="S19" s="1102"/>
      <c r="T19" s="1103"/>
      <c r="U19" s="1101"/>
      <c r="V19" s="1101"/>
      <c r="W19" s="757" t="str">
        <f>IF(U19="","","～")</f>
        <v/>
      </c>
      <c r="X19" s="1102"/>
      <c r="Y19" s="1103"/>
      <c r="Z19" s="1101"/>
      <c r="AA19" s="1101"/>
      <c r="AB19" s="757" t="str">
        <f>IF(Z19="","","～")</f>
        <v/>
      </c>
      <c r="AC19" s="1102"/>
      <c r="AD19" s="1103"/>
      <c r="AE19" s="1101"/>
      <c r="AF19" s="1101"/>
      <c r="AG19" s="757" t="str">
        <f>IF(AE19="","","～")</f>
        <v/>
      </c>
      <c r="AH19" s="1102"/>
      <c r="AI19" s="1103"/>
      <c r="AJ19" s="1101"/>
      <c r="AK19" s="1101"/>
      <c r="AL19" s="757" t="str">
        <f>IF(AJ19="","","～")</f>
        <v/>
      </c>
      <c r="AM19" s="1102"/>
      <c r="AN19" s="1103"/>
      <c r="AO19" s="1101"/>
      <c r="AP19" s="1101"/>
      <c r="AQ19" s="757"/>
      <c r="AR19" s="1102"/>
      <c r="AS19" s="1187"/>
    </row>
    <row r="20" spans="1:47" s="438" customFormat="1" ht="4.5" customHeight="1">
      <c r="A20" s="441"/>
      <c r="B20" s="441"/>
      <c r="C20" s="441"/>
      <c r="D20" s="441"/>
      <c r="E20" s="441"/>
      <c r="F20" s="441"/>
      <c r="G20" s="441"/>
      <c r="H20" s="441"/>
      <c r="I20" s="441"/>
      <c r="J20" s="441"/>
      <c r="K20" s="441"/>
      <c r="L20" s="441"/>
      <c r="M20" s="441"/>
      <c r="N20" s="441"/>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row>
    <row r="21" spans="1:47" s="438" customFormat="1" ht="24" customHeight="1">
      <c r="A21" s="475" t="s">
        <v>554</v>
      </c>
      <c r="B21" s="476" t="s">
        <v>555</v>
      </c>
      <c r="C21" s="1182" t="s">
        <v>556</v>
      </c>
      <c r="D21" s="1183"/>
      <c r="E21" s="1183"/>
      <c r="F21" s="1183"/>
      <c r="G21" s="1183"/>
      <c r="H21" s="1183"/>
      <c r="I21" s="1183"/>
      <c r="J21" s="1184"/>
      <c r="K21" s="1226" t="s">
        <v>566</v>
      </c>
      <c r="L21" s="1223"/>
      <c r="M21" s="1223"/>
      <c r="N21" s="1223" t="s">
        <v>567</v>
      </c>
      <c r="O21" s="1223"/>
      <c r="P21" s="1225"/>
      <c r="Q21" s="1182" t="s">
        <v>568</v>
      </c>
      <c r="R21" s="1183"/>
      <c r="S21" s="1184"/>
      <c r="T21" s="1222" t="s">
        <v>602</v>
      </c>
      <c r="U21" s="1223"/>
      <c r="V21" s="1223"/>
      <c r="W21" s="1223" t="s">
        <v>598</v>
      </c>
      <c r="X21" s="1223"/>
      <c r="Y21" s="1225"/>
      <c r="Z21" s="1299" t="str">
        <f>IF(ISBLANK(入力シート!Q12),"",入力シート!Q12)</f>
        <v>3521-05434</v>
      </c>
      <c r="AA21" s="1221"/>
      <c r="AB21" s="1221"/>
      <c r="AC21" s="1185" t="str">
        <f>IF(ISBLANK(入力シート!R12),"",入力シート!R12)</f>
        <v/>
      </c>
      <c r="AD21" s="1221"/>
      <c r="AE21" s="1221"/>
      <c r="AF21" s="1185" t="str">
        <f>IF(ISBLANK(入力シート!S12),"",入力シート!S12)</f>
        <v/>
      </c>
      <c r="AG21" s="1185"/>
      <c r="AH21" s="1185"/>
      <c r="AI21" s="1185" t="str">
        <f>IF(ISBLANK(入力シート!T12),"",入力シート!T12)</f>
        <v/>
      </c>
      <c r="AJ21" s="1185"/>
      <c r="AK21" s="1185"/>
      <c r="AL21" s="1185" t="str">
        <f>IF(ISBLANK(入力シート!U12),"",入力シート!U12)</f>
        <v/>
      </c>
      <c r="AM21" s="1185"/>
      <c r="AN21" s="1298"/>
      <c r="AO21" s="1182" t="s">
        <v>557</v>
      </c>
      <c r="AP21" s="1183"/>
      <c r="AQ21" s="1183"/>
      <c r="AR21" s="1183"/>
      <c r="AS21" s="1184"/>
    </row>
    <row r="22" spans="1:47" s="438" customFormat="1" ht="18" customHeight="1">
      <c r="A22" s="697">
        <f>入力シート!C13:C13</f>
        <v>44197</v>
      </c>
      <c r="B22" s="478">
        <f>A22</f>
        <v>44197</v>
      </c>
      <c r="C22" s="1306" t="str">
        <f>IF(ISBLANK(入力シート!F13),IF(ISBLANK(入力シート!G13),"",入力シート!G13),入力シート!F13&amp;入力シート!G13)</f>
        <v/>
      </c>
      <c r="D22" s="1306"/>
      <c r="E22" s="1306"/>
      <c r="F22" s="1306"/>
      <c r="G22" s="1306"/>
      <c r="H22" s="1306"/>
      <c r="I22" s="1306"/>
      <c r="J22" s="1306"/>
      <c r="K22" s="1278" t="str">
        <f>IF(ISBLANK(入力シート!D13),"",入力シート!D13)</f>
        <v/>
      </c>
      <c r="L22" s="1168"/>
      <c r="M22" s="1168"/>
      <c r="N22" s="1168" t="str">
        <f>IF(ISBLANK(入力シート!E13),"",入力シート!E13)</f>
        <v/>
      </c>
      <c r="O22" s="1168"/>
      <c r="P22" s="1169"/>
      <c r="Q22" s="1300" t="str">
        <f t="shared" ref="Q22:Q52" si="0">IF(ISERROR(N22-K22-SUM(Z22:AL22)),"",IF(N22-K22-SUM(Z22:AL22)&lt;0,N22+時間２４-K22-SUM(Z22:AL22),N22-K22-SUM(Z22:AL22)))</f>
        <v/>
      </c>
      <c r="R22" s="1300"/>
      <c r="S22" s="1300"/>
      <c r="T22" s="1156" t="str">
        <f>IF(LEFT(C22,2)="休出",入力シート!N13,IF(LEFT(C22,3)="法休出","",IF((TIME(HOUR(SUM(Z22:AN22)),MINUTE(SUM(Z22:AN22)),0)-TIME(8,0,0))*1440&lt;0,"",(TIME(HOUR(SUM(Z22:AN22)),MINUTE(SUM(Z22:AN22)),0)-TIME(8,0,0))*1440)))</f>
        <v/>
      </c>
      <c r="U22" s="1157"/>
      <c r="V22" s="1157"/>
      <c r="W22" s="1304" t="str">
        <f>IF(入力シート!O13="","",入力シート!O13)</f>
        <v/>
      </c>
      <c r="X22" s="1304"/>
      <c r="Y22" s="1305"/>
      <c r="Z22" s="1302" t="str">
        <f>IF(ISERROR(TIME(HOUR(入力シート!Q13),MINUTE(入力シート!Q13),0)),"",TIME(HOUR(入力シート!Q13),MINUTE(入力シート!Q13),0))</f>
        <v/>
      </c>
      <c r="AA22" s="1303"/>
      <c r="AB22" s="1303"/>
      <c r="AC22" s="1170" t="str">
        <f>IF(ISERROR(TIME(HOUR(入力シート!R13),MINUTE(入力シート!R13),0)),"",TIME(HOUR(入力シート!R13),MINUTE(入力シート!R13),0))</f>
        <v/>
      </c>
      <c r="AD22" s="1303"/>
      <c r="AE22" s="1303"/>
      <c r="AF22" s="1170" t="str">
        <f>IF(ISERROR(TIME(HOUR(入力シート!S13),MINUTE(入力シート!S13),0)),"",TIME(HOUR(入力シート!S13),MINUTE(入力シート!S13),0))</f>
        <v/>
      </c>
      <c r="AG22" s="1170"/>
      <c r="AH22" s="1170"/>
      <c r="AI22" s="1170" t="str">
        <f>IF(ISERROR(TIME(HOUR(入力シート!T13),MINUTE(入力シート!T13),0)),"",TIME(HOUR(入力シート!T13),MINUTE(入力シート!T13),0))</f>
        <v/>
      </c>
      <c r="AJ22" s="1170"/>
      <c r="AK22" s="1170"/>
      <c r="AL22" s="1170" t="str">
        <f>IF(ISERROR(TIME(HOUR(入力シート!U13),MINUTE(入力シート!U13),0)),"",TIME(HOUR(入力シート!U13),MINUTE(入力シート!U13),0))</f>
        <v/>
      </c>
      <c r="AM22" s="1170"/>
      <c r="AN22" s="1301"/>
      <c r="AO22" s="1167"/>
      <c r="AP22" s="1167"/>
      <c r="AQ22" s="1167"/>
      <c r="AR22" s="1167"/>
      <c r="AS22" s="1167"/>
      <c r="AU22" s="481" t="str">
        <f t="shared" ref="AU22:AU52" si="1">IF(OR(AND(Z22&gt;TIMEVALUE("6:00"),Q22&lt;=TIMEVALUE("0:44")),AND(Z22&gt;TIMEVALUE("8:00"),Q22&lt;=TIMEVALUE("0:59")),AND(Z22&gt;TIMEVALUE("6:00"),Q22=時間２４)),"休憩時間不足です。★注意★をご確認ください。","")</f>
        <v/>
      </c>
    </row>
    <row r="23" spans="1:47" s="438" customFormat="1" ht="18" customHeight="1">
      <c r="A23" s="697">
        <f>入力シート!C14:C14</f>
        <v>44198</v>
      </c>
      <c r="B23" s="478">
        <f t="shared" ref="B23:B52" si="2">A23</f>
        <v>44198</v>
      </c>
      <c r="C23" s="1246" t="str">
        <f>IF(ISBLANK(入力シート!F14),IF(ISBLANK(入力シート!G14),"",入力シート!G14),入力シート!F14&amp;入力シート!G14)</f>
        <v/>
      </c>
      <c r="D23" s="1246"/>
      <c r="E23" s="1246"/>
      <c r="F23" s="1246"/>
      <c r="G23" s="1246"/>
      <c r="H23" s="1246"/>
      <c r="I23" s="1246"/>
      <c r="J23" s="1246"/>
      <c r="K23" s="1171" t="str">
        <f>IF(ISBLANK(入力シート!D14),"",入力シート!D14)</f>
        <v/>
      </c>
      <c r="L23" s="1104"/>
      <c r="M23" s="1104"/>
      <c r="N23" s="1104" t="str">
        <f>IF(ISBLANK(入力シート!E14),"",入力シート!E14)</f>
        <v/>
      </c>
      <c r="O23" s="1104"/>
      <c r="P23" s="1105"/>
      <c r="Q23" s="1153" t="str">
        <f t="shared" si="0"/>
        <v/>
      </c>
      <c r="R23" s="1154"/>
      <c r="S23" s="1155"/>
      <c r="T23" s="1156" t="str">
        <f>IF(LEFT(C23,2)="休出",入力シート!N14,IF(LEFT(C23,3)="法休出","",IF((TIME(HOUR(SUM(Z23:AN23)),MINUTE(SUM(Z23:AN23)),0)-TIME(8,0,0))*1440&lt;0,"",(TIME(HOUR(SUM(Z23:AN23)),MINUTE(SUM(Z23:AN23)),0)-TIME(8,0,0))*1440)))</f>
        <v/>
      </c>
      <c r="U23" s="1157"/>
      <c r="V23" s="1157"/>
      <c r="W23" s="1163" t="str">
        <f>IF(入力シート!O14="","",入力シート!O14)</f>
        <v/>
      </c>
      <c r="X23" s="1163"/>
      <c r="Y23" s="1164"/>
      <c r="Z23" s="1171" t="str">
        <f>IF(ISERROR(TIME(HOUR(入力シート!Q14),MINUTE(入力シート!Q14),0)),"",TIME(HOUR(入力シート!Q14),MINUTE(入力シート!Q14),0))</f>
        <v/>
      </c>
      <c r="AA23" s="1172"/>
      <c r="AB23" s="1172"/>
      <c r="AC23" s="1104" t="str">
        <f>IF(ISERROR(TIME(HOUR(入力シート!R14),MINUTE(入力シート!R14),0)),"",TIME(HOUR(入力シート!R14),MINUTE(入力シート!R14),0))</f>
        <v/>
      </c>
      <c r="AD23" s="1172"/>
      <c r="AE23" s="1172"/>
      <c r="AF23" s="1104" t="str">
        <f>IF(ISERROR(TIME(HOUR(入力シート!S14),MINUTE(入力シート!S14),0)),"",TIME(HOUR(入力シート!S14),MINUTE(入力シート!S14),0))</f>
        <v/>
      </c>
      <c r="AG23" s="1104"/>
      <c r="AH23" s="1104"/>
      <c r="AI23" s="1104" t="str">
        <f>IF(ISERROR(TIME(HOUR(入力シート!T14),MINUTE(入力シート!T14),0)),"",TIME(HOUR(入力シート!T14),MINUTE(入力シート!T14),0))</f>
        <v/>
      </c>
      <c r="AJ23" s="1104"/>
      <c r="AK23" s="1104"/>
      <c r="AL23" s="1104" t="str">
        <f>IF(ISERROR(TIME(HOUR(入力シート!U14),MINUTE(入力シート!U14),0)),"",TIME(HOUR(入力シート!U14),MINUTE(入力シート!U14),0))</f>
        <v/>
      </c>
      <c r="AM23" s="1104"/>
      <c r="AN23" s="1105"/>
      <c r="AO23" s="1137"/>
      <c r="AP23" s="1137"/>
      <c r="AQ23" s="1137"/>
      <c r="AR23" s="1137"/>
      <c r="AS23" s="1137"/>
      <c r="AU23" s="481" t="str">
        <f t="shared" si="1"/>
        <v/>
      </c>
    </row>
    <row r="24" spans="1:47" s="438" customFormat="1" ht="18" customHeight="1">
      <c r="A24" s="697">
        <f>入力シート!C15:C15</f>
        <v>44199</v>
      </c>
      <c r="B24" s="478">
        <f t="shared" si="2"/>
        <v>44199</v>
      </c>
      <c r="C24" s="1246" t="str">
        <f>IF(ISBLANK(入力シート!F15),IF(ISBLANK(入力シート!G15),"",入力シート!G15),入力シート!F15&amp;入力シート!G15)</f>
        <v/>
      </c>
      <c r="D24" s="1246"/>
      <c r="E24" s="1246"/>
      <c r="F24" s="1246"/>
      <c r="G24" s="1246"/>
      <c r="H24" s="1246"/>
      <c r="I24" s="1246"/>
      <c r="J24" s="1246"/>
      <c r="K24" s="1171" t="str">
        <f>IF(ISBLANK(入力シート!D15),"",入力シート!D15)</f>
        <v/>
      </c>
      <c r="L24" s="1104"/>
      <c r="M24" s="1104"/>
      <c r="N24" s="1104" t="str">
        <f>IF(ISBLANK(入力シート!E15),"",入力シート!E15)</f>
        <v/>
      </c>
      <c r="O24" s="1104"/>
      <c r="P24" s="1105"/>
      <c r="Q24" s="1153" t="str">
        <f t="shared" si="0"/>
        <v/>
      </c>
      <c r="R24" s="1154"/>
      <c r="S24" s="1155"/>
      <c r="T24" s="1156" t="str">
        <f>IF(LEFT(C24,2)="休出",入力シート!N15,IF(LEFT(C24,3)="法休出","",IF((TIME(HOUR(SUM(Z24:AN24)),MINUTE(SUM(Z24:AN24)),0)-TIME(8,0,0))*1440&lt;0,"",(TIME(HOUR(SUM(Z24:AN24)),MINUTE(SUM(Z24:AN24)),0)-TIME(8,0,0))*1440)))</f>
        <v/>
      </c>
      <c r="U24" s="1157"/>
      <c r="V24" s="1157"/>
      <c r="W24" s="1163" t="str">
        <f>IF(入力シート!O15="","",入力シート!O15)</f>
        <v/>
      </c>
      <c r="X24" s="1163"/>
      <c r="Y24" s="1164"/>
      <c r="Z24" s="1171" t="str">
        <f>IF(ISERROR(TIME(HOUR(入力シート!Q15),MINUTE(入力シート!Q15),0)),"",TIME(HOUR(入力シート!Q15),MINUTE(入力シート!Q15),0))</f>
        <v/>
      </c>
      <c r="AA24" s="1172"/>
      <c r="AB24" s="1172"/>
      <c r="AC24" s="1104" t="str">
        <f>IF(ISERROR(TIME(HOUR(入力シート!R15),MINUTE(入力シート!R15),0)),"",TIME(HOUR(入力シート!R15),MINUTE(入力シート!R15),0))</f>
        <v/>
      </c>
      <c r="AD24" s="1172"/>
      <c r="AE24" s="1172"/>
      <c r="AF24" s="1104" t="str">
        <f>IF(ISERROR(TIME(HOUR(入力シート!S15),MINUTE(入力シート!S15),0)),"",TIME(HOUR(入力シート!S15),MINUTE(入力シート!S15),0))</f>
        <v/>
      </c>
      <c r="AG24" s="1104"/>
      <c r="AH24" s="1104"/>
      <c r="AI24" s="1104" t="str">
        <f>IF(ISERROR(TIME(HOUR(入力シート!T15),MINUTE(入力シート!T15),0)),"",TIME(HOUR(入力シート!T15),MINUTE(入力シート!T15),0))</f>
        <v/>
      </c>
      <c r="AJ24" s="1104"/>
      <c r="AK24" s="1104"/>
      <c r="AL24" s="1104" t="str">
        <f>IF(ISERROR(TIME(HOUR(入力シート!U15),MINUTE(入力シート!U15),0)),"",TIME(HOUR(入力シート!U15),MINUTE(入力シート!U15),0))</f>
        <v/>
      </c>
      <c r="AM24" s="1104"/>
      <c r="AN24" s="1105"/>
      <c r="AO24" s="1137"/>
      <c r="AP24" s="1137"/>
      <c r="AQ24" s="1137"/>
      <c r="AR24" s="1137"/>
      <c r="AS24" s="1137"/>
      <c r="AU24" s="481" t="str">
        <f t="shared" si="1"/>
        <v/>
      </c>
    </row>
    <row r="25" spans="1:47" s="438" customFormat="1" ht="18" customHeight="1">
      <c r="A25" s="697">
        <f>入力シート!C16:C16</f>
        <v>44200</v>
      </c>
      <c r="B25" s="478">
        <f t="shared" si="2"/>
        <v>44200</v>
      </c>
      <c r="C25" s="1246" t="str">
        <f>IF(ISBLANK(入力シート!F16),IF(ISBLANK(入力シート!G16),"",入力シート!G16),入力シート!F16&amp;入力シート!G16)</f>
        <v>休出</v>
      </c>
      <c r="D25" s="1246"/>
      <c r="E25" s="1246"/>
      <c r="F25" s="1246"/>
      <c r="G25" s="1246"/>
      <c r="H25" s="1246"/>
      <c r="I25" s="1246"/>
      <c r="J25" s="1246"/>
      <c r="K25" s="1171" t="str">
        <f>IF(ISBLANK(入力シート!D16),"",入力シート!D16)</f>
        <v>9:30</v>
      </c>
      <c r="L25" s="1104"/>
      <c r="M25" s="1104"/>
      <c r="N25" s="1104" t="str">
        <f>IF(ISBLANK(入力シート!E16),"",入力シート!E16)</f>
        <v>18:15</v>
      </c>
      <c r="O25" s="1104"/>
      <c r="P25" s="1105"/>
      <c r="Q25" s="1153">
        <f t="shared" si="0"/>
        <v>4.166666666666663E-2</v>
      </c>
      <c r="R25" s="1154"/>
      <c r="S25" s="1155"/>
      <c r="T25" s="1156">
        <f>IF(LEFT(C25,2)="休出",入力シート!N16,IF(LEFT(C25,3)="法休出","",IF((TIME(HOUR(SUM(Z25:AN25)),MINUTE(SUM(Z25:AN25)),0)-TIME(8,0,0))*1440&lt;0,"",(TIME(HOUR(SUM(Z25:AN25)),MINUTE(SUM(Z25:AN25)),0)-TIME(8,0,0))*1440)))</f>
        <v>465</v>
      </c>
      <c r="U25" s="1157"/>
      <c r="V25" s="1157"/>
      <c r="W25" s="1163" t="str">
        <f>IF(入力シート!O16="","",入力シート!O16)</f>
        <v/>
      </c>
      <c r="X25" s="1163"/>
      <c r="Y25" s="1164"/>
      <c r="Z25" s="1171">
        <f>IF(ISERROR(TIME(HOUR(入力シート!Q16),MINUTE(入力シート!Q16),0)),"",TIME(HOUR(入力シート!Q16),MINUTE(入力シート!Q16),0))</f>
        <v>0.32291666666666669</v>
      </c>
      <c r="AA25" s="1172"/>
      <c r="AB25" s="1172"/>
      <c r="AC25" s="1104" t="str">
        <f>IF(ISERROR(TIME(HOUR(入力シート!R16),MINUTE(入力シート!R16),0)),"",TIME(HOUR(入力シート!R16),MINUTE(入力シート!R16),0))</f>
        <v/>
      </c>
      <c r="AD25" s="1172"/>
      <c r="AE25" s="1172"/>
      <c r="AF25" s="1104" t="str">
        <f>IF(ISERROR(TIME(HOUR(入力シート!S16),MINUTE(入力シート!S16),0)),"",TIME(HOUR(入力シート!S16),MINUTE(入力シート!S16),0))</f>
        <v/>
      </c>
      <c r="AG25" s="1104"/>
      <c r="AH25" s="1104"/>
      <c r="AI25" s="1104" t="str">
        <f>IF(ISERROR(TIME(HOUR(入力シート!T16),MINUTE(入力シート!T16),0)),"",TIME(HOUR(入力シート!T16),MINUTE(入力シート!T16),0))</f>
        <v/>
      </c>
      <c r="AJ25" s="1104"/>
      <c r="AK25" s="1104"/>
      <c r="AL25" s="1104" t="str">
        <f>IF(ISERROR(TIME(HOUR(入力シート!U16),MINUTE(入力シート!U16),0)),"",TIME(HOUR(入力シート!U16),MINUTE(入力シート!U16),0))</f>
        <v/>
      </c>
      <c r="AM25" s="1104"/>
      <c r="AN25" s="1105"/>
      <c r="AO25" s="1137"/>
      <c r="AP25" s="1137"/>
      <c r="AQ25" s="1137"/>
      <c r="AR25" s="1137"/>
      <c r="AS25" s="1137"/>
      <c r="AU25" s="481" t="str">
        <f t="shared" si="1"/>
        <v/>
      </c>
    </row>
    <row r="26" spans="1:47" s="438" customFormat="1" ht="18" customHeight="1">
      <c r="A26" s="697">
        <f>入力シート!C17:C17</f>
        <v>44201</v>
      </c>
      <c r="B26" s="478">
        <f t="shared" si="2"/>
        <v>44201</v>
      </c>
      <c r="C26" s="1246" t="str">
        <f>IF(ISBLANK(入力シート!F17),IF(ISBLANK(入力シート!G17),"",入力シート!G17),入力シート!F17&amp;入力シート!G17)</f>
        <v/>
      </c>
      <c r="D26" s="1246"/>
      <c r="E26" s="1246"/>
      <c r="F26" s="1246"/>
      <c r="G26" s="1246"/>
      <c r="H26" s="1246"/>
      <c r="I26" s="1246"/>
      <c r="J26" s="1246"/>
      <c r="K26" s="1171" t="str">
        <f>IF(ISBLANK(入力シート!D17),"",入力シート!D17)</f>
        <v>10:00</v>
      </c>
      <c r="L26" s="1104"/>
      <c r="M26" s="1104"/>
      <c r="N26" s="1104" t="str">
        <f>IF(ISBLANK(入力シート!E17),"",入力シート!E17)</f>
        <v>19:30</v>
      </c>
      <c r="O26" s="1104"/>
      <c r="P26" s="1105"/>
      <c r="Q26" s="1153">
        <f t="shared" si="0"/>
        <v>6.25E-2</v>
      </c>
      <c r="R26" s="1154"/>
      <c r="S26" s="1155"/>
      <c r="T26" s="1156">
        <f>IF(LEFT(C26,2)="休出",入力シート!N17,IF(LEFT(C26,3)="法休出","",IF((TIME(HOUR(SUM(Z26:AN26)),MINUTE(SUM(Z26:AN26)),0)-TIME(8,0,0))*1440&lt;0,"",(TIME(HOUR(SUM(Z26:AN26)),MINUTE(SUM(Z26:AN26)),0)-TIME(8,0,0))*1440)))</f>
        <v>0</v>
      </c>
      <c r="U26" s="1157"/>
      <c r="V26" s="1157"/>
      <c r="W26" s="1163" t="str">
        <f>IF(入力シート!O17="","",入力シート!O17)</f>
        <v/>
      </c>
      <c r="X26" s="1163"/>
      <c r="Y26" s="1164"/>
      <c r="Z26" s="1171">
        <f>IF(ISERROR(TIME(HOUR(入力シート!Q17),MINUTE(入力シート!Q17),0)),"",TIME(HOUR(入力シート!Q17),MINUTE(入力シート!Q17),0))</f>
        <v>0.33333333333333331</v>
      </c>
      <c r="AA26" s="1172"/>
      <c r="AB26" s="1172"/>
      <c r="AC26" s="1104" t="str">
        <f>IF(ISERROR(TIME(HOUR(入力シート!R17),MINUTE(入力シート!R17),0)),"",TIME(HOUR(入力シート!R17),MINUTE(入力シート!R17),0))</f>
        <v/>
      </c>
      <c r="AD26" s="1172"/>
      <c r="AE26" s="1172"/>
      <c r="AF26" s="1104" t="str">
        <f>IF(ISERROR(TIME(HOUR(入力シート!S17),MINUTE(入力シート!S17),0)),"",TIME(HOUR(入力シート!S17),MINUTE(入力シート!S17),0))</f>
        <v/>
      </c>
      <c r="AG26" s="1104"/>
      <c r="AH26" s="1104"/>
      <c r="AI26" s="1104" t="str">
        <f>IF(ISERROR(TIME(HOUR(入力シート!T17),MINUTE(入力シート!T17),0)),"",TIME(HOUR(入力シート!T17),MINUTE(入力シート!T17),0))</f>
        <v/>
      </c>
      <c r="AJ26" s="1104"/>
      <c r="AK26" s="1104"/>
      <c r="AL26" s="1104" t="str">
        <f>IF(ISERROR(TIME(HOUR(入力シート!U17),MINUTE(入力シート!U17),0)),"",TIME(HOUR(入力シート!U17),MINUTE(入力シート!U17),0))</f>
        <v/>
      </c>
      <c r="AM26" s="1104"/>
      <c r="AN26" s="1105"/>
      <c r="AO26" s="1137"/>
      <c r="AP26" s="1137"/>
      <c r="AQ26" s="1137"/>
      <c r="AR26" s="1137"/>
      <c r="AS26" s="1137"/>
      <c r="AU26" s="481" t="str">
        <f t="shared" si="1"/>
        <v/>
      </c>
    </row>
    <row r="27" spans="1:47" s="438" customFormat="1" ht="18" customHeight="1">
      <c r="A27" s="697">
        <f>入力シート!C18:C18</f>
        <v>44202</v>
      </c>
      <c r="B27" s="478">
        <f t="shared" si="2"/>
        <v>44202</v>
      </c>
      <c r="C27" s="1246" t="str">
        <f>IF(ISBLANK(入力シート!F18),IF(ISBLANK(入力シート!G18),"",入力シート!G18),入力シート!F18&amp;入力シート!G18)</f>
        <v/>
      </c>
      <c r="D27" s="1246"/>
      <c r="E27" s="1246"/>
      <c r="F27" s="1246"/>
      <c r="G27" s="1246"/>
      <c r="H27" s="1246"/>
      <c r="I27" s="1246"/>
      <c r="J27" s="1246"/>
      <c r="K27" s="1171" t="str">
        <f>IF(ISBLANK(入力シート!D18),"",入力シート!D18)</f>
        <v>9:30</v>
      </c>
      <c r="L27" s="1104"/>
      <c r="M27" s="1104"/>
      <c r="N27" s="1104" t="str">
        <f>IF(ISBLANK(入力シート!E18),"",入力シート!E18)</f>
        <v>18:15</v>
      </c>
      <c r="O27" s="1104"/>
      <c r="P27" s="1105"/>
      <c r="Q27" s="1153">
        <f t="shared" si="0"/>
        <v>4.166666666666663E-2</v>
      </c>
      <c r="R27" s="1154"/>
      <c r="S27" s="1155"/>
      <c r="T27" s="1156" t="str">
        <f>IF(LEFT(C27,2)="休出",入力シート!N18,IF(LEFT(C27,3)="法休出","",IF((TIME(HOUR(SUM(Z27:AN27)),MINUTE(SUM(Z27:AN27)),0)-TIME(8,0,0))*1440&lt;0,"",(TIME(HOUR(SUM(Z27:AN27)),MINUTE(SUM(Z27:AN27)),0)-TIME(8,0,0))*1440)))</f>
        <v/>
      </c>
      <c r="U27" s="1157"/>
      <c r="V27" s="1157"/>
      <c r="W27" s="1163" t="str">
        <f>IF(入力シート!O18="","",入力シート!O18)</f>
        <v/>
      </c>
      <c r="X27" s="1163"/>
      <c r="Y27" s="1164"/>
      <c r="Z27" s="1171">
        <f>IF(ISERROR(TIME(HOUR(入力シート!Q18),MINUTE(入力シート!Q18),0)),"",TIME(HOUR(入力シート!Q18),MINUTE(入力シート!Q18),0))</f>
        <v>0.32291666666666669</v>
      </c>
      <c r="AA27" s="1172"/>
      <c r="AB27" s="1172"/>
      <c r="AC27" s="1104" t="str">
        <f>IF(ISERROR(TIME(HOUR(入力シート!R18),MINUTE(入力シート!R18),0)),"",TIME(HOUR(入力シート!R18),MINUTE(入力シート!R18),0))</f>
        <v/>
      </c>
      <c r="AD27" s="1172"/>
      <c r="AE27" s="1172"/>
      <c r="AF27" s="1104" t="str">
        <f>IF(ISERROR(TIME(HOUR(入力シート!S18),MINUTE(入力シート!S18),0)),"",TIME(HOUR(入力シート!S18),MINUTE(入力シート!S18),0))</f>
        <v/>
      </c>
      <c r="AG27" s="1104"/>
      <c r="AH27" s="1104"/>
      <c r="AI27" s="1104" t="str">
        <f>IF(ISERROR(TIME(HOUR(入力シート!T18),MINUTE(入力シート!T18),0)),"",TIME(HOUR(入力シート!T18),MINUTE(入力シート!T18),0))</f>
        <v/>
      </c>
      <c r="AJ27" s="1104"/>
      <c r="AK27" s="1104"/>
      <c r="AL27" s="1104" t="str">
        <f>IF(ISERROR(TIME(HOUR(入力シート!U18),MINUTE(入力シート!U18),0)),"",TIME(HOUR(入力シート!U18),MINUTE(入力シート!U18),0))</f>
        <v/>
      </c>
      <c r="AM27" s="1104"/>
      <c r="AN27" s="1105"/>
      <c r="AO27" s="1137"/>
      <c r="AP27" s="1137"/>
      <c r="AQ27" s="1137"/>
      <c r="AR27" s="1137"/>
      <c r="AS27" s="1137"/>
      <c r="AU27" s="481" t="str">
        <f t="shared" si="1"/>
        <v/>
      </c>
    </row>
    <row r="28" spans="1:47" s="438" customFormat="1" ht="18" customHeight="1">
      <c r="A28" s="697">
        <f>入力シート!C19:C19</f>
        <v>44203</v>
      </c>
      <c r="B28" s="478">
        <f t="shared" si="2"/>
        <v>44203</v>
      </c>
      <c r="C28" s="1246" t="str">
        <f>IF(ISBLANK(入力シート!F19),IF(ISBLANK(入力シート!G19),"",入力シート!G19),入力シート!F19&amp;入力シート!G19)</f>
        <v/>
      </c>
      <c r="D28" s="1246"/>
      <c r="E28" s="1246"/>
      <c r="F28" s="1246"/>
      <c r="G28" s="1246"/>
      <c r="H28" s="1246"/>
      <c r="I28" s="1246"/>
      <c r="J28" s="1246"/>
      <c r="K28" s="1171" t="str">
        <f>IF(ISBLANK(入力シート!D19),"",入力シート!D19)</f>
        <v>9:30</v>
      </c>
      <c r="L28" s="1104"/>
      <c r="M28" s="1104"/>
      <c r="N28" s="1104" t="str">
        <f>IF(ISBLANK(入力シート!E19),"",入力シート!E19)</f>
        <v>20:45</v>
      </c>
      <c r="O28" s="1104"/>
      <c r="P28" s="1105"/>
      <c r="Q28" s="1153">
        <f t="shared" si="0"/>
        <v>6.2500000000000056E-2</v>
      </c>
      <c r="R28" s="1154"/>
      <c r="S28" s="1155"/>
      <c r="T28" s="1156">
        <f>IF(LEFT(C28,2)="休出",入力シート!N19,IF(LEFT(C28,3)="法休出","",IF((TIME(HOUR(SUM(Z28:AN28)),MINUTE(SUM(Z28:AN28)),0)-TIME(8,0,0))*1440&lt;0,"",(TIME(HOUR(SUM(Z28:AN28)),MINUTE(SUM(Z28:AN28)),0)-TIME(8,0,0))*1440)))</f>
        <v>105.00000000000003</v>
      </c>
      <c r="U28" s="1157"/>
      <c r="V28" s="1157"/>
      <c r="W28" s="1163" t="str">
        <f>IF(入力シート!O19="","",入力シート!O19)</f>
        <v/>
      </c>
      <c r="X28" s="1163"/>
      <c r="Y28" s="1164"/>
      <c r="Z28" s="1171">
        <f>IF(ISERROR(TIME(HOUR(入力シート!Q19),MINUTE(入力シート!Q19),0)),"",TIME(HOUR(入力シート!Q19),MINUTE(入力シート!Q19),0))</f>
        <v>0.40625</v>
      </c>
      <c r="AA28" s="1172"/>
      <c r="AB28" s="1172"/>
      <c r="AC28" s="1104" t="str">
        <f>IF(ISERROR(TIME(HOUR(入力シート!R19),MINUTE(入力シート!R19),0)),"",TIME(HOUR(入力シート!R19),MINUTE(入力シート!R19),0))</f>
        <v/>
      </c>
      <c r="AD28" s="1172"/>
      <c r="AE28" s="1172"/>
      <c r="AF28" s="1104" t="str">
        <f>IF(ISERROR(TIME(HOUR(入力シート!S19),MINUTE(入力シート!S19),0)),"",TIME(HOUR(入力シート!S19),MINUTE(入力シート!S19),0))</f>
        <v/>
      </c>
      <c r="AG28" s="1104"/>
      <c r="AH28" s="1104"/>
      <c r="AI28" s="1104" t="str">
        <f>IF(ISERROR(TIME(HOUR(入力シート!T19),MINUTE(入力シート!T19),0)),"",TIME(HOUR(入力シート!T19),MINUTE(入力シート!T19),0))</f>
        <v/>
      </c>
      <c r="AJ28" s="1104"/>
      <c r="AK28" s="1104"/>
      <c r="AL28" s="1104" t="str">
        <f>IF(ISERROR(TIME(HOUR(入力シート!U19),MINUTE(入力シート!U19),0)),"",TIME(HOUR(入力シート!U19),MINUTE(入力シート!U19),0))</f>
        <v/>
      </c>
      <c r="AM28" s="1104"/>
      <c r="AN28" s="1105"/>
      <c r="AO28" s="1137"/>
      <c r="AP28" s="1137"/>
      <c r="AQ28" s="1137"/>
      <c r="AR28" s="1137"/>
      <c r="AS28" s="1137"/>
      <c r="AU28" s="481" t="str">
        <f t="shared" si="1"/>
        <v/>
      </c>
    </row>
    <row r="29" spans="1:47" s="438" customFormat="1" ht="18" customHeight="1">
      <c r="A29" s="697">
        <f>入力シート!C20:C20</f>
        <v>44204</v>
      </c>
      <c r="B29" s="478">
        <f t="shared" si="2"/>
        <v>44204</v>
      </c>
      <c r="C29" s="1246" t="str">
        <f>IF(ISBLANK(入力シート!F20),IF(ISBLANK(入力シート!G20),"",入力シート!G20),入力シート!F20&amp;入力シート!G20)</f>
        <v/>
      </c>
      <c r="D29" s="1246"/>
      <c r="E29" s="1246"/>
      <c r="F29" s="1246"/>
      <c r="G29" s="1246"/>
      <c r="H29" s="1246"/>
      <c r="I29" s="1246"/>
      <c r="J29" s="1246"/>
      <c r="K29" s="1171" t="str">
        <f>IF(ISBLANK(入力シート!D20),"",入力シート!D20)</f>
        <v>9:30</v>
      </c>
      <c r="L29" s="1104"/>
      <c r="M29" s="1104"/>
      <c r="N29" s="1104" t="str">
        <f>IF(ISBLANK(入力シート!E20),"",入力シート!E20)</f>
        <v>20:45</v>
      </c>
      <c r="O29" s="1104"/>
      <c r="P29" s="1105"/>
      <c r="Q29" s="1153">
        <f t="shared" si="0"/>
        <v>6.2500000000000056E-2</v>
      </c>
      <c r="R29" s="1154"/>
      <c r="S29" s="1155"/>
      <c r="T29" s="1156">
        <f>IF(LEFT(C29,2)="休出",入力シート!N20,IF(LEFT(C29,3)="法休出","",IF((TIME(HOUR(SUM(Z29:AN29)),MINUTE(SUM(Z29:AN29)),0)-TIME(8,0,0))*1440&lt;0,"",(TIME(HOUR(SUM(Z29:AN29)),MINUTE(SUM(Z29:AN29)),0)-TIME(8,0,0))*1440)))</f>
        <v>105.00000000000003</v>
      </c>
      <c r="U29" s="1157"/>
      <c r="V29" s="1157"/>
      <c r="W29" s="1163" t="str">
        <f>IF(入力シート!O20="","",入力シート!O20)</f>
        <v/>
      </c>
      <c r="X29" s="1163"/>
      <c r="Y29" s="1164"/>
      <c r="Z29" s="1171">
        <f>IF(ISERROR(TIME(HOUR(入力シート!Q20),MINUTE(入力シート!Q20),0)),"",TIME(HOUR(入力シート!Q20),MINUTE(入力シート!Q20),0))</f>
        <v>0.40625</v>
      </c>
      <c r="AA29" s="1172"/>
      <c r="AB29" s="1172"/>
      <c r="AC29" s="1104" t="str">
        <f>IF(ISERROR(TIME(HOUR(入力シート!R20),MINUTE(入力シート!R20),0)),"",TIME(HOUR(入力シート!R20),MINUTE(入力シート!R20),0))</f>
        <v/>
      </c>
      <c r="AD29" s="1172"/>
      <c r="AE29" s="1172"/>
      <c r="AF29" s="1104" t="str">
        <f>IF(ISERROR(TIME(HOUR(入力シート!S20),MINUTE(入力シート!S20),0)),"",TIME(HOUR(入力シート!S20),MINUTE(入力シート!S20),0))</f>
        <v/>
      </c>
      <c r="AG29" s="1104"/>
      <c r="AH29" s="1104"/>
      <c r="AI29" s="1104" t="str">
        <f>IF(ISERROR(TIME(HOUR(入力シート!T20),MINUTE(入力シート!T20),0)),"",TIME(HOUR(入力シート!T20),MINUTE(入力シート!T20),0))</f>
        <v/>
      </c>
      <c r="AJ29" s="1104"/>
      <c r="AK29" s="1104"/>
      <c r="AL29" s="1104" t="str">
        <f>IF(ISERROR(TIME(HOUR(入力シート!U20),MINUTE(入力シート!U20),0)),"",TIME(HOUR(入力シート!U20),MINUTE(入力シート!U20),0))</f>
        <v/>
      </c>
      <c r="AM29" s="1104"/>
      <c r="AN29" s="1105"/>
      <c r="AO29" s="1137"/>
      <c r="AP29" s="1137"/>
      <c r="AQ29" s="1137"/>
      <c r="AR29" s="1137"/>
      <c r="AS29" s="1137"/>
      <c r="AU29" s="481" t="str">
        <f t="shared" si="1"/>
        <v/>
      </c>
    </row>
    <row r="30" spans="1:47" s="438" customFormat="1" ht="18" customHeight="1">
      <c r="A30" s="697">
        <f>入力シート!C21:C21</f>
        <v>44205</v>
      </c>
      <c r="B30" s="478">
        <f t="shared" si="2"/>
        <v>44205</v>
      </c>
      <c r="C30" s="1246" t="str">
        <f>IF(ISBLANK(入力シート!F21),IF(ISBLANK(入力シート!G21),"",入力シート!G21),入力シート!F21&amp;入力シート!G21)</f>
        <v/>
      </c>
      <c r="D30" s="1246"/>
      <c r="E30" s="1246"/>
      <c r="F30" s="1246"/>
      <c r="G30" s="1246"/>
      <c r="H30" s="1246"/>
      <c r="I30" s="1246"/>
      <c r="J30" s="1246"/>
      <c r="K30" s="1171" t="str">
        <f>IF(ISBLANK(入力シート!D21),"",入力シート!D21)</f>
        <v/>
      </c>
      <c r="L30" s="1104"/>
      <c r="M30" s="1104"/>
      <c r="N30" s="1104" t="str">
        <f>IF(ISBLANK(入力シート!E21),"",入力シート!E21)</f>
        <v/>
      </c>
      <c r="O30" s="1104"/>
      <c r="P30" s="1105"/>
      <c r="Q30" s="1153" t="str">
        <f t="shared" si="0"/>
        <v/>
      </c>
      <c r="R30" s="1154"/>
      <c r="S30" s="1155"/>
      <c r="T30" s="1156" t="str">
        <f>IF(LEFT(C30,2)="休出",入力シート!N21,IF(LEFT(C30,3)="法休出","",IF((TIME(HOUR(SUM(Z30:AN30)),MINUTE(SUM(Z30:AN30)),0)-TIME(8,0,0))*1440&lt;0,"",(TIME(HOUR(SUM(Z30:AN30)),MINUTE(SUM(Z30:AN30)),0)-TIME(8,0,0))*1440)))</f>
        <v/>
      </c>
      <c r="U30" s="1157"/>
      <c r="V30" s="1157"/>
      <c r="W30" s="1163" t="str">
        <f>IF(入力シート!O21="","",入力シート!O21)</f>
        <v/>
      </c>
      <c r="X30" s="1163"/>
      <c r="Y30" s="1164"/>
      <c r="Z30" s="1171" t="str">
        <f>IF(ISERROR(TIME(HOUR(入力シート!Q21),MINUTE(入力シート!Q21),0)),"",TIME(HOUR(入力シート!Q21),MINUTE(入力シート!Q21),0))</f>
        <v/>
      </c>
      <c r="AA30" s="1172"/>
      <c r="AB30" s="1172"/>
      <c r="AC30" s="1104" t="str">
        <f>IF(ISERROR(TIME(HOUR(入力シート!R21),MINUTE(入力シート!R21),0)),"",TIME(HOUR(入力シート!R21),MINUTE(入力シート!R21),0))</f>
        <v/>
      </c>
      <c r="AD30" s="1172"/>
      <c r="AE30" s="1172"/>
      <c r="AF30" s="1104" t="str">
        <f>IF(ISERROR(TIME(HOUR(入力シート!S21),MINUTE(入力シート!S21),0)),"",TIME(HOUR(入力シート!S21),MINUTE(入力シート!S21),0))</f>
        <v/>
      </c>
      <c r="AG30" s="1104"/>
      <c r="AH30" s="1104"/>
      <c r="AI30" s="1104" t="str">
        <f>IF(ISERROR(TIME(HOUR(入力シート!T21),MINUTE(入力シート!T21),0)),"",TIME(HOUR(入力シート!T21),MINUTE(入力シート!T21),0))</f>
        <v/>
      </c>
      <c r="AJ30" s="1104"/>
      <c r="AK30" s="1104"/>
      <c r="AL30" s="1104" t="str">
        <f>IF(ISERROR(TIME(HOUR(入力シート!U21),MINUTE(入力シート!U21),0)),"",TIME(HOUR(入力シート!U21),MINUTE(入力シート!U21),0))</f>
        <v/>
      </c>
      <c r="AM30" s="1104"/>
      <c r="AN30" s="1105"/>
      <c r="AO30" s="1137"/>
      <c r="AP30" s="1137"/>
      <c r="AQ30" s="1137"/>
      <c r="AR30" s="1137"/>
      <c r="AS30" s="1137"/>
      <c r="AU30" s="481" t="str">
        <f t="shared" si="1"/>
        <v/>
      </c>
    </row>
    <row r="31" spans="1:47" s="438" customFormat="1" ht="18" customHeight="1">
      <c r="A31" s="697">
        <f>入力シート!C22:C22</f>
        <v>44206</v>
      </c>
      <c r="B31" s="478">
        <f t="shared" si="2"/>
        <v>44206</v>
      </c>
      <c r="C31" s="1246" t="str">
        <f>IF(ISBLANK(入力シート!F22),IF(ISBLANK(入力シート!G22),"",入力シート!G22),入力シート!F22&amp;入力シート!G22)</f>
        <v/>
      </c>
      <c r="D31" s="1246"/>
      <c r="E31" s="1246"/>
      <c r="F31" s="1246"/>
      <c r="G31" s="1246"/>
      <c r="H31" s="1246"/>
      <c r="I31" s="1246"/>
      <c r="J31" s="1246"/>
      <c r="K31" s="1171" t="str">
        <f>IF(ISBLANK(入力シート!D22),"",入力シート!D22)</f>
        <v/>
      </c>
      <c r="L31" s="1104"/>
      <c r="M31" s="1104"/>
      <c r="N31" s="1104" t="str">
        <f>IF(ISBLANK(入力シート!E22),"",入力シート!E22)</f>
        <v/>
      </c>
      <c r="O31" s="1104"/>
      <c r="P31" s="1105"/>
      <c r="Q31" s="1153" t="str">
        <f t="shared" si="0"/>
        <v/>
      </c>
      <c r="R31" s="1154"/>
      <c r="S31" s="1155"/>
      <c r="T31" s="1156" t="str">
        <f>IF(LEFT(C31,2)="休出",入力シート!N22,IF(LEFT(C31,3)="法休出","",IF((TIME(HOUR(SUM(Z31:AN31)),MINUTE(SUM(Z31:AN31)),0)-TIME(8,0,0))*1440&lt;0,"",(TIME(HOUR(SUM(Z31:AN31)),MINUTE(SUM(Z31:AN31)),0)-TIME(8,0,0))*1440)))</f>
        <v/>
      </c>
      <c r="U31" s="1157"/>
      <c r="V31" s="1157"/>
      <c r="W31" s="1163" t="str">
        <f>IF(入力シート!O22="","",入力シート!O22)</f>
        <v/>
      </c>
      <c r="X31" s="1163"/>
      <c r="Y31" s="1164"/>
      <c r="Z31" s="1171" t="str">
        <f>IF(ISERROR(TIME(HOUR(入力シート!Q22),MINUTE(入力シート!Q22),0)),"",TIME(HOUR(入力シート!Q22),MINUTE(入力シート!Q22),0))</f>
        <v/>
      </c>
      <c r="AA31" s="1172"/>
      <c r="AB31" s="1172"/>
      <c r="AC31" s="1104" t="str">
        <f>IF(ISERROR(TIME(HOUR(入力シート!R22),MINUTE(入力シート!R22),0)),"",TIME(HOUR(入力シート!R22),MINUTE(入力シート!R22),0))</f>
        <v/>
      </c>
      <c r="AD31" s="1172"/>
      <c r="AE31" s="1172"/>
      <c r="AF31" s="1104" t="str">
        <f>IF(ISERROR(TIME(HOUR(入力シート!S22),MINUTE(入力シート!S22),0)),"",TIME(HOUR(入力シート!S22),MINUTE(入力シート!S22),0))</f>
        <v/>
      </c>
      <c r="AG31" s="1104"/>
      <c r="AH31" s="1104"/>
      <c r="AI31" s="1104" t="str">
        <f>IF(ISERROR(TIME(HOUR(入力シート!T22),MINUTE(入力シート!T22),0)),"",TIME(HOUR(入力シート!T22),MINUTE(入力シート!T22),0))</f>
        <v/>
      </c>
      <c r="AJ31" s="1104"/>
      <c r="AK31" s="1104"/>
      <c r="AL31" s="1104" t="str">
        <f>IF(ISERROR(TIME(HOUR(入力シート!U22),MINUTE(入力シート!U22),0)),"",TIME(HOUR(入力シート!U22),MINUTE(入力シート!U22),0))</f>
        <v/>
      </c>
      <c r="AM31" s="1104"/>
      <c r="AN31" s="1105"/>
      <c r="AO31" s="1137"/>
      <c r="AP31" s="1137"/>
      <c r="AQ31" s="1137"/>
      <c r="AR31" s="1137"/>
      <c r="AS31" s="1137"/>
      <c r="AU31" s="481" t="str">
        <f t="shared" si="1"/>
        <v/>
      </c>
    </row>
    <row r="32" spans="1:47" s="438" customFormat="1" ht="18" customHeight="1">
      <c r="A32" s="697">
        <f>入力シート!C23:C23</f>
        <v>44207</v>
      </c>
      <c r="B32" s="478">
        <f t="shared" si="2"/>
        <v>44207</v>
      </c>
      <c r="C32" s="1246" t="str">
        <f>IF(ISBLANK(入力シート!F23),IF(ISBLANK(入力シート!G23),"",入力シート!G23),入力シート!F23&amp;入力シート!G23)</f>
        <v/>
      </c>
      <c r="D32" s="1246"/>
      <c r="E32" s="1246"/>
      <c r="F32" s="1246"/>
      <c r="G32" s="1246"/>
      <c r="H32" s="1246"/>
      <c r="I32" s="1246"/>
      <c r="J32" s="1246"/>
      <c r="K32" s="1171" t="str">
        <f>IF(ISBLANK(入力シート!D23),"",入力シート!D23)</f>
        <v/>
      </c>
      <c r="L32" s="1104"/>
      <c r="M32" s="1104"/>
      <c r="N32" s="1104" t="str">
        <f>IF(ISBLANK(入力シート!E23),"",入力シート!E23)</f>
        <v/>
      </c>
      <c r="O32" s="1104"/>
      <c r="P32" s="1105"/>
      <c r="Q32" s="1153" t="str">
        <f t="shared" si="0"/>
        <v/>
      </c>
      <c r="R32" s="1154"/>
      <c r="S32" s="1155"/>
      <c r="T32" s="1156" t="str">
        <f>IF(LEFT(C32,2)="休出",入力シート!N23,IF(LEFT(C32,3)="法休出","",IF((TIME(HOUR(SUM(Z32:AN32)),MINUTE(SUM(Z32:AN32)),0)-TIME(8,0,0))*1440&lt;0,"",(TIME(HOUR(SUM(Z32:AN32)),MINUTE(SUM(Z32:AN32)),0)-TIME(8,0,0))*1440)))</f>
        <v/>
      </c>
      <c r="U32" s="1157"/>
      <c r="V32" s="1157"/>
      <c r="W32" s="1163" t="str">
        <f>IF(入力シート!O23="","",入力シート!O23)</f>
        <v/>
      </c>
      <c r="X32" s="1163"/>
      <c r="Y32" s="1164"/>
      <c r="Z32" s="1171" t="str">
        <f>IF(ISERROR(TIME(HOUR(入力シート!Q23),MINUTE(入力シート!Q23),0)),"",TIME(HOUR(入力シート!Q23),MINUTE(入力シート!Q23),0))</f>
        <v/>
      </c>
      <c r="AA32" s="1172"/>
      <c r="AB32" s="1172"/>
      <c r="AC32" s="1104" t="str">
        <f>IF(ISERROR(TIME(HOUR(入力シート!R23),MINUTE(入力シート!R23),0)),"",TIME(HOUR(入力シート!R23),MINUTE(入力シート!R23),0))</f>
        <v/>
      </c>
      <c r="AD32" s="1172"/>
      <c r="AE32" s="1172"/>
      <c r="AF32" s="1104" t="str">
        <f>IF(ISERROR(TIME(HOUR(入力シート!S23),MINUTE(入力シート!S23),0)),"",TIME(HOUR(入力シート!S23),MINUTE(入力シート!S23),0))</f>
        <v/>
      </c>
      <c r="AG32" s="1104"/>
      <c r="AH32" s="1104"/>
      <c r="AI32" s="1104" t="str">
        <f>IF(ISERROR(TIME(HOUR(入力シート!T23),MINUTE(入力シート!T23),0)),"",TIME(HOUR(入力シート!T23),MINUTE(入力シート!T23),0))</f>
        <v/>
      </c>
      <c r="AJ32" s="1104"/>
      <c r="AK32" s="1104"/>
      <c r="AL32" s="1104" t="str">
        <f>IF(ISERROR(TIME(HOUR(入力シート!U23),MINUTE(入力シート!U23),0)),"",TIME(HOUR(入力シート!U23),MINUTE(入力シート!U23),0))</f>
        <v/>
      </c>
      <c r="AM32" s="1104"/>
      <c r="AN32" s="1105"/>
      <c r="AO32" s="1137"/>
      <c r="AP32" s="1137"/>
      <c r="AQ32" s="1137"/>
      <c r="AR32" s="1137"/>
      <c r="AS32" s="1137"/>
      <c r="AU32" s="481" t="str">
        <f t="shared" si="1"/>
        <v/>
      </c>
    </row>
    <row r="33" spans="1:49" s="438" customFormat="1" ht="18" customHeight="1">
      <c r="A33" s="697">
        <f>入力シート!C24:C24</f>
        <v>44208</v>
      </c>
      <c r="B33" s="478">
        <f t="shared" si="2"/>
        <v>44208</v>
      </c>
      <c r="C33" s="1246" t="str">
        <f>IF(ISBLANK(入力シート!F24),IF(ISBLANK(入力シート!G24),"",入力シート!G24),入力シート!F24&amp;入力シート!G24)</f>
        <v/>
      </c>
      <c r="D33" s="1246"/>
      <c r="E33" s="1246"/>
      <c r="F33" s="1246"/>
      <c r="G33" s="1246"/>
      <c r="H33" s="1246"/>
      <c r="I33" s="1246"/>
      <c r="J33" s="1246"/>
      <c r="K33" s="1171" t="str">
        <f>IF(ISBLANK(入力シート!D24),"",入力シート!D24)</f>
        <v>9:30</v>
      </c>
      <c r="L33" s="1104"/>
      <c r="M33" s="1104"/>
      <c r="N33" s="1104" t="str">
        <f>IF(ISBLANK(入力シート!E24),"",入力シート!E24)</f>
        <v>18:15</v>
      </c>
      <c r="O33" s="1104"/>
      <c r="P33" s="1105"/>
      <c r="Q33" s="1153">
        <f t="shared" si="0"/>
        <v>4.166666666666663E-2</v>
      </c>
      <c r="R33" s="1154"/>
      <c r="S33" s="1155"/>
      <c r="T33" s="1156" t="str">
        <f>IF(LEFT(C33,2)="休出",入力シート!N24,IF(LEFT(C33,3)="法休出","",IF((TIME(HOUR(SUM(Z33:AN33)),MINUTE(SUM(Z33:AN33)),0)-TIME(8,0,0))*1440&lt;0,"",(TIME(HOUR(SUM(Z33:AN33)),MINUTE(SUM(Z33:AN33)),0)-TIME(8,0,0))*1440)))</f>
        <v/>
      </c>
      <c r="U33" s="1157"/>
      <c r="V33" s="1157"/>
      <c r="W33" s="1163" t="str">
        <f>IF(入力シート!O24="","",入力シート!O24)</f>
        <v/>
      </c>
      <c r="X33" s="1163"/>
      <c r="Y33" s="1164"/>
      <c r="Z33" s="1171">
        <f>IF(ISERROR(TIME(HOUR(入力シート!Q24),MINUTE(入力シート!Q24),0)),"",TIME(HOUR(入力シート!Q24),MINUTE(入力シート!Q24),0))</f>
        <v>0.32291666666666669</v>
      </c>
      <c r="AA33" s="1172"/>
      <c r="AB33" s="1172"/>
      <c r="AC33" s="1104" t="str">
        <f>IF(ISERROR(TIME(HOUR(入力シート!R24),MINUTE(入力シート!R24),0)),"",TIME(HOUR(入力シート!R24),MINUTE(入力シート!R24),0))</f>
        <v/>
      </c>
      <c r="AD33" s="1172"/>
      <c r="AE33" s="1172"/>
      <c r="AF33" s="1104" t="str">
        <f>IF(ISERROR(TIME(HOUR(入力シート!S24),MINUTE(入力シート!S24),0)),"",TIME(HOUR(入力シート!S24),MINUTE(入力シート!S24),0))</f>
        <v/>
      </c>
      <c r="AG33" s="1104"/>
      <c r="AH33" s="1104"/>
      <c r="AI33" s="1104" t="str">
        <f>IF(ISERROR(TIME(HOUR(入力シート!T24),MINUTE(入力シート!T24),0)),"",TIME(HOUR(入力シート!T24),MINUTE(入力シート!T24),0))</f>
        <v/>
      </c>
      <c r="AJ33" s="1104"/>
      <c r="AK33" s="1104"/>
      <c r="AL33" s="1104" t="str">
        <f>IF(ISERROR(TIME(HOUR(入力シート!U24),MINUTE(入力シート!U24),0)),"",TIME(HOUR(入力シート!U24),MINUTE(入力シート!U24),0))</f>
        <v/>
      </c>
      <c r="AM33" s="1104"/>
      <c r="AN33" s="1105"/>
      <c r="AO33" s="1137"/>
      <c r="AP33" s="1137"/>
      <c r="AQ33" s="1137"/>
      <c r="AR33" s="1137"/>
      <c r="AS33" s="1137"/>
      <c r="AU33" s="481" t="str">
        <f t="shared" si="1"/>
        <v/>
      </c>
    </row>
    <row r="34" spans="1:49" s="438" customFormat="1" ht="18" customHeight="1">
      <c r="A34" s="697">
        <f>入力シート!C25:C25</f>
        <v>44209</v>
      </c>
      <c r="B34" s="478">
        <f t="shared" si="2"/>
        <v>44209</v>
      </c>
      <c r="C34" s="1246" t="str">
        <f>IF(ISBLANK(入力シート!F25),IF(ISBLANK(入力シート!G25),"",入力シート!G25),入力シート!F25&amp;入力シート!G25)</f>
        <v/>
      </c>
      <c r="D34" s="1246"/>
      <c r="E34" s="1246"/>
      <c r="F34" s="1246"/>
      <c r="G34" s="1246"/>
      <c r="H34" s="1246"/>
      <c r="I34" s="1246"/>
      <c r="J34" s="1246"/>
      <c r="K34" s="1171" t="str">
        <f>IF(ISBLANK(入力シート!D25),"",入力シート!D25)</f>
        <v>9:30</v>
      </c>
      <c r="L34" s="1104"/>
      <c r="M34" s="1104"/>
      <c r="N34" s="1104" t="str">
        <f>IF(ISBLANK(入力シート!E25),"",入力シート!E25)</f>
        <v>18:15</v>
      </c>
      <c r="O34" s="1104"/>
      <c r="P34" s="1105"/>
      <c r="Q34" s="1153">
        <f t="shared" si="0"/>
        <v>4.166666666666663E-2</v>
      </c>
      <c r="R34" s="1154"/>
      <c r="S34" s="1155"/>
      <c r="T34" s="1156" t="str">
        <f>IF(LEFT(C34,2)="休出",入力シート!N25,IF(LEFT(C34,3)="法休出","",IF((TIME(HOUR(SUM(Z34:AN34)),MINUTE(SUM(Z34:AN34)),0)-TIME(8,0,0))*1440&lt;0,"",(TIME(HOUR(SUM(Z34:AN34)),MINUTE(SUM(Z34:AN34)),0)-TIME(8,0,0))*1440)))</f>
        <v/>
      </c>
      <c r="U34" s="1157"/>
      <c r="V34" s="1157"/>
      <c r="W34" s="1163" t="str">
        <f>IF(入力シート!O25="","",入力シート!O25)</f>
        <v/>
      </c>
      <c r="X34" s="1163"/>
      <c r="Y34" s="1164"/>
      <c r="Z34" s="1171">
        <f>IF(ISERROR(TIME(HOUR(入力シート!Q25),MINUTE(入力シート!Q25),0)),"",TIME(HOUR(入力シート!Q25),MINUTE(入力シート!Q25),0))</f>
        <v>0.32291666666666669</v>
      </c>
      <c r="AA34" s="1172"/>
      <c r="AB34" s="1172"/>
      <c r="AC34" s="1104" t="str">
        <f>IF(ISERROR(TIME(HOUR(入力シート!R25),MINUTE(入力シート!R25),0)),"",TIME(HOUR(入力シート!R25),MINUTE(入力シート!R25),0))</f>
        <v/>
      </c>
      <c r="AD34" s="1172"/>
      <c r="AE34" s="1172"/>
      <c r="AF34" s="1104" t="str">
        <f>IF(ISERROR(TIME(HOUR(入力シート!S25),MINUTE(入力シート!S25),0)),"",TIME(HOUR(入力シート!S25),MINUTE(入力シート!S25),0))</f>
        <v/>
      </c>
      <c r="AG34" s="1104"/>
      <c r="AH34" s="1104"/>
      <c r="AI34" s="1104" t="str">
        <f>IF(ISERROR(TIME(HOUR(入力シート!T25),MINUTE(入力シート!T25),0)),"",TIME(HOUR(入力シート!T25),MINUTE(入力シート!T25),0))</f>
        <v/>
      </c>
      <c r="AJ34" s="1104"/>
      <c r="AK34" s="1104"/>
      <c r="AL34" s="1104" t="str">
        <f>IF(ISERROR(TIME(HOUR(入力シート!U25),MINUTE(入力シート!U25),0)),"",TIME(HOUR(入力シート!U25),MINUTE(入力シート!U25),0))</f>
        <v/>
      </c>
      <c r="AM34" s="1104"/>
      <c r="AN34" s="1105"/>
      <c r="AO34" s="1137"/>
      <c r="AP34" s="1137"/>
      <c r="AQ34" s="1137"/>
      <c r="AR34" s="1137"/>
      <c r="AS34" s="1137"/>
      <c r="AU34" s="481" t="str">
        <f t="shared" si="1"/>
        <v/>
      </c>
    </row>
    <row r="35" spans="1:49" s="438" customFormat="1" ht="18" customHeight="1">
      <c r="A35" s="697">
        <f>入力シート!C26:C26</f>
        <v>44210</v>
      </c>
      <c r="B35" s="478">
        <f t="shared" si="2"/>
        <v>44210</v>
      </c>
      <c r="C35" s="1246" t="str">
        <f>IF(ISBLANK(入力シート!F26),IF(ISBLANK(入力シート!G26),"",入力シート!G26),入力シート!F26&amp;入力シート!G26)</f>
        <v/>
      </c>
      <c r="D35" s="1246"/>
      <c r="E35" s="1246"/>
      <c r="F35" s="1246"/>
      <c r="G35" s="1246"/>
      <c r="H35" s="1246"/>
      <c r="I35" s="1246"/>
      <c r="J35" s="1246"/>
      <c r="K35" s="1171" t="str">
        <f>IF(ISBLANK(入力シート!D26),"",入力シート!D26)</f>
        <v>9:30</v>
      </c>
      <c r="L35" s="1104"/>
      <c r="M35" s="1104"/>
      <c r="N35" s="1104" t="str">
        <f>IF(ISBLANK(入力シート!E26),"",入力シート!E26)</f>
        <v>19:30</v>
      </c>
      <c r="O35" s="1104"/>
      <c r="P35" s="1105"/>
      <c r="Q35" s="1153">
        <f t="shared" si="0"/>
        <v>6.25E-2</v>
      </c>
      <c r="R35" s="1154"/>
      <c r="S35" s="1155"/>
      <c r="T35" s="1156">
        <f>IF(LEFT(C35,2)="休出",入力シート!N26,IF(LEFT(C35,3)="法休出","",IF((TIME(HOUR(SUM(Z35:AN35)),MINUTE(SUM(Z35:AN35)),0)-TIME(8,0,0))*1440&lt;0,"",(TIME(HOUR(SUM(Z35:AN35)),MINUTE(SUM(Z35:AN35)),0)-TIME(8,0,0))*1440)))</f>
        <v>30.000000000000053</v>
      </c>
      <c r="U35" s="1157"/>
      <c r="V35" s="1157"/>
      <c r="W35" s="1163" t="str">
        <f>IF(入力シート!O26="","",入力シート!O26)</f>
        <v/>
      </c>
      <c r="X35" s="1163"/>
      <c r="Y35" s="1164"/>
      <c r="Z35" s="1171">
        <f>IF(ISERROR(TIME(HOUR(入力シート!Q26),MINUTE(入力シート!Q26),0)),"",TIME(HOUR(入力シート!Q26),MINUTE(入力シート!Q26),0))</f>
        <v>0.35416666666666669</v>
      </c>
      <c r="AA35" s="1172"/>
      <c r="AB35" s="1172"/>
      <c r="AC35" s="1104" t="str">
        <f>IF(ISERROR(TIME(HOUR(入力シート!R26),MINUTE(入力シート!R26),0)),"",TIME(HOUR(入力シート!R26),MINUTE(入力シート!R26),0))</f>
        <v/>
      </c>
      <c r="AD35" s="1172"/>
      <c r="AE35" s="1172"/>
      <c r="AF35" s="1104" t="str">
        <f>IF(ISERROR(TIME(HOUR(入力シート!S26),MINUTE(入力シート!S26),0)),"",TIME(HOUR(入力シート!S26),MINUTE(入力シート!S26),0))</f>
        <v/>
      </c>
      <c r="AG35" s="1104"/>
      <c r="AH35" s="1104"/>
      <c r="AI35" s="1104" t="str">
        <f>IF(ISERROR(TIME(HOUR(入力シート!T26),MINUTE(入力シート!T26),0)),"",TIME(HOUR(入力シート!T26),MINUTE(入力シート!T26),0))</f>
        <v/>
      </c>
      <c r="AJ35" s="1104"/>
      <c r="AK35" s="1104"/>
      <c r="AL35" s="1104" t="str">
        <f>IF(ISERROR(TIME(HOUR(入力シート!U26),MINUTE(入力シート!U26),0)),"",TIME(HOUR(入力シート!U26),MINUTE(入力シート!U26),0))</f>
        <v/>
      </c>
      <c r="AM35" s="1104"/>
      <c r="AN35" s="1105"/>
      <c r="AO35" s="1137"/>
      <c r="AP35" s="1137"/>
      <c r="AQ35" s="1137"/>
      <c r="AR35" s="1137"/>
      <c r="AS35" s="1137"/>
      <c r="AU35" s="481" t="str">
        <f t="shared" si="1"/>
        <v/>
      </c>
    </row>
    <row r="36" spans="1:49" s="438" customFormat="1" ht="18" customHeight="1">
      <c r="A36" s="697">
        <f>入力シート!C27:C27</f>
        <v>44211</v>
      </c>
      <c r="B36" s="478">
        <f t="shared" si="2"/>
        <v>44211</v>
      </c>
      <c r="C36" s="1246" t="str">
        <f>IF(ISBLANK(入力シート!F27),IF(ISBLANK(入力シート!G27),"",入力シート!G27),入力シート!F27&amp;入力シート!G27)</f>
        <v/>
      </c>
      <c r="D36" s="1246"/>
      <c r="E36" s="1246"/>
      <c r="F36" s="1246"/>
      <c r="G36" s="1246"/>
      <c r="H36" s="1246"/>
      <c r="I36" s="1246"/>
      <c r="J36" s="1246"/>
      <c r="K36" s="1171" t="str">
        <f>IF(ISBLANK(入力シート!D27),"",入力シート!D27)</f>
        <v>9:30</v>
      </c>
      <c r="L36" s="1104"/>
      <c r="M36" s="1104"/>
      <c r="N36" s="1104" t="str">
        <f>IF(ISBLANK(入力シート!E27),"",入力シート!E27)</f>
        <v>16:30</v>
      </c>
      <c r="O36" s="1104"/>
      <c r="P36" s="1105"/>
      <c r="Q36" s="1153">
        <f t="shared" si="0"/>
        <v>4.1666666666666685E-2</v>
      </c>
      <c r="R36" s="1154"/>
      <c r="S36" s="1155"/>
      <c r="T36" s="1156" t="str">
        <f>IF(LEFT(C36,2)="休出",入力シート!N27,IF(LEFT(C36,3)="法休出","",IF((TIME(HOUR(SUM(Z36:AN36)),MINUTE(SUM(Z36:AN36)),0)-TIME(8,0,0))*1440&lt;0,"",(TIME(HOUR(SUM(Z36:AN36)),MINUTE(SUM(Z36:AN36)),0)-TIME(8,0,0))*1440)))</f>
        <v/>
      </c>
      <c r="U36" s="1157"/>
      <c r="V36" s="1157"/>
      <c r="W36" s="1163" t="str">
        <f>IF(入力シート!O27="","",入力シート!O27)</f>
        <v/>
      </c>
      <c r="X36" s="1163"/>
      <c r="Y36" s="1164"/>
      <c r="Z36" s="1171">
        <f>IF(ISERROR(TIME(HOUR(入力シート!Q27),MINUTE(入力シート!Q27),0)),"",TIME(HOUR(入力シート!Q27),MINUTE(入力シート!Q27),0))</f>
        <v>0.25</v>
      </c>
      <c r="AA36" s="1172"/>
      <c r="AB36" s="1172"/>
      <c r="AC36" s="1104" t="str">
        <f>IF(ISERROR(TIME(HOUR(入力シート!R27),MINUTE(入力シート!R27),0)),"",TIME(HOUR(入力シート!R27),MINUTE(入力シート!R27),0))</f>
        <v/>
      </c>
      <c r="AD36" s="1172"/>
      <c r="AE36" s="1172"/>
      <c r="AF36" s="1104" t="str">
        <f>IF(ISERROR(TIME(HOUR(入力シート!S27),MINUTE(入力シート!S27),0)),"",TIME(HOUR(入力シート!S27),MINUTE(入力シート!S27),0))</f>
        <v/>
      </c>
      <c r="AG36" s="1104"/>
      <c r="AH36" s="1104"/>
      <c r="AI36" s="1104" t="str">
        <f>IF(ISERROR(TIME(HOUR(入力シート!T27),MINUTE(入力シート!T27),0)),"",TIME(HOUR(入力シート!T27),MINUTE(入力シート!T27),0))</f>
        <v/>
      </c>
      <c r="AJ36" s="1104"/>
      <c r="AK36" s="1104"/>
      <c r="AL36" s="1104" t="str">
        <f>IF(ISERROR(TIME(HOUR(入力シート!U27),MINUTE(入力シート!U27),0)),"",TIME(HOUR(入力シート!U27),MINUTE(入力シート!U27),0))</f>
        <v/>
      </c>
      <c r="AM36" s="1104"/>
      <c r="AN36" s="1105"/>
      <c r="AO36" s="1137"/>
      <c r="AP36" s="1137"/>
      <c r="AQ36" s="1137"/>
      <c r="AR36" s="1137"/>
      <c r="AS36" s="1137"/>
      <c r="AU36" s="481" t="str">
        <f t="shared" si="1"/>
        <v/>
      </c>
    </row>
    <row r="37" spans="1:49" s="438" customFormat="1" ht="18" customHeight="1">
      <c r="A37" s="697">
        <f>入力シート!C28:C28</f>
        <v>44212</v>
      </c>
      <c r="B37" s="478">
        <f t="shared" si="2"/>
        <v>44212</v>
      </c>
      <c r="C37" s="1246" t="str">
        <f>IF(ISBLANK(入力シート!F28),IF(ISBLANK(入力シート!G28),"",入力シート!G28),入力シート!F28&amp;入力シート!G28)</f>
        <v/>
      </c>
      <c r="D37" s="1246"/>
      <c r="E37" s="1246"/>
      <c r="F37" s="1246"/>
      <c r="G37" s="1246"/>
      <c r="H37" s="1246"/>
      <c r="I37" s="1246"/>
      <c r="J37" s="1246"/>
      <c r="K37" s="1171" t="str">
        <f>IF(ISBLANK(入力シート!D28),"",入力シート!D28)</f>
        <v/>
      </c>
      <c r="L37" s="1104"/>
      <c r="M37" s="1104"/>
      <c r="N37" s="1104" t="str">
        <f>IF(ISBLANK(入力シート!E28),"",入力シート!E28)</f>
        <v/>
      </c>
      <c r="O37" s="1104"/>
      <c r="P37" s="1105"/>
      <c r="Q37" s="1153" t="str">
        <f t="shared" si="0"/>
        <v/>
      </c>
      <c r="R37" s="1154"/>
      <c r="S37" s="1155"/>
      <c r="T37" s="1156" t="str">
        <f>IF(LEFT(C37,2)="休出",入力シート!N28,IF(LEFT(C37,3)="法休出","",IF((TIME(HOUR(SUM(Z37:AN37)),MINUTE(SUM(Z37:AN37)),0)-TIME(8,0,0))*1440&lt;0,"",(TIME(HOUR(SUM(Z37:AN37)),MINUTE(SUM(Z37:AN37)),0)-TIME(8,0,0))*1440)))</f>
        <v/>
      </c>
      <c r="U37" s="1157"/>
      <c r="V37" s="1157"/>
      <c r="W37" s="1163" t="str">
        <f>IF(入力シート!O28="","",入力シート!O28)</f>
        <v/>
      </c>
      <c r="X37" s="1163"/>
      <c r="Y37" s="1164"/>
      <c r="Z37" s="1171" t="str">
        <f>IF(ISERROR(TIME(HOUR(入力シート!Q28),MINUTE(入力シート!Q28),0)),"",TIME(HOUR(入力シート!Q28),MINUTE(入力シート!Q28),0))</f>
        <v/>
      </c>
      <c r="AA37" s="1172"/>
      <c r="AB37" s="1172"/>
      <c r="AC37" s="1104" t="str">
        <f>IF(ISERROR(TIME(HOUR(入力シート!R28),MINUTE(入力シート!R28),0)),"",TIME(HOUR(入力シート!R28),MINUTE(入力シート!R28),0))</f>
        <v/>
      </c>
      <c r="AD37" s="1172"/>
      <c r="AE37" s="1172"/>
      <c r="AF37" s="1104" t="str">
        <f>IF(ISERROR(TIME(HOUR(入力シート!S28),MINUTE(入力シート!S28),0)),"",TIME(HOUR(入力シート!S28),MINUTE(入力シート!S28),0))</f>
        <v/>
      </c>
      <c r="AG37" s="1104"/>
      <c r="AH37" s="1104"/>
      <c r="AI37" s="1104" t="str">
        <f>IF(ISERROR(TIME(HOUR(入力シート!T28),MINUTE(入力シート!T28),0)),"",TIME(HOUR(入力シート!T28),MINUTE(入力シート!T28),0))</f>
        <v/>
      </c>
      <c r="AJ37" s="1104"/>
      <c r="AK37" s="1104"/>
      <c r="AL37" s="1104" t="str">
        <f>IF(ISERROR(TIME(HOUR(入力シート!U28),MINUTE(入力シート!U28),0)),"",TIME(HOUR(入力シート!U28),MINUTE(入力シート!U28),0))</f>
        <v/>
      </c>
      <c r="AM37" s="1104"/>
      <c r="AN37" s="1105"/>
      <c r="AO37" s="1137"/>
      <c r="AP37" s="1137"/>
      <c r="AQ37" s="1137"/>
      <c r="AR37" s="1137"/>
      <c r="AS37" s="1137"/>
      <c r="AU37" s="481" t="str">
        <f t="shared" si="1"/>
        <v/>
      </c>
    </row>
    <row r="38" spans="1:49" s="438" customFormat="1" ht="18" customHeight="1">
      <c r="A38" s="697">
        <f>入力シート!C29:C29</f>
        <v>44213</v>
      </c>
      <c r="B38" s="478">
        <f t="shared" si="2"/>
        <v>44213</v>
      </c>
      <c r="C38" s="1246" t="str">
        <f>IF(ISBLANK(入力シート!F29),IF(ISBLANK(入力シート!G29),"",入力シート!G29),入力シート!F29&amp;入力シート!G29)</f>
        <v/>
      </c>
      <c r="D38" s="1246"/>
      <c r="E38" s="1246"/>
      <c r="F38" s="1246"/>
      <c r="G38" s="1246"/>
      <c r="H38" s="1246"/>
      <c r="I38" s="1246"/>
      <c r="J38" s="1246"/>
      <c r="K38" s="1171" t="str">
        <f>IF(ISBLANK(入力シート!D29),"",入力シート!D29)</f>
        <v/>
      </c>
      <c r="L38" s="1104"/>
      <c r="M38" s="1104"/>
      <c r="N38" s="1104" t="str">
        <f>IF(ISBLANK(入力シート!E29),"",入力シート!E29)</f>
        <v/>
      </c>
      <c r="O38" s="1104"/>
      <c r="P38" s="1105"/>
      <c r="Q38" s="1153" t="str">
        <f t="shared" si="0"/>
        <v/>
      </c>
      <c r="R38" s="1154"/>
      <c r="S38" s="1155"/>
      <c r="T38" s="1156" t="str">
        <f>IF(LEFT(C38,2)="休出",入力シート!N29,IF(LEFT(C38,3)="法休出","",IF((TIME(HOUR(SUM(Z38:AN38)),MINUTE(SUM(Z38:AN38)),0)-TIME(8,0,0))*1440&lt;0,"",(TIME(HOUR(SUM(Z38:AN38)),MINUTE(SUM(Z38:AN38)),0)-TIME(8,0,0))*1440)))</f>
        <v/>
      </c>
      <c r="U38" s="1157"/>
      <c r="V38" s="1157"/>
      <c r="W38" s="1163" t="str">
        <f>IF(入力シート!O29="","",入力シート!O29)</f>
        <v/>
      </c>
      <c r="X38" s="1163"/>
      <c r="Y38" s="1164"/>
      <c r="Z38" s="1171" t="str">
        <f>IF(ISERROR(TIME(HOUR(入力シート!Q29),MINUTE(入力シート!Q29),0)),"",TIME(HOUR(入力シート!Q29),MINUTE(入力シート!Q29),0))</f>
        <v/>
      </c>
      <c r="AA38" s="1172"/>
      <c r="AB38" s="1172"/>
      <c r="AC38" s="1104" t="str">
        <f>IF(ISERROR(TIME(HOUR(入力シート!R29),MINUTE(入力シート!R29),0)),"",TIME(HOUR(入力シート!R29),MINUTE(入力シート!R29),0))</f>
        <v/>
      </c>
      <c r="AD38" s="1172"/>
      <c r="AE38" s="1172"/>
      <c r="AF38" s="1104" t="str">
        <f>IF(ISERROR(TIME(HOUR(入力シート!S29),MINUTE(入力シート!S29),0)),"",TIME(HOUR(入力シート!S29),MINUTE(入力シート!S29),0))</f>
        <v/>
      </c>
      <c r="AG38" s="1104"/>
      <c r="AH38" s="1104"/>
      <c r="AI38" s="1104" t="str">
        <f>IF(ISERROR(TIME(HOUR(入力シート!T29),MINUTE(入力シート!T29),0)),"",TIME(HOUR(入力シート!T29),MINUTE(入力シート!T29),0))</f>
        <v/>
      </c>
      <c r="AJ38" s="1104"/>
      <c r="AK38" s="1104"/>
      <c r="AL38" s="1104" t="str">
        <f>IF(ISERROR(TIME(HOUR(入力シート!U29),MINUTE(入力シート!U29),0)),"",TIME(HOUR(入力シート!U29),MINUTE(入力シート!U29),0))</f>
        <v/>
      </c>
      <c r="AM38" s="1104"/>
      <c r="AN38" s="1105"/>
      <c r="AO38" s="1137"/>
      <c r="AP38" s="1137"/>
      <c r="AQ38" s="1137"/>
      <c r="AR38" s="1137"/>
      <c r="AS38" s="1137"/>
      <c r="AU38" s="481" t="str">
        <f t="shared" si="1"/>
        <v/>
      </c>
    </row>
    <row r="39" spans="1:49" s="438" customFormat="1" ht="18" customHeight="1">
      <c r="A39" s="697">
        <f>入力シート!C30:C30</f>
        <v>44214</v>
      </c>
      <c r="B39" s="478">
        <f t="shared" si="2"/>
        <v>44214</v>
      </c>
      <c r="C39" s="1246" t="str">
        <f>IF(ISBLANK(入力シート!F30),IF(ISBLANK(入力シート!G30),"",入力シート!G30),入力シート!F30&amp;入力シート!G30)</f>
        <v/>
      </c>
      <c r="D39" s="1246"/>
      <c r="E39" s="1246"/>
      <c r="F39" s="1246"/>
      <c r="G39" s="1246"/>
      <c r="H39" s="1246"/>
      <c r="I39" s="1246"/>
      <c r="J39" s="1246"/>
      <c r="K39" s="1171" t="str">
        <f>IF(ISBLANK(入力シート!D30),"",入力シート!D30)</f>
        <v>9:30</v>
      </c>
      <c r="L39" s="1104"/>
      <c r="M39" s="1104"/>
      <c r="N39" s="1104" t="str">
        <f>IF(ISBLANK(入力シート!E30),"",入力シート!E30)</f>
        <v>18:15</v>
      </c>
      <c r="O39" s="1104"/>
      <c r="P39" s="1105"/>
      <c r="Q39" s="1153">
        <f t="shared" si="0"/>
        <v>4.166666666666663E-2</v>
      </c>
      <c r="R39" s="1154"/>
      <c r="S39" s="1155"/>
      <c r="T39" s="1156" t="str">
        <f>IF(LEFT(C39,2)="休出",入力シート!N30,IF(LEFT(C39,3)="法休出","",IF((TIME(HOUR(SUM(Z39:AN39)),MINUTE(SUM(Z39:AN39)),0)-TIME(8,0,0))*1440&lt;0,"",(TIME(HOUR(SUM(Z39:AN39)),MINUTE(SUM(Z39:AN39)),0)-TIME(8,0,0))*1440)))</f>
        <v/>
      </c>
      <c r="U39" s="1157"/>
      <c r="V39" s="1157"/>
      <c r="W39" s="1163" t="str">
        <f>IF(入力シート!O30="","",入力シート!O30)</f>
        <v/>
      </c>
      <c r="X39" s="1163"/>
      <c r="Y39" s="1164"/>
      <c r="Z39" s="1171">
        <f>IF(ISERROR(TIME(HOUR(入力シート!Q30),MINUTE(入力シート!Q30),0)),"",TIME(HOUR(入力シート!Q30),MINUTE(入力シート!Q30),0))</f>
        <v>0.32291666666666669</v>
      </c>
      <c r="AA39" s="1172"/>
      <c r="AB39" s="1172"/>
      <c r="AC39" s="1104" t="str">
        <f>IF(ISERROR(TIME(HOUR(入力シート!R30),MINUTE(入力シート!R30),0)),"",TIME(HOUR(入力シート!R30),MINUTE(入力シート!R30),0))</f>
        <v/>
      </c>
      <c r="AD39" s="1172"/>
      <c r="AE39" s="1172"/>
      <c r="AF39" s="1104" t="str">
        <f>IF(ISERROR(TIME(HOUR(入力シート!S30),MINUTE(入力シート!S30),0)),"",TIME(HOUR(入力シート!S30),MINUTE(入力シート!S30),0))</f>
        <v/>
      </c>
      <c r="AG39" s="1104"/>
      <c r="AH39" s="1104"/>
      <c r="AI39" s="1104" t="str">
        <f>IF(ISERROR(TIME(HOUR(入力シート!T30),MINUTE(入力シート!T30),0)),"",TIME(HOUR(入力シート!T30),MINUTE(入力シート!T30),0))</f>
        <v/>
      </c>
      <c r="AJ39" s="1104"/>
      <c r="AK39" s="1104"/>
      <c r="AL39" s="1104" t="str">
        <f>IF(ISERROR(TIME(HOUR(入力シート!U30),MINUTE(入力シート!U30),0)),"",TIME(HOUR(入力シート!U30),MINUTE(入力シート!U30),0))</f>
        <v/>
      </c>
      <c r="AM39" s="1104"/>
      <c r="AN39" s="1105"/>
      <c r="AO39" s="1137"/>
      <c r="AP39" s="1137"/>
      <c r="AQ39" s="1137"/>
      <c r="AR39" s="1137"/>
      <c r="AS39" s="1137"/>
      <c r="AU39" s="481" t="str">
        <f t="shared" si="1"/>
        <v/>
      </c>
    </row>
    <row r="40" spans="1:49" s="438" customFormat="1" ht="18" customHeight="1">
      <c r="A40" s="697">
        <f>入力シート!C31:C31</f>
        <v>44215</v>
      </c>
      <c r="B40" s="478">
        <f t="shared" si="2"/>
        <v>44215</v>
      </c>
      <c r="C40" s="1246" t="str">
        <f>IF(ISBLANK(入力シート!F31),IF(ISBLANK(入力シート!G31),"",入力シート!G31),入力シート!F31&amp;入力シート!G31)</f>
        <v/>
      </c>
      <c r="D40" s="1246"/>
      <c r="E40" s="1246"/>
      <c r="F40" s="1246"/>
      <c r="G40" s="1246"/>
      <c r="H40" s="1246"/>
      <c r="I40" s="1246"/>
      <c r="J40" s="1246"/>
      <c r="K40" s="1171" t="str">
        <f>IF(ISBLANK(入力シート!D31),"",入力シート!D31)</f>
        <v>9:30</v>
      </c>
      <c r="L40" s="1104"/>
      <c r="M40" s="1104"/>
      <c r="N40" s="1104" t="str">
        <f>IF(ISBLANK(入力シート!E31),"",入力シート!E31)</f>
        <v>18:15</v>
      </c>
      <c r="O40" s="1104"/>
      <c r="P40" s="1105"/>
      <c r="Q40" s="1153">
        <f t="shared" si="0"/>
        <v>4.166666666666663E-2</v>
      </c>
      <c r="R40" s="1154"/>
      <c r="S40" s="1155"/>
      <c r="T40" s="1156" t="str">
        <f>IF(LEFT(C40,2)="休出",入力シート!N31,IF(LEFT(C40,3)="法休出","",IF((TIME(HOUR(SUM(Z40:AN40)),MINUTE(SUM(Z40:AN40)),0)-TIME(8,0,0))*1440&lt;0,"",(TIME(HOUR(SUM(Z40:AN40)),MINUTE(SUM(Z40:AN40)),0)-TIME(8,0,0))*1440)))</f>
        <v/>
      </c>
      <c r="U40" s="1157"/>
      <c r="V40" s="1157"/>
      <c r="W40" s="1163" t="str">
        <f>IF(入力シート!O31="","",入力シート!O31)</f>
        <v/>
      </c>
      <c r="X40" s="1163"/>
      <c r="Y40" s="1164"/>
      <c r="Z40" s="1171">
        <f>IF(ISERROR(TIME(HOUR(入力シート!Q31),MINUTE(入力シート!Q31),0)),"",TIME(HOUR(入力シート!Q31),MINUTE(入力シート!Q31),0))</f>
        <v>0.32291666666666669</v>
      </c>
      <c r="AA40" s="1172"/>
      <c r="AB40" s="1172"/>
      <c r="AC40" s="1104" t="str">
        <f>IF(ISERROR(TIME(HOUR(入力シート!R31),MINUTE(入力シート!R31),0)),"",TIME(HOUR(入力シート!R31),MINUTE(入力シート!R31),0))</f>
        <v/>
      </c>
      <c r="AD40" s="1172"/>
      <c r="AE40" s="1172"/>
      <c r="AF40" s="1104" t="str">
        <f>IF(ISERROR(TIME(HOUR(入力シート!S31),MINUTE(入力シート!S31),0)),"",TIME(HOUR(入力シート!S31),MINUTE(入力シート!S31),0))</f>
        <v/>
      </c>
      <c r="AG40" s="1104"/>
      <c r="AH40" s="1104"/>
      <c r="AI40" s="1104" t="str">
        <f>IF(ISERROR(TIME(HOUR(入力シート!T31),MINUTE(入力シート!T31),0)),"",TIME(HOUR(入力シート!T31),MINUTE(入力シート!T31),0))</f>
        <v/>
      </c>
      <c r="AJ40" s="1104"/>
      <c r="AK40" s="1104"/>
      <c r="AL40" s="1104" t="str">
        <f>IF(ISERROR(TIME(HOUR(入力シート!U31),MINUTE(入力シート!U31),0)),"",TIME(HOUR(入力シート!U31),MINUTE(入力シート!U31),0))</f>
        <v/>
      </c>
      <c r="AM40" s="1104"/>
      <c r="AN40" s="1105"/>
      <c r="AO40" s="1137"/>
      <c r="AP40" s="1137"/>
      <c r="AQ40" s="1137"/>
      <c r="AR40" s="1137"/>
      <c r="AS40" s="1137"/>
      <c r="AU40" s="481" t="str">
        <f t="shared" si="1"/>
        <v/>
      </c>
    </row>
    <row r="41" spans="1:49" s="438" customFormat="1" ht="18" customHeight="1">
      <c r="A41" s="697">
        <f>入力シート!C32:C32</f>
        <v>44216</v>
      </c>
      <c r="B41" s="478">
        <f t="shared" si="2"/>
        <v>44216</v>
      </c>
      <c r="C41" s="1246" t="str">
        <f>IF(ISBLANK(入力シート!F32),IF(ISBLANK(入力シート!G32),"",入力シート!G32),入力シート!F32&amp;入力シート!G32)</f>
        <v/>
      </c>
      <c r="D41" s="1246"/>
      <c r="E41" s="1246"/>
      <c r="F41" s="1246"/>
      <c r="G41" s="1246"/>
      <c r="H41" s="1246"/>
      <c r="I41" s="1246"/>
      <c r="J41" s="1246"/>
      <c r="K41" s="1171" t="str">
        <f>IF(ISBLANK(入力シート!D32),"",入力シート!D32)</f>
        <v>9:30</v>
      </c>
      <c r="L41" s="1104"/>
      <c r="M41" s="1104"/>
      <c r="N41" s="1104" t="str">
        <f>IF(ISBLANK(入力シート!E32),"",入力シート!E32)</f>
        <v>18:15</v>
      </c>
      <c r="O41" s="1104"/>
      <c r="P41" s="1105"/>
      <c r="Q41" s="1153">
        <f t="shared" si="0"/>
        <v>4.166666666666663E-2</v>
      </c>
      <c r="R41" s="1154"/>
      <c r="S41" s="1155"/>
      <c r="T41" s="1156" t="str">
        <f>IF(LEFT(C41,2)="休出",入力シート!N32,IF(LEFT(C41,3)="法休出","",IF((TIME(HOUR(SUM(Z41:AN41)),MINUTE(SUM(Z41:AN41)),0)-TIME(8,0,0))*1440&lt;0,"",(TIME(HOUR(SUM(Z41:AN41)),MINUTE(SUM(Z41:AN41)),0)-TIME(8,0,0))*1440)))</f>
        <v/>
      </c>
      <c r="U41" s="1157"/>
      <c r="V41" s="1157"/>
      <c r="W41" s="1163" t="str">
        <f>IF(入力シート!O32="","",入力シート!O32)</f>
        <v/>
      </c>
      <c r="X41" s="1163"/>
      <c r="Y41" s="1164"/>
      <c r="Z41" s="1171">
        <f>IF(ISERROR(TIME(HOUR(入力シート!Q32),MINUTE(入力シート!Q32),0)),"",TIME(HOUR(入力シート!Q32),MINUTE(入力シート!Q32),0))</f>
        <v>0.32291666666666669</v>
      </c>
      <c r="AA41" s="1172"/>
      <c r="AB41" s="1172"/>
      <c r="AC41" s="1104" t="str">
        <f>IF(ISERROR(TIME(HOUR(入力シート!R32),MINUTE(入力シート!R32),0)),"",TIME(HOUR(入力シート!R32),MINUTE(入力シート!R32),0))</f>
        <v/>
      </c>
      <c r="AD41" s="1172"/>
      <c r="AE41" s="1172"/>
      <c r="AF41" s="1104" t="str">
        <f>IF(ISERROR(TIME(HOUR(入力シート!S32),MINUTE(入力シート!S32),0)),"",TIME(HOUR(入力シート!S32),MINUTE(入力シート!S32),0))</f>
        <v/>
      </c>
      <c r="AG41" s="1104"/>
      <c r="AH41" s="1104"/>
      <c r="AI41" s="1104" t="str">
        <f>IF(ISERROR(TIME(HOUR(入力シート!T32),MINUTE(入力シート!T32),0)),"",TIME(HOUR(入力シート!T32),MINUTE(入力シート!T32),0))</f>
        <v/>
      </c>
      <c r="AJ41" s="1104"/>
      <c r="AK41" s="1104"/>
      <c r="AL41" s="1104" t="str">
        <f>IF(ISERROR(TIME(HOUR(入力シート!U32),MINUTE(入力シート!U32),0)),"",TIME(HOUR(入力シート!U32),MINUTE(入力シート!U32),0))</f>
        <v/>
      </c>
      <c r="AM41" s="1104"/>
      <c r="AN41" s="1105"/>
      <c r="AO41" s="1137"/>
      <c r="AP41" s="1137"/>
      <c r="AQ41" s="1137"/>
      <c r="AR41" s="1137"/>
      <c r="AS41" s="1137"/>
      <c r="AU41" s="481" t="str">
        <f t="shared" si="1"/>
        <v/>
      </c>
    </row>
    <row r="42" spans="1:49" s="438" customFormat="1" ht="18" customHeight="1">
      <c r="A42" s="697">
        <f>入力シート!C33:C33</f>
        <v>44217</v>
      </c>
      <c r="B42" s="478">
        <f t="shared" si="2"/>
        <v>44217</v>
      </c>
      <c r="C42" s="1246" t="str">
        <f>IF(ISBLANK(入力シート!F33),IF(ISBLANK(入力シート!G33),"",入力シート!G33),入力シート!F33&amp;入力シート!G33)</f>
        <v/>
      </c>
      <c r="D42" s="1246"/>
      <c r="E42" s="1246"/>
      <c r="F42" s="1246"/>
      <c r="G42" s="1246"/>
      <c r="H42" s="1246"/>
      <c r="I42" s="1246"/>
      <c r="J42" s="1246"/>
      <c r="K42" s="1171" t="str">
        <f>IF(ISBLANK(入力シート!D33),"",入力シート!D33)</f>
        <v>9:30</v>
      </c>
      <c r="L42" s="1104"/>
      <c r="M42" s="1104"/>
      <c r="N42" s="1104" t="str">
        <f>IF(ISBLANK(入力シート!E33),"",入力シート!E33)</f>
        <v>19:15</v>
      </c>
      <c r="O42" s="1104"/>
      <c r="P42" s="1105"/>
      <c r="Q42" s="1153">
        <f t="shared" si="0"/>
        <v>6.2500000000000056E-2</v>
      </c>
      <c r="R42" s="1154"/>
      <c r="S42" s="1155"/>
      <c r="T42" s="1156">
        <f>IF(LEFT(C42,2)="休出",入力シート!N33,IF(LEFT(C42,3)="法休出","",IF((TIME(HOUR(SUM(Z42:AN42)),MINUTE(SUM(Z42:AN42)),0)-TIME(8,0,0))*1440&lt;0,"",(TIME(HOUR(SUM(Z42:AN42)),MINUTE(SUM(Z42:AN42)),0)-TIME(8,0,0))*1440)))</f>
        <v>15.000000000000027</v>
      </c>
      <c r="U42" s="1157"/>
      <c r="V42" s="1157"/>
      <c r="W42" s="1163" t="str">
        <f>IF(入力シート!O33="","",入力シート!O33)</f>
        <v/>
      </c>
      <c r="X42" s="1163"/>
      <c r="Y42" s="1164"/>
      <c r="Z42" s="1171">
        <f>IF(ISERROR(TIME(HOUR(入力シート!Q33),MINUTE(入力シート!Q33),0)),"",TIME(HOUR(入力シート!Q33),MINUTE(入力シート!Q33),0))</f>
        <v>0.34375</v>
      </c>
      <c r="AA42" s="1172"/>
      <c r="AB42" s="1172"/>
      <c r="AC42" s="1104" t="str">
        <f>IF(ISERROR(TIME(HOUR(入力シート!R33),MINUTE(入力シート!R33),0)),"",TIME(HOUR(入力シート!R33),MINUTE(入力シート!R33),0))</f>
        <v/>
      </c>
      <c r="AD42" s="1172"/>
      <c r="AE42" s="1172"/>
      <c r="AF42" s="1104" t="str">
        <f>IF(ISERROR(TIME(HOUR(入力シート!S33),MINUTE(入力シート!S33),0)),"",TIME(HOUR(入力シート!S33),MINUTE(入力シート!S33),0))</f>
        <v/>
      </c>
      <c r="AG42" s="1104"/>
      <c r="AH42" s="1104"/>
      <c r="AI42" s="1104" t="str">
        <f>IF(ISERROR(TIME(HOUR(入力シート!T33),MINUTE(入力シート!T33),0)),"",TIME(HOUR(入力シート!T33),MINUTE(入力シート!T33),0))</f>
        <v/>
      </c>
      <c r="AJ42" s="1104"/>
      <c r="AK42" s="1104"/>
      <c r="AL42" s="1104" t="str">
        <f>IF(ISERROR(TIME(HOUR(入力シート!U33),MINUTE(入力シート!U33),0)),"",TIME(HOUR(入力シート!U33),MINUTE(入力シート!U33),0))</f>
        <v/>
      </c>
      <c r="AM42" s="1104"/>
      <c r="AN42" s="1105"/>
      <c r="AO42" s="1137"/>
      <c r="AP42" s="1137"/>
      <c r="AQ42" s="1137"/>
      <c r="AR42" s="1137"/>
      <c r="AS42" s="1137"/>
      <c r="AU42" s="481" t="str">
        <f t="shared" si="1"/>
        <v/>
      </c>
    </row>
    <row r="43" spans="1:49" s="438" customFormat="1" ht="18" customHeight="1">
      <c r="A43" s="697">
        <f>入力シート!C34:C34</f>
        <v>44218</v>
      </c>
      <c r="B43" s="478">
        <f t="shared" si="2"/>
        <v>44218</v>
      </c>
      <c r="C43" s="1246" t="str">
        <f>IF(ISBLANK(入力シート!F34),IF(ISBLANK(入力シート!G34),"",入力シート!G34),入力シート!F34&amp;入力シート!G34)</f>
        <v/>
      </c>
      <c r="D43" s="1246"/>
      <c r="E43" s="1246"/>
      <c r="F43" s="1246"/>
      <c r="G43" s="1246"/>
      <c r="H43" s="1246"/>
      <c r="I43" s="1246"/>
      <c r="J43" s="1246"/>
      <c r="K43" s="1171" t="str">
        <f>IF(ISBLANK(入力シート!D34),"",入力シート!D34)</f>
        <v>9:30</v>
      </c>
      <c r="L43" s="1104"/>
      <c r="M43" s="1104"/>
      <c r="N43" s="1104" t="str">
        <f>IF(ISBLANK(入力シート!E34),"",入力シート!E34)</f>
        <v>18:15</v>
      </c>
      <c r="O43" s="1104"/>
      <c r="P43" s="1105"/>
      <c r="Q43" s="1153">
        <f t="shared" si="0"/>
        <v>4.166666666666663E-2</v>
      </c>
      <c r="R43" s="1154"/>
      <c r="S43" s="1155"/>
      <c r="T43" s="1156" t="str">
        <f>IF(LEFT(C43,2)="休出",入力シート!N34,IF(LEFT(C43,3)="法休出","",IF((TIME(HOUR(SUM(Z43:AN43)),MINUTE(SUM(Z43:AN43)),0)-TIME(8,0,0))*1440&lt;0,"",(TIME(HOUR(SUM(Z43:AN43)),MINUTE(SUM(Z43:AN43)),0)-TIME(8,0,0))*1440)))</f>
        <v/>
      </c>
      <c r="U43" s="1157"/>
      <c r="V43" s="1157"/>
      <c r="W43" s="1163" t="str">
        <f>IF(入力シート!O34="","",入力シート!O34)</f>
        <v/>
      </c>
      <c r="X43" s="1163"/>
      <c r="Y43" s="1164"/>
      <c r="Z43" s="1171">
        <f>IF(ISERROR(TIME(HOUR(入力シート!Q34),MINUTE(入力シート!Q34),0)),"",TIME(HOUR(入力シート!Q34),MINUTE(入力シート!Q34),0))</f>
        <v>0.32291666666666669</v>
      </c>
      <c r="AA43" s="1172"/>
      <c r="AB43" s="1172"/>
      <c r="AC43" s="1104" t="str">
        <f>IF(ISERROR(TIME(HOUR(入力シート!R34),MINUTE(入力シート!R34),0)),"",TIME(HOUR(入力シート!R34),MINUTE(入力シート!R34),0))</f>
        <v/>
      </c>
      <c r="AD43" s="1172"/>
      <c r="AE43" s="1172"/>
      <c r="AF43" s="1104" t="str">
        <f>IF(ISERROR(TIME(HOUR(入力シート!S34),MINUTE(入力シート!S34),0)),"",TIME(HOUR(入力シート!S34),MINUTE(入力シート!S34),0))</f>
        <v/>
      </c>
      <c r="AG43" s="1104"/>
      <c r="AH43" s="1104"/>
      <c r="AI43" s="1104" t="str">
        <f>IF(ISERROR(TIME(HOUR(入力シート!T34),MINUTE(入力シート!T34),0)),"",TIME(HOUR(入力シート!T34),MINUTE(入力シート!T34),0))</f>
        <v/>
      </c>
      <c r="AJ43" s="1104"/>
      <c r="AK43" s="1104"/>
      <c r="AL43" s="1104" t="str">
        <f>IF(ISERROR(TIME(HOUR(入力シート!U34),MINUTE(入力シート!U34),0)),"",TIME(HOUR(入力シート!U34),MINUTE(入力シート!U34),0))</f>
        <v/>
      </c>
      <c r="AM43" s="1104"/>
      <c r="AN43" s="1105"/>
      <c r="AO43" s="1137"/>
      <c r="AP43" s="1137"/>
      <c r="AQ43" s="1137"/>
      <c r="AR43" s="1137"/>
      <c r="AS43" s="1137"/>
      <c r="AU43" s="481" t="str">
        <f t="shared" si="1"/>
        <v/>
      </c>
    </row>
    <row r="44" spans="1:49" s="438" customFormat="1" ht="18" customHeight="1">
      <c r="A44" s="697">
        <f>入力シート!C35:C35</f>
        <v>44219</v>
      </c>
      <c r="B44" s="478">
        <f t="shared" si="2"/>
        <v>44219</v>
      </c>
      <c r="C44" s="1246" t="str">
        <f>IF(ISBLANK(入力シート!F35),IF(ISBLANK(入力シート!G35),"",入力シート!G35),入力シート!F35&amp;入力シート!G35)</f>
        <v/>
      </c>
      <c r="D44" s="1246"/>
      <c r="E44" s="1246"/>
      <c r="F44" s="1246"/>
      <c r="G44" s="1246"/>
      <c r="H44" s="1246"/>
      <c r="I44" s="1246"/>
      <c r="J44" s="1246"/>
      <c r="K44" s="1171" t="str">
        <f>IF(ISBLANK(入力シート!D35),"",入力シート!D35)</f>
        <v/>
      </c>
      <c r="L44" s="1104"/>
      <c r="M44" s="1104"/>
      <c r="N44" s="1104" t="str">
        <f>IF(ISBLANK(入力シート!E35),"",入力シート!E35)</f>
        <v/>
      </c>
      <c r="O44" s="1104"/>
      <c r="P44" s="1105"/>
      <c r="Q44" s="1153" t="str">
        <f t="shared" si="0"/>
        <v/>
      </c>
      <c r="R44" s="1154"/>
      <c r="S44" s="1155"/>
      <c r="T44" s="1156" t="str">
        <f>IF(LEFT(C44,2)="休出",入力シート!N35,IF(LEFT(C44,3)="法休出","",IF((TIME(HOUR(SUM(Z44:AN44)),MINUTE(SUM(Z44:AN44)),0)-TIME(8,0,0))*1440&lt;0,"",(TIME(HOUR(SUM(Z44:AN44)),MINUTE(SUM(Z44:AN44)),0)-TIME(8,0,0))*1440)))</f>
        <v/>
      </c>
      <c r="U44" s="1157"/>
      <c r="V44" s="1157"/>
      <c r="W44" s="1163" t="str">
        <f>IF(入力シート!O35="","",入力シート!O35)</f>
        <v/>
      </c>
      <c r="X44" s="1163"/>
      <c r="Y44" s="1164"/>
      <c r="Z44" s="1171" t="str">
        <f>IF(ISERROR(TIME(HOUR(入力シート!Q35),MINUTE(入力シート!Q35),0)),"",TIME(HOUR(入力シート!Q35),MINUTE(入力シート!Q35),0))</f>
        <v/>
      </c>
      <c r="AA44" s="1172"/>
      <c r="AB44" s="1172"/>
      <c r="AC44" s="1104" t="str">
        <f>IF(ISERROR(TIME(HOUR(入力シート!R35),MINUTE(入力シート!R35),0)),"",TIME(HOUR(入力シート!R35),MINUTE(入力シート!R35),0))</f>
        <v/>
      </c>
      <c r="AD44" s="1172"/>
      <c r="AE44" s="1172"/>
      <c r="AF44" s="1104" t="str">
        <f>IF(ISERROR(TIME(HOUR(入力シート!S35),MINUTE(入力シート!S35),0)),"",TIME(HOUR(入力シート!S35),MINUTE(入力シート!S35),0))</f>
        <v/>
      </c>
      <c r="AG44" s="1104"/>
      <c r="AH44" s="1104"/>
      <c r="AI44" s="1104" t="str">
        <f>IF(ISERROR(TIME(HOUR(入力シート!T35),MINUTE(入力シート!T35),0)),"",TIME(HOUR(入力シート!T35),MINUTE(入力シート!T35),0))</f>
        <v/>
      </c>
      <c r="AJ44" s="1104"/>
      <c r="AK44" s="1104"/>
      <c r="AL44" s="1104" t="str">
        <f>IF(ISERROR(TIME(HOUR(入力シート!U35),MINUTE(入力シート!U35),0)),"",TIME(HOUR(入力シート!U35),MINUTE(入力シート!U35),0))</f>
        <v/>
      </c>
      <c r="AM44" s="1104"/>
      <c r="AN44" s="1105"/>
      <c r="AO44" s="1137"/>
      <c r="AP44" s="1137"/>
      <c r="AQ44" s="1137"/>
      <c r="AR44" s="1137"/>
      <c r="AS44" s="1137"/>
      <c r="AU44" s="481" t="str">
        <f t="shared" si="1"/>
        <v/>
      </c>
    </row>
    <row r="45" spans="1:49" s="438" customFormat="1" ht="18" customHeight="1">
      <c r="A45" s="697">
        <f>入力シート!C36:C36</f>
        <v>44220</v>
      </c>
      <c r="B45" s="478">
        <f t="shared" si="2"/>
        <v>44220</v>
      </c>
      <c r="C45" s="1246" t="str">
        <f>IF(ISBLANK(入力シート!F36),IF(ISBLANK(入力シート!G36),"",入力シート!G36),入力シート!F36&amp;入力シート!G36)</f>
        <v/>
      </c>
      <c r="D45" s="1246"/>
      <c r="E45" s="1246"/>
      <c r="F45" s="1246"/>
      <c r="G45" s="1246"/>
      <c r="H45" s="1246"/>
      <c r="I45" s="1246"/>
      <c r="J45" s="1246"/>
      <c r="K45" s="1171" t="str">
        <f>IF(ISBLANK(入力シート!D36),"",入力シート!D36)</f>
        <v/>
      </c>
      <c r="L45" s="1104"/>
      <c r="M45" s="1104"/>
      <c r="N45" s="1104" t="str">
        <f>IF(ISBLANK(入力シート!E36),"",入力シート!E36)</f>
        <v/>
      </c>
      <c r="O45" s="1104"/>
      <c r="P45" s="1105"/>
      <c r="Q45" s="1153" t="str">
        <f t="shared" si="0"/>
        <v/>
      </c>
      <c r="R45" s="1154"/>
      <c r="S45" s="1155"/>
      <c r="T45" s="1156" t="str">
        <f>IF(LEFT(C45,2)="休出",入力シート!N36,IF(LEFT(C45,3)="法休出","",IF((TIME(HOUR(SUM(Z45:AN45)),MINUTE(SUM(Z45:AN45)),0)-TIME(8,0,0))*1440&lt;0,"",(TIME(HOUR(SUM(Z45:AN45)),MINUTE(SUM(Z45:AN45)),0)-TIME(8,0,0))*1440)))</f>
        <v/>
      </c>
      <c r="U45" s="1157"/>
      <c r="V45" s="1157"/>
      <c r="W45" s="1163" t="str">
        <f>IF(入力シート!O36="","",入力シート!O36)</f>
        <v/>
      </c>
      <c r="X45" s="1163"/>
      <c r="Y45" s="1164"/>
      <c r="Z45" s="1171" t="str">
        <f>IF(ISERROR(TIME(HOUR(入力シート!Q36),MINUTE(入力シート!Q36),0)),"",TIME(HOUR(入力シート!Q36),MINUTE(入力シート!Q36),0))</f>
        <v/>
      </c>
      <c r="AA45" s="1172"/>
      <c r="AB45" s="1172"/>
      <c r="AC45" s="1104" t="str">
        <f>IF(ISERROR(TIME(HOUR(入力シート!R36),MINUTE(入力シート!R36),0)),"",TIME(HOUR(入力シート!R36),MINUTE(入力シート!R36),0))</f>
        <v/>
      </c>
      <c r="AD45" s="1172"/>
      <c r="AE45" s="1172"/>
      <c r="AF45" s="1104" t="str">
        <f>IF(ISERROR(TIME(HOUR(入力シート!S36),MINUTE(入力シート!S36),0)),"",TIME(HOUR(入力シート!S36),MINUTE(入力シート!S36),0))</f>
        <v/>
      </c>
      <c r="AG45" s="1104"/>
      <c r="AH45" s="1104"/>
      <c r="AI45" s="1104" t="str">
        <f>IF(ISERROR(TIME(HOUR(入力シート!T36),MINUTE(入力シート!T36),0)),"",TIME(HOUR(入力シート!T36),MINUTE(入力シート!T36),0))</f>
        <v/>
      </c>
      <c r="AJ45" s="1104"/>
      <c r="AK45" s="1104"/>
      <c r="AL45" s="1104" t="str">
        <f>IF(ISERROR(TIME(HOUR(入力シート!U36),MINUTE(入力シート!U36),0)),"",TIME(HOUR(入力シート!U36),MINUTE(入力シート!U36),0))</f>
        <v/>
      </c>
      <c r="AM45" s="1104"/>
      <c r="AN45" s="1105"/>
      <c r="AO45" s="1137"/>
      <c r="AP45" s="1137"/>
      <c r="AQ45" s="1137"/>
      <c r="AR45" s="1137"/>
      <c r="AS45" s="1137"/>
      <c r="AU45" s="481" t="str">
        <f t="shared" si="1"/>
        <v/>
      </c>
    </row>
    <row r="46" spans="1:49" s="438" customFormat="1" ht="18" customHeight="1">
      <c r="A46" s="697">
        <f>入力シート!C37:C37</f>
        <v>44221</v>
      </c>
      <c r="B46" s="478">
        <f t="shared" si="2"/>
        <v>44221</v>
      </c>
      <c r="C46" s="1246" t="str">
        <f>IF(ISBLANK(入力シート!F37),IF(ISBLANK(入力シート!G37),"",入力シート!G37),入力シート!F37&amp;入力シート!G37)</f>
        <v/>
      </c>
      <c r="D46" s="1246"/>
      <c r="E46" s="1246"/>
      <c r="F46" s="1246"/>
      <c r="G46" s="1246"/>
      <c r="H46" s="1246"/>
      <c r="I46" s="1246"/>
      <c r="J46" s="1246"/>
      <c r="K46" s="1171" t="str">
        <f>IF(ISBLANK(入力シート!D37),"",入力シート!D37)</f>
        <v>9:30</v>
      </c>
      <c r="L46" s="1104"/>
      <c r="M46" s="1104"/>
      <c r="N46" s="1104" t="str">
        <f>IF(ISBLANK(入力シート!E37),"",入力シート!E37)</f>
        <v>18:15</v>
      </c>
      <c r="O46" s="1104"/>
      <c r="P46" s="1105"/>
      <c r="Q46" s="1153">
        <f t="shared" si="0"/>
        <v>4.166666666666663E-2</v>
      </c>
      <c r="R46" s="1154"/>
      <c r="S46" s="1155"/>
      <c r="T46" s="1156" t="str">
        <f>IF(LEFT(C46,2)="休出",入力シート!N37,IF(LEFT(C46,3)="法休出","",IF((TIME(HOUR(SUM(Z46:AN46)),MINUTE(SUM(Z46:AN46)),0)-TIME(8,0,0))*1440&lt;0,"",(TIME(HOUR(SUM(Z46:AN46)),MINUTE(SUM(Z46:AN46)),0)-TIME(8,0,0))*1440)))</f>
        <v/>
      </c>
      <c r="U46" s="1157"/>
      <c r="V46" s="1157"/>
      <c r="W46" s="1163" t="str">
        <f>IF(入力シート!O37="","",入力シート!O37)</f>
        <v/>
      </c>
      <c r="X46" s="1163"/>
      <c r="Y46" s="1164"/>
      <c r="Z46" s="1171">
        <f>IF(ISERROR(TIME(HOUR(入力シート!Q37),MINUTE(入力シート!Q37),0)),"",TIME(HOUR(入力シート!Q37),MINUTE(入力シート!Q37),0))</f>
        <v>0.32291666666666669</v>
      </c>
      <c r="AA46" s="1172"/>
      <c r="AB46" s="1172"/>
      <c r="AC46" s="1104" t="str">
        <f>IF(ISERROR(TIME(HOUR(入力シート!R37),MINUTE(入力シート!R37),0)),"",TIME(HOUR(入力シート!R37),MINUTE(入力シート!R37),0))</f>
        <v/>
      </c>
      <c r="AD46" s="1172"/>
      <c r="AE46" s="1172"/>
      <c r="AF46" s="1104" t="str">
        <f>IF(ISERROR(TIME(HOUR(入力シート!S37),MINUTE(入力シート!S37),0)),"",TIME(HOUR(入力シート!S37),MINUTE(入力シート!S37),0))</f>
        <v/>
      </c>
      <c r="AG46" s="1104"/>
      <c r="AH46" s="1104"/>
      <c r="AI46" s="1104" t="str">
        <f>IF(ISERROR(TIME(HOUR(入力シート!T37),MINUTE(入力シート!T37),0)),"",TIME(HOUR(入力シート!T37),MINUTE(入力シート!T37),0))</f>
        <v/>
      </c>
      <c r="AJ46" s="1104"/>
      <c r="AK46" s="1104"/>
      <c r="AL46" s="1104" t="str">
        <f>IF(ISERROR(TIME(HOUR(入力シート!U37),MINUTE(入力シート!U37),0)),"",TIME(HOUR(入力シート!U37),MINUTE(入力シート!U37),0))</f>
        <v/>
      </c>
      <c r="AM46" s="1104"/>
      <c r="AN46" s="1105"/>
      <c r="AO46" s="1137"/>
      <c r="AP46" s="1137"/>
      <c r="AQ46" s="1137"/>
      <c r="AR46" s="1137"/>
      <c r="AS46" s="1137"/>
      <c r="AU46" s="481" t="str">
        <f t="shared" si="1"/>
        <v/>
      </c>
    </row>
    <row r="47" spans="1:49" s="438" customFormat="1" ht="18" customHeight="1">
      <c r="A47" s="697">
        <f>入力シート!C38:C38</f>
        <v>44222</v>
      </c>
      <c r="B47" s="478">
        <f t="shared" si="2"/>
        <v>44222</v>
      </c>
      <c r="C47" s="1246" t="str">
        <f>IF(ISBLANK(入力シート!F38),IF(ISBLANK(入力シート!G38),"",入力シート!G38),入力シート!F38&amp;入力シート!G38)</f>
        <v/>
      </c>
      <c r="D47" s="1246"/>
      <c r="E47" s="1246"/>
      <c r="F47" s="1246"/>
      <c r="G47" s="1246"/>
      <c r="H47" s="1246"/>
      <c r="I47" s="1246"/>
      <c r="J47" s="1246"/>
      <c r="K47" s="1171" t="str">
        <f>IF(ISBLANK(入力シート!D38),"",入力シート!D38)</f>
        <v>9:30</v>
      </c>
      <c r="L47" s="1104"/>
      <c r="M47" s="1104"/>
      <c r="N47" s="1104" t="str">
        <f>IF(ISBLANK(入力シート!E38),"",入力シート!E38)</f>
        <v>19:45</v>
      </c>
      <c r="O47" s="1104"/>
      <c r="P47" s="1105"/>
      <c r="Q47" s="1153">
        <f t="shared" si="0"/>
        <v>6.25E-2</v>
      </c>
      <c r="R47" s="1154"/>
      <c r="S47" s="1155"/>
      <c r="T47" s="1156">
        <f>IF(LEFT(C47,2)="休出",入力シート!N38,IF(LEFT(C47,3)="法休出","",IF((TIME(HOUR(SUM(Z47:AN47)),MINUTE(SUM(Z47:AN47)),0)-TIME(8,0,0))*1440&lt;0,"",(TIME(HOUR(SUM(Z47:AN47)),MINUTE(SUM(Z47:AN47)),0)-TIME(8,0,0))*1440)))</f>
        <v>45</v>
      </c>
      <c r="U47" s="1157"/>
      <c r="V47" s="1157"/>
      <c r="W47" s="1163" t="str">
        <f>IF(入力シート!O38="","",入力シート!O38)</f>
        <v/>
      </c>
      <c r="X47" s="1163"/>
      <c r="Y47" s="1164"/>
      <c r="Z47" s="1171">
        <f>IF(ISERROR(TIME(HOUR(入力シート!Q38),MINUTE(入力シート!Q38),0)),"",TIME(HOUR(入力シート!Q38),MINUTE(入力シート!Q38),0))</f>
        <v>0.36458333333333331</v>
      </c>
      <c r="AA47" s="1172"/>
      <c r="AB47" s="1172"/>
      <c r="AC47" s="1104" t="str">
        <f>IF(ISERROR(TIME(HOUR(入力シート!R38),MINUTE(入力シート!R38),0)),"",TIME(HOUR(入力シート!R38),MINUTE(入力シート!R38),0))</f>
        <v/>
      </c>
      <c r="AD47" s="1172"/>
      <c r="AE47" s="1172"/>
      <c r="AF47" s="1104" t="str">
        <f>IF(ISERROR(TIME(HOUR(入力シート!S38),MINUTE(入力シート!S38),0)),"",TIME(HOUR(入力シート!S38),MINUTE(入力シート!S38),0))</f>
        <v/>
      </c>
      <c r="AG47" s="1104"/>
      <c r="AH47" s="1104"/>
      <c r="AI47" s="1104" t="str">
        <f>IF(ISERROR(TIME(HOUR(入力シート!T38),MINUTE(入力シート!T38),0)),"",TIME(HOUR(入力シート!T38),MINUTE(入力シート!T38),0))</f>
        <v/>
      </c>
      <c r="AJ47" s="1104"/>
      <c r="AK47" s="1104"/>
      <c r="AL47" s="1104" t="str">
        <f>IF(ISERROR(TIME(HOUR(入力シート!U38),MINUTE(入力シート!U38),0)),"",TIME(HOUR(入力シート!U38),MINUTE(入力シート!U38),0))</f>
        <v/>
      </c>
      <c r="AM47" s="1104"/>
      <c r="AN47" s="1105"/>
      <c r="AO47" s="1137"/>
      <c r="AP47" s="1137"/>
      <c r="AQ47" s="1137"/>
      <c r="AR47" s="1137"/>
      <c r="AS47" s="1137"/>
      <c r="AU47" s="481" t="str">
        <f t="shared" si="1"/>
        <v/>
      </c>
      <c r="AV47" s="481"/>
      <c r="AW47" s="482"/>
    </row>
    <row r="48" spans="1:49" s="438" customFormat="1" ht="18" customHeight="1">
      <c r="A48" s="697">
        <f>入力シート!C39:C39</f>
        <v>44223</v>
      </c>
      <c r="B48" s="478">
        <f t="shared" si="2"/>
        <v>44223</v>
      </c>
      <c r="C48" s="1246" t="str">
        <f>IF(ISBLANK(入力シート!F39),IF(ISBLANK(入力シート!G39),"",入力シート!G39),入力シート!F39&amp;入力シート!G39)</f>
        <v/>
      </c>
      <c r="D48" s="1246"/>
      <c r="E48" s="1246"/>
      <c r="F48" s="1246"/>
      <c r="G48" s="1246"/>
      <c r="H48" s="1246"/>
      <c r="I48" s="1246"/>
      <c r="J48" s="1246"/>
      <c r="K48" s="1171" t="str">
        <f>IF(ISBLANK(入力シート!D39),"",入力シート!D39)</f>
        <v>9:30</v>
      </c>
      <c r="L48" s="1104"/>
      <c r="M48" s="1104"/>
      <c r="N48" s="1104" t="str">
        <f>IF(ISBLANK(入力シート!E39),"",入力シート!E39)</f>
        <v>18:15</v>
      </c>
      <c r="O48" s="1104"/>
      <c r="P48" s="1105"/>
      <c r="Q48" s="1153">
        <f t="shared" si="0"/>
        <v>4.166666666666663E-2</v>
      </c>
      <c r="R48" s="1154"/>
      <c r="S48" s="1155"/>
      <c r="T48" s="1156" t="str">
        <f>IF(LEFT(C48,2)="休出",入力シート!N39,IF(LEFT(C48,3)="法休出","",IF((TIME(HOUR(SUM(Z48:AN48)),MINUTE(SUM(Z48:AN48)),0)-TIME(8,0,0))*1440&lt;0,"",(TIME(HOUR(SUM(Z48:AN48)),MINUTE(SUM(Z48:AN48)),0)-TIME(8,0,0))*1440)))</f>
        <v/>
      </c>
      <c r="U48" s="1157"/>
      <c r="V48" s="1157"/>
      <c r="W48" s="1163" t="str">
        <f>IF(入力シート!O39="","",入力シート!O39)</f>
        <v/>
      </c>
      <c r="X48" s="1163"/>
      <c r="Y48" s="1164"/>
      <c r="Z48" s="1171">
        <f>IF(ISERROR(TIME(HOUR(入力シート!Q39),MINUTE(入力シート!Q39),0)),"",TIME(HOUR(入力シート!Q39),MINUTE(入力シート!Q39),0))</f>
        <v>0.32291666666666669</v>
      </c>
      <c r="AA48" s="1172"/>
      <c r="AB48" s="1172"/>
      <c r="AC48" s="1104" t="str">
        <f>IF(ISERROR(TIME(HOUR(入力シート!R39),MINUTE(入力シート!R39),0)),"",TIME(HOUR(入力シート!R39),MINUTE(入力シート!R39),0))</f>
        <v/>
      </c>
      <c r="AD48" s="1172"/>
      <c r="AE48" s="1172"/>
      <c r="AF48" s="1104" t="str">
        <f>IF(ISERROR(TIME(HOUR(入力シート!S39),MINUTE(入力シート!S39),0)),"",TIME(HOUR(入力シート!S39),MINUTE(入力シート!S39),0))</f>
        <v/>
      </c>
      <c r="AG48" s="1104"/>
      <c r="AH48" s="1104"/>
      <c r="AI48" s="1104" t="str">
        <f>IF(ISERROR(TIME(HOUR(入力シート!T39),MINUTE(入力シート!T39),0)),"",TIME(HOUR(入力シート!T39),MINUTE(入力シート!T39),0))</f>
        <v/>
      </c>
      <c r="AJ48" s="1104"/>
      <c r="AK48" s="1104"/>
      <c r="AL48" s="1104" t="str">
        <f>IF(ISERROR(TIME(HOUR(入力シート!U39),MINUTE(入力シート!U39),0)),"",TIME(HOUR(入力シート!U39),MINUTE(入力シート!U39),0))</f>
        <v/>
      </c>
      <c r="AM48" s="1104"/>
      <c r="AN48" s="1105"/>
      <c r="AO48" s="1137"/>
      <c r="AP48" s="1137"/>
      <c r="AQ48" s="1137"/>
      <c r="AR48" s="1137"/>
      <c r="AS48" s="1137"/>
      <c r="AU48" s="481" t="str">
        <f t="shared" si="1"/>
        <v/>
      </c>
    </row>
    <row r="49" spans="1:48" s="438" customFormat="1" ht="18" customHeight="1">
      <c r="A49" s="697">
        <f>入力シート!C40:C40</f>
        <v>44224</v>
      </c>
      <c r="B49" s="478">
        <f t="shared" si="2"/>
        <v>44224</v>
      </c>
      <c r="C49" s="1246" t="str">
        <f>IF(ISBLANK(入力シート!F40),IF(ISBLANK(入力シート!G40),"",入力シート!G40),入力シート!F40&amp;入力シート!G40)</f>
        <v/>
      </c>
      <c r="D49" s="1246"/>
      <c r="E49" s="1246"/>
      <c r="F49" s="1246"/>
      <c r="G49" s="1246"/>
      <c r="H49" s="1246"/>
      <c r="I49" s="1246"/>
      <c r="J49" s="1246"/>
      <c r="K49" s="1171" t="str">
        <f>IF(ISBLANK(入力シート!D40),"",入力シート!D40)</f>
        <v>9:30</v>
      </c>
      <c r="L49" s="1104"/>
      <c r="M49" s="1104"/>
      <c r="N49" s="1104" t="str">
        <f>IF(ISBLANK(入力シート!E40),"",入力シート!E40)</f>
        <v>18:15</v>
      </c>
      <c r="O49" s="1104"/>
      <c r="P49" s="1105"/>
      <c r="Q49" s="1153">
        <f t="shared" si="0"/>
        <v>4.166666666666663E-2</v>
      </c>
      <c r="R49" s="1154"/>
      <c r="S49" s="1155"/>
      <c r="T49" s="1156" t="str">
        <f>IF(LEFT(C49,2)="休出",入力シート!N40,IF(LEFT(C49,3)="法休出","",IF((TIME(HOUR(SUM(Z49:AN49)),MINUTE(SUM(Z49:AN49)),0)-TIME(8,0,0))*1440&lt;0,"",(TIME(HOUR(SUM(Z49:AN49)),MINUTE(SUM(Z49:AN49)),0)-TIME(8,0,0))*1440)))</f>
        <v/>
      </c>
      <c r="U49" s="1157"/>
      <c r="V49" s="1157"/>
      <c r="W49" s="1163" t="str">
        <f>IF(入力シート!O40="","",入力シート!O40)</f>
        <v/>
      </c>
      <c r="X49" s="1163"/>
      <c r="Y49" s="1164"/>
      <c r="Z49" s="1171">
        <f>IF(ISERROR(TIME(HOUR(入力シート!Q40),MINUTE(入力シート!Q40),0)),"",TIME(HOUR(入力シート!Q40),MINUTE(入力シート!Q40),0))</f>
        <v>0.32291666666666669</v>
      </c>
      <c r="AA49" s="1172"/>
      <c r="AB49" s="1172"/>
      <c r="AC49" s="1104" t="str">
        <f>IF(ISERROR(TIME(HOUR(入力シート!R40),MINUTE(入力シート!R40),0)),"",TIME(HOUR(入力シート!R40),MINUTE(入力シート!R40),0))</f>
        <v/>
      </c>
      <c r="AD49" s="1172"/>
      <c r="AE49" s="1172"/>
      <c r="AF49" s="1104" t="str">
        <f>IF(ISERROR(TIME(HOUR(入力シート!S40),MINUTE(入力シート!S40),0)),"",TIME(HOUR(入力シート!S40),MINUTE(入力シート!S40),0))</f>
        <v/>
      </c>
      <c r="AG49" s="1104"/>
      <c r="AH49" s="1104"/>
      <c r="AI49" s="1104" t="str">
        <f>IF(ISERROR(TIME(HOUR(入力シート!T40),MINUTE(入力シート!T40),0)),"",TIME(HOUR(入力シート!T40),MINUTE(入力シート!T40),0))</f>
        <v/>
      </c>
      <c r="AJ49" s="1104"/>
      <c r="AK49" s="1104"/>
      <c r="AL49" s="1104" t="str">
        <f>IF(ISERROR(TIME(HOUR(入力シート!U40),MINUTE(入力シート!U40),0)),"",TIME(HOUR(入力シート!U40),MINUTE(入力シート!U40),0))</f>
        <v/>
      </c>
      <c r="AM49" s="1104"/>
      <c r="AN49" s="1105"/>
      <c r="AO49" s="1137"/>
      <c r="AP49" s="1137"/>
      <c r="AQ49" s="1137"/>
      <c r="AR49" s="1137"/>
      <c r="AS49" s="1137"/>
      <c r="AU49" s="481" t="str">
        <f t="shared" si="1"/>
        <v/>
      </c>
    </row>
    <row r="50" spans="1:48" s="438" customFormat="1" ht="18" customHeight="1">
      <c r="A50" s="697">
        <f>入力シート!C41:C41</f>
        <v>44225</v>
      </c>
      <c r="B50" s="478">
        <f t="shared" si="2"/>
        <v>44225</v>
      </c>
      <c r="C50" s="1246" t="str">
        <f>IF(ISBLANK(入力シート!F41),IF(ISBLANK(入力シート!G41),"",入力シート!G41),入力シート!F41&amp;入力シート!G41)</f>
        <v/>
      </c>
      <c r="D50" s="1246"/>
      <c r="E50" s="1246"/>
      <c r="F50" s="1246"/>
      <c r="G50" s="1246"/>
      <c r="H50" s="1246"/>
      <c r="I50" s="1246"/>
      <c r="J50" s="1246"/>
      <c r="K50" s="1171" t="str">
        <f>IF(ISBLANK(入力シート!D41),"",入力シート!D41)</f>
        <v>9:30</v>
      </c>
      <c r="L50" s="1104"/>
      <c r="M50" s="1104"/>
      <c r="N50" s="1104" t="str">
        <f>IF(ISBLANK(入力シート!E41),"",入力シート!E41)</f>
        <v>18:15</v>
      </c>
      <c r="O50" s="1104"/>
      <c r="P50" s="1105"/>
      <c r="Q50" s="1153">
        <f t="shared" si="0"/>
        <v>4.166666666666663E-2</v>
      </c>
      <c r="R50" s="1154"/>
      <c r="S50" s="1155"/>
      <c r="T50" s="1156" t="str">
        <f>IF(LEFT(C50,2)="休出",入力シート!N41,IF(LEFT(C50,3)="法休出","",IF((TIME(HOUR(SUM(Z50:AN50)),MINUTE(SUM(Z50:AN50)),0)-TIME(8,0,0))*1440&lt;0,"",(TIME(HOUR(SUM(Z50:AN50)),MINUTE(SUM(Z50:AN50)),0)-TIME(8,0,0))*1440)))</f>
        <v/>
      </c>
      <c r="U50" s="1157"/>
      <c r="V50" s="1157"/>
      <c r="W50" s="1163" t="str">
        <f>IF(入力シート!O41="","",入力シート!O41)</f>
        <v/>
      </c>
      <c r="X50" s="1163"/>
      <c r="Y50" s="1164"/>
      <c r="Z50" s="1171">
        <f>IF(ISERROR(TIME(HOUR(入力シート!Q41),MINUTE(入力シート!Q41),0)),"",TIME(HOUR(入力シート!Q41),MINUTE(入力シート!Q41),0))</f>
        <v>0.32291666666666669</v>
      </c>
      <c r="AA50" s="1172"/>
      <c r="AB50" s="1172"/>
      <c r="AC50" s="1104" t="str">
        <f>IF(ISERROR(TIME(HOUR(入力シート!R41),MINUTE(入力シート!R41),0)),"",TIME(HOUR(入力シート!R41),MINUTE(入力シート!R41),0))</f>
        <v/>
      </c>
      <c r="AD50" s="1172"/>
      <c r="AE50" s="1172"/>
      <c r="AF50" s="1104" t="str">
        <f>IF(ISERROR(TIME(HOUR(入力シート!S41),MINUTE(入力シート!S41),0)),"",TIME(HOUR(入力シート!S41),MINUTE(入力シート!S41),0))</f>
        <v/>
      </c>
      <c r="AG50" s="1104"/>
      <c r="AH50" s="1104"/>
      <c r="AI50" s="1104" t="str">
        <f>IF(ISERROR(TIME(HOUR(入力シート!T41),MINUTE(入力シート!T41),0)),"",TIME(HOUR(入力シート!T41),MINUTE(入力シート!T41),0))</f>
        <v/>
      </c>
      <c r="AJ50" s="1104"/>
      <c r="AK50" s="1104"/>
      <c r="AL50" s="1104" t="str">
        <f>IF(ISERROR(TIME(HOUR(入力シート!U41),MINUTE(入力シート!U41),0)),"",TIME(HOUR(入力シート!U41),MINUTE(入力シート!U41),0))</f>
        <v/>
      </c>
      <c r="AM50" s="1104"/>
      <c r="AN50" s="1105"/>
      <c r="AO50" s="1137"/>
      <c r="AP50" s="1137"/>
      <c r="AQ50" s="1137"/>
      <c r="AR50" s="1137"/>
      <c r="AS50" s="1137"/>
      <c r="AU50" s="481" t="str">
        <f t="shared" si="1"/>
        <v/>
      </c>
    </row>
    <row r="51" spans="1:48" s="438" customFormat="1" ht="18" customHeight="1">
      <c r="A51" s="697">
        <f>入力シート!C42:C42</f>
        <v>44226</v>
      </c>
      <c r="B51" s="478">
        <f t="shared" si="2"/>
        <v>44226</v>
      </c>
      <c r="C51" s="1246" t="str">
        <f>IF(ISBLANK(入力シート!F42),IF(ISBLANK(入力シート!G42),"",入力シート!G42),入力シート!F42&amp;入力シート!G42)</f>
        <v/>
      </c>
      <c r="D51" s="1246"/>
      <c r="E51" s="1246"/>
      <c r="F51" s="1246"/>
      <c r="G51" s="1246"/>
      <c r="H51" s="1246"/>
      <c r="I51" s="1246"/>
      <c r="J51" s="1246"/>
      <c r="K51" s="1171" t="str">
        <f>IF(ISBLANK(入力シート!D42),"",入力シート!D42)</f>
        <v/>
      </c>
      <c r="L51" s="1104"/>
      <c r="M51" s="1104"/>
      <c r="N51" s="1104" t="str">
        <f>IF(ISBLANK(入力シート!E42),"",入力シート!E42)</f>
        <v/>
      </c>
      <c r="O51" s="1104"/>
      <c r="P51" s="1105"/>
      <c r="Q51" s="1153" t="str">
        <f t="shared" si="0"/>
        <v/>
      </c>
      <c r="R51" s="1154"/>
      <c r="S51" s="1155"/>
      <c r="T51" s="1156" t="str">
        <f>IF(LEFT(C51,2)="休出",入力シート!N42,IF(LEFT(C51,3)="法休出","",IF((TIME(HOUR(SUM(Z51:AN51)),MINUTE(SUM(Z51:AN51)),0)-TIME(8,0,0))*1440&lt;0,"",(TIME(HOUR(SUM(Z51:AN51)),MINUTE(SUM(Z51:AN51)),0)-TIME(8,0,0))*1440)))</f>
        <v/>
      </c>
      <c r="U51" s="1157"/>
      <c r="V51" s="1157"/>
      <c r="W51" s="1163" t="str">
        <f>IF(入力シート!O42="","",入力シート!O42)</f>
        <v/>
      </c>
      <c r="X51" s="1163"/>
      <c r="Y51" s="1164"/>
      <c r="Z51" s="1171" t="str">
        <f>IF(ISERROR(TIME(HOUR(入力シート!Q42),MINUTE(入力シート!Q42),0)),"",TIME(HOUR(入力シート!Q42),MINUTE(入力シート!Q42),0))</f>
        <v/>
      </c>
      <c r="AA51" s="1172"/>
      <c r="AB51" s="1172"/>
      <c r="AC51" s="1104" t="str">
        <f>IF(ISERROR(TIME(HOUR(入力シート!R42),MINUTE(入力シート!R42),0)),"",TIME(HOUR(入力シート!R42),MINUTE(入力シート!R42),0))</f>
        <v/>
      </c>
      <c r="AD51" s="1172"/>
      <c r="AE51" s="1172"/>
      <c r="AF51" s="1104" t="str">
        <f>IF(ISERROR(TIME(HOUR(入力シート!S42),MINUTE(入力シート!S42),0)),"",TIME(HOUR(入力シート!S42),MINUTE(入力シート!S42),0))</f>
        <v/>
      </c>
      <c r="AG51" s="1104"/>
      <c r="AH51" s="1104"/>
      <c r="AI51" s="1104" t="str">
        <f>IF(ISERROR(TIME(HOUR(入力シート!T42),MINUTE(入力シート!T42),0)),"",TIME(HOUR(入力シート!T42),MINUTE(入力シート!T42),0))</f>
        <v/>
      </c>
      <c r="AJ51" s="1104"/>
      <c r="AK51" s="1104"/>
      <c r="AL51" s="1104" t="str">
        <f>IF(ISERROR(TIME(HOUR(入力シート!U42),MINUTE(入力シート!U42),0)),"",TIME(HOUR(入力シート!U42),MINUTE(入力シート!U42),0))</f>
        <v/>
      </c>
      <c r="AM51" s="1104"/>
      <c r="AN51" s="1105"/>
      <c r="AO51" s="1137"/>
      <c r="AP51" s="1137"/>
      <c r="AQ51" s="1137"/>
      <c r="AR51" s="1137"/>
      <c r="AS51" s="1137"/>
      <c r="AU51" s="481" t="str">
        <f t="shared" si="1"/>
        <v/>
      </c>
    </row>
    <row r="52" spans="1:48" s="438" customFormat="1" ht="18" customHeight="1">
      <c r="A52" s="698">
        <f>入力シート!C43:C43</f>
        <v>44227</v>
      </c>
      <c r="B52" s="477">
        <f t="shared" si="2"/>
        <v>44227</v>
      </c>
      <c r="C52" s="1281" t="str">
        <f>IF(ISBLANK(入力シート!F43),IF(ISBLANK(入力シート!G43),"",入力シート!G43),入力シート!F43&amp;入力シート!G43)</f>
        <v/>
      </c>
      <c r="D52" s="1281"/>
      <c r="E52" s="1281"/>
      <c r="F52" s="1281"/>
      <c r="G52" s="1281"/>
      <c r="H52" s="1281"/>
      <c r="I52" s="1281"/>
      <c r="J52" s="1281"/>
      <c r="K52" s="1282" t="str">
        <f>IF(ISBLANK(入力シート!D43),"",入力シート!D43)</f>
        <v/>
      </c>
      <c r="L52" s="1138"/>
      <c r="M52" s="1138"/>
      <c r="N52" s="1138" t="str">
        <f>IF(ISBLANK(入力シート!E43),"",入力シート!E43)</f>
        <v/>
      </c>
      <c r="O52" s="1138"/>
      <c r="P52" s="1139"/>
      <c r="Q52" s="1144" t="str">
        <f t="shared" si="0"/>
        <v/>
      </c>
      <c r="R52" s="1145"/>
      <c r="S52" s="1146"/>
      <c r="T52" s="1156" t="str">
        <f>IF(LEFT(C52,2)="休出",入力シート!N43,IF(LEFT(C52,3)="法休出","",IF((TIME(HOUR(SUM(Z52:AN52)),MINUTE(SUM(Z52:AN52)),0)-TIME(8,0,0))*1440&lt;0,"",(TIME(HOUR(SUM(Z52:AN52)),MINUTE(SUM(Z52:AN52)),0)-TIME(8,0,0))*1440)))</f>
        <v/>
      </c>
      <c r="U52" s="1157"/>
      <c r="V52" s="1157"/>
      <c r="W52" s="1287" t="str">
        <f>IF(入力シート!O43="","",入力シート!O43)</f>
        <v/>
      </c>
      <c r="X52" s="1287"/>
      <c r="Y52" s="1288"/>
      <c r="Z52" s="1282" t="str">
        <f>IF(ISERROR(TIME(HOUR(入力シート!Q43),MINUTE(入力シート!Q43),0)),"",TIME(HOUR(入力シート!Q43),MINUTE(入力シート!Q43),0))</f>
        <v/>
      </c>
      <c r="AA52" s="1293"/>
      <c r="AB52" s="1293"/>
      <c r="AC52" s="1138" t="str">
        <f>IF(ISERROR(TIME(HOUR(入力シート!R43),MINUTE(入力シート!R43),0)),"",TIME(HOUR(入力シート!R43),MINUTE(入力シート!R43),0))</f>
        <v/>
      </c>
      <c r="AD52" s="1293"/>
      <c r="AE52" s="1293"/>
      <c r="AF52" s="1138" t="str">
        <f>IF(ISERROR(TIME(HOUR(入力シート!S43),MINUTE(入力シート!S43),0)),"",TIME(HOUR(入力シート!S43),MINUTE(入力シート!S43),0))</f>
        <v/>
      </c>
      <c r="AG52" s="1138"/>
      <c r="AH52" s="1138"/>
      <c r="AI52" s="1138" t="str">
        <f>IF(ISERROR(TIME(HOUR(入力シート!T43),MINUTE(入力シート!T43),0)),"",TIME(HOUR(入力シート!T43),MINUTE(入力シート!T43),0))</f>
        <v/>
      </c>
      <c r="AJ52" s="1138"/>
      <c r="AK52" s="1138"/>
      <c r="AL52" s="1138" t="str">
        <f>IF(ISERROR(TIME(HOUR(入力シート!U43),MINUTE(入力シート!U43),0)),"",TIME(HOUR(入力シート!U43),MINUTE(入力シート!U43),0))</f>
        <v/>
      </c>
      <c r="AM52" s="1138"/>
      <c r="AN52" s="1139"/>
      <c r="AO52" s="1289"/>
      <c r="AP52" s="1289"/>
      <c r="AQ52" s="1289"/>
      <c r="AR52" s="1289"/>
      <c r="AS52" s="1289"/>
      <c r="AU52" s="481" t="str">
        <f t="shared" si="1"/>
        <v/>
      </c>
    </row>
    <row r="53" spans="1:48" ht="15" customHeight="1">
      <c r="Q53" s="1275">
        <f>SUM(Q22:S52)</f>
        <v>0.91666666666666641</v>
      </c>
      <c r="R53" s="1275"/>
      <c r="S53" s="1275"/>
      <c r="T53" s="1158">
        <f>SUM(T22:V52)</f>
        <v>765</v>
      </c>
      <c r="U53" s="1158"/>
      <c r="V53" s="1158"/>
      <c r="W53" s="1294">
        <f>SUM(W22:Y52)</f>
        <v>0</v>
      </c>
      <c r="X53" s="1295"/>
      <c r="Y53" s="1296"/>
      <c r="Z53" s="1275">
        <f>SUM(Z22:AB52)</f>
        <v>6.3333333333333339</v>
      </c>
      <c r="AA53" s="1275"/>
      <c r="AB53" s="1275"/>
      <c r="AC53" s="1275">
        <f>SUM(AC22:AE52)</f>
        <v>0</v>
      </c>
      <c r="AD53" s="1275"/>
      <c r="AE53" s="1275"/>
      <c r="AF53" s="1275">
        <f>SUM(AF22:AH52)</f>
        <v>0</v>
      </c>
      <c r="AG53" s="1275"/>
      <c r="AH53" s="1275"/>
      <c r="AI53" s="1275">
        <f>SUM(AI22:AK52)</f>
        <v>0</v>
      </c>
      <c r="AJ53" s="1275"/>
      <c r="AK53" s="1275"/>
      <c r="AL53" s="1275">
        <f>SUM(AL22:AN52)</f>
        <v>0</v>
      </c>
      <c r="AM53" s="1275"/>
      <c r="AN53" s="1275"/>
      <c r="AO53" s="1290">
        <f>SUM(Z53:AN53)</f>
        <v>6.3333333333333339</v>
      </c>
      <c r="AP53" s="1291"/>
      <c r="AQ53" s="1291"/>
      <c r="AR53" s="1291"/>
      <c r="AS53" s="1292"/>
      <c r="AU53" s="732">
        <v>1</v>
      </c>
    </row>
    <row r="54" spans="1:48" ht="4.5" customHeight="1"/>
    <row r="55" spans="1:48" ht="24" customHeight="1" thickBot="1">
      <c r="AU55" s="730" t="b">
        <v>0</v>
      </c>
      <c r="AV55" s="731"/>
    </row>
    <row r="56" spans="1:48" ht="24" customHeight="1" thickTop="1">
      <c r="A56" s="1228" t="s">
        <v>570</v>
      </c>
      <c r="B56" s="1229"/>
      <c r="C56" s="1283" t="s">
        <v>609</v>
      </c>
      <c r="D56" s="1284"/>
      <c r="E56" s="1285"/>
      <c r="F56" s="1286"/>
      <c r="G56" s="1238" t="s">
        <v>603</v>
      </c>
      <c r="H56" s="1239"/>
      <c r="I56" s="1239"/>
      <c r="J56" s="1240"/>
      <c r="K56" s="1233" t="str">
        <f>IF(AU55=FALSE,"","法定時間外
45H")</f>
        <v/>
      </c>
      <c r="L56" s="1232"/>
      <c r="M56" s="1232"/>
      <c r="N56" s="1232"/>
      <c r="O56" s="1231" t="str">
        <f>IF(AU55=FALSE,"","法定時間外
45H^60H")</f>
        <v/>
      </c>
      <c r="P56" s="1232"/>
      <c r="Q56" s="1232"/>
      <c r="R56" s="1232"/>
      <c r="S56" s="1231" t="str">
        <f>IF(AU55=FALSE,"","法定時間外
60H超")</f>
        <v/>
      </c>
      <c r="T56" s="1232"/>
      <c r="U56" s="1232"/>
      <c r="V56" s="1232"/>
      <c r="W56" s="1150" t="str">
        <f>IF(AU55=FALSE,"","法定休日")</f>
        <v/>
      </c>
      <c r="X56" s="1140"/>
      <c r="Y56" s="1140"/>
      <c r="Z56" s="1140"/>
      <c r="AA56" s="1140" t="str">
        <f>IF(AU55=FALSE,"","深夜加算")</f>
        <v/>
      </c>
      <c r="AB56" s="1140"/>
      <c r="AC56" s="1141"/>
      <c r="AD56" s="1142" t="s">
        <v>558</v>
      </c>
      <c r="AE56" s="1143"/>
      <c r="AF56" s="1143"/>
      <c r="AG56" s="1143"/>
      <c r="AH56" s="1127" t="s">
        <v>600</v>
      </c>
      <c r="AI56" s="1128"/>
      <c r="AJ56" s="1128"/>
      <c r="AK56" s="1128"/>
      <c r="AL56" s="1128"/>
      <c r="AM56" s="1128"/>
      <c r="AN56" s="1128"/>
      <c r="AO56" s="1128"/>
      <c r="AP56" s="1128"/>
      <c r="AQ56" s="1128"/>
      <c r="AR56" s="1128"/>
      <c r="AS56" s="1129"/>
      <c r="AT56" s="442"/>
    </row>
    <row r="57" spans="1:48" ht="13.5" customHeight="1">
      <c r="A57" s="1234">
        <f>IF(ISBLANK(入力シート!C47),"",入力シート!C47)</f>
        <v>19</v>
      </c>
      <c r="B57" s="1235"/>
      <c r="C57" s="1094">
        <f>AD57-G58</f>
        <v>5.8020833333333339</v>
      </c>
      <c r="D57" s="1095"/>
      <c r="E57" s="1095"/>
      <c r="F57" s="1273"/>
      <c r="G57" s="1247">
        <f>SUM(T53:Y53)</f>
        <v>765</v>
      </c>
      <c r="H57" s="1248"/>
      <c r="I57" s="1248"/>
      <c r="J57" s="1249"/>
      <c r="K57" s="1230" t="str">
        <f>IF(AU55=FALSE,"",IF(SUM(T22:V52)&lt;=2700,SUM(T22:V52),2700))</f>
        <v/>
      </c>
      <c r="L57" s="1147"/>
      <c r="M57" s="1147"/>
      <c r="N57" s="1147"/>
      <c r="O57" s="1147" t="str">
        <f>IF(AU55=FALSE,"",IF(SUM(T22:V52)&lt;=2700,0,IF(SUM(T22:V52)&lt;=3600,T53-K57,900)))</f>
        <v/>
      </c>
      <c r="P57" s="1147"/>
      <c r="Q57" s="1147"/>
      <c r="R57" s="1147"/>
      <c r="S57" s="1147" t="str">
        <f>IF(AU55=FALSE,"",IF(SUM(T22:V52)-3600&lt;0,0,SUM(T22:V52)-3600))</f>
        <v/>
      </c>
      <c r="T57" s="1147"/>
      <c r="U57" s="1147"/>
      <c r="V57" s="1147"/>
      <c r="W57" s="1279" t="str">
        <f>IF(AU55=FALSE,"",入力シート!O45)</f>
        <v/>
      </c>
      <c r="X57" s="1280"/>
      <c r="Y57" s="1280"/>
      <c r="Z57" s="1280"/>
      <c r="AA57" s="1148" t="str">
        <f>IF(AU55=FALSE,"",SUM(入力シート!P13:P43))</f>
        <v/>
      </c>
      <c r="AB57" s="1148"/>
      <c r="AC57" s="1149"/>
      <c r="AD57" s="1094">
        <f>IF($AO$53="","",IF($AV$55=1,FLOOR(SUM($Z$53:$AN$53),"0:15"),IF($AV$55=2,FLOOR(SUM($Z$53:$AN$53),"0:30"),SUM($Z$53:$AN$53))))</f>
        <v>6.3333333333333339</v>
      </c>
      <c r="AE57" s="1095"/>
      <c r="AF57" s="1095"/>
      <c r="AG57" s="1095"/>
      <c r="AH57" s="1159"/>
      <c r="AI57" s="1160"/>
      <c r="AJ57" s="1160"/>
      <c r="AK57" s="1165"/>
      <c r="AL57" s="1165"/>
      <c r="AM57" s="1165"/>
      <c r="AN57" s="1165"/>
      <c r="AO57" s="1165"/>
      <c r="AP57" s="1165"/>
      <c r="AQ57" s="1165"/>
      <c r="AR57" s="1165"/>
      <c r="AS57" s="1151"/>
      <c r="AT57" s="442"/>
    </row>
    <row r="58" spans="1:48" ht="13.5" customHeight="1" thickBot="1">
      <c r="A58" s="1236"/>
      <c r="B58" s="1237"/>
      <c r="C58" s="1096"/>
      <c r="D58" s="1097"/>
      <c r="E58" s="1097"/>
      <c r="F58" s="1274"/>
      <c r="G58" s="1250">
        <f>IF($G$57="","",IF($AV$55=1,FLOOR($G$57/1440,"0:15"),IF($AV$55=2,FLOOR($G$57/1440,"0:30"),$G$57/1440)))</f>
        <v>0.53125</v>
      </c>
      <c r="H58" s="1251"/>
      <c r="I58" s="1251"/>
      <c r="J58" s="1252"/>
      <c r="K58" s="1126" t="str">
        <f>IF($K$57="","",IF($AV$55=1,FLOOR($K$57/1440,"0:15"),IF($AV$55=2,FLOOR($K$57/1440,"0:30"),$K$57/1440)))</f>
        <v/>
      </c>
      <c r="L58" s="1125"/>
      <c r="M58" s="1125"/>
      <c r="N58" s="1125"/>
      <c r="O58" s="1125" t="str">
        <f>IF($O$57="","",IF($AV$55=1,FLOOR($O$57/1440,"0:15"),IF($AV$55=2,FLOOR($O$57/1440,"0:30"),$O$57/1440)))</f>
        <v/>
      </c>
      <c r="P58" s="1125"/>
      <c r="Q58" s="1125"/>
      <c r="R58" s="1125"/>
      <c r="S58" s="1125" t="str">
        <f>IF($S$57="","",IF($AV$55=1,FLOOR($S$57/1440,"0:15"),IF($AV$55=2,FLOOR($S$57/1440,"0:30"),$S$57/1440)))</f>
        <v/>
      </c>
      <c r="T58" s="1125"/>
      <c r="U58" s="1125"/>
      <c r="V58" s="1125"/>
      <c r="W58" s="1276" t="str">
        <f>IF($W$57="","",IF($AV$55=1,FLOOR($W$57/1440,"0:15"),IF($AV$55=2,FLOOR($W$57/1440,"0:30"),$W$57/1440)))</f>
        <v/>
      </c>
      <c r="X58" s="1123"/>
      <c r="Y58" s="1123"/>
      <c r="Z58" s="1123"/>
      <c r="AA58" s="1123" t="str">
        <f>IF($AA$57="","",IF($AV$55=1,FLOOR($AA$57/1440,"0:15"),IF($AV$55=2,FLOOR($AA$57/1440,"0:30"),$AA$57/1440)))</f>
        <v/>
      </c>
      <c r="AB58" s="1123"/>
      <c r="AC58" s="1124"/>
      <c r="AD58" s="1096"/>
      <c r="AE58" s="1097"/>
      <c r="AF58" s="1097"/>
      <c r="AG58" s="1097"/>
      <c r="AH58" s="1161"/>
      <c r="AI58" s="1162"/>
      <c r="AJ58" s="1162"/>
      <c r="AK58" s="1166"/>
      <c r="AL58" s="1166"/>
      <c r="AM58" s="1166"/>
      <c r="AN58" s="1166"/>
      <c r="AO58" s="1166"/>
      <c r="AP58" s="1166"/>
      <c r="AQ58" s="1166"/>
      <c r="AR58" s="1166"/>
      <c r="AS58" s="1152"/>
      <c r="AT58" s="442"/>
      <c r="AU58" s="470"/>
      <c r="AV58" s="470"/>
    </row>
    <row r="59" spans="1:48" ht="6" customHeight="1" thickBot="1">
      <c r="AQ59" s="442"/>
      <c r="AR59" s="442"/>
      <c r="AS59" s="442"/>
    </row>
    <row r="60" spans="1:48" ht="24" customHeight="1" thickTop="1">
      <c r="C60" s="702"/>
      <c r="D60" s="702"/>
      <c r="E60" s="702"/>
      <c r="H60" s="1310" t="s">
        <v>786</v>
      </c>
      <c r="I60" s="1311"/>
      <c r="J60" s="1311"/>
      <c r="K60" s="1312"/>
      <c r="L60" s="1316" t="str">
        <f>Z21</f>
        <v>3521-05434</v>
      </c>
      <c r="M60" s="1317"/>
      <c r="N60" s="1318"/>
      <c r="O60" s="1316" t="str">
        <f>AC21</f>
        <v/>
      </c>
      <c r="P60" s="1317"/>
      <c r="Q60" s="1318"/>
      <c r="R60" s="1316" t="str">
        <f>AF21</f>
        <v/>
      </c>
      <c r="S60" s="1317"/>
      <c r="T60" s="1318"/>
      <c r="U60" s="1316" t="str">
        <f>AI21</f>
        <v/>
      </c>
      <c r="V60" s="1317"/>
      <c r="W60" s="1318"/>
      <c r="X60" s="1316" t="str">
        <f>AL21</f>
        <v/>
      </c>
      <c r="Y60" s="1317"/>
      <c r="Z60" s="1318"/>
      <c r="AA60" s="1134" t="s">
        <v>787</v>
      </c>
      <c r="AB60" s="1135"/>
      <c r="AC60" s="1136"/>
      <c r="AE60" s="702"/>
      <c r="AF60" s="702"/>
      <c r="AG60" s="702"/>
      <c r="AH60" s="1127" t="s">
        <v>599</v>
      </c>
      <c r="AI60" s="1128"/>
      <c r="AJ60" s="1128"/>
      <c r="AK60" s="1128"/>
      <c r="AL60" s="1128"/>
      <c r="AM60" s="1128"/>
      <c r="AN60" s="1128"/>
      <c r="AO60" s="1128"/>
      <c r="AP60" s="1128"/>
      <c r="AQ60" s="1128"/>
      <c r="AR60" s="1128"/>
      <c r="AS60" s="1129"/>
    </row>
    <row r="61" spans="1:48" customFormat="1" ht="27" customHeight="1" thickBot="1">
      <c r="B61" s="701"/>
      <c r="F61" s="442"/>
      <c r="G61" s="442"/>
      <c r="H61" s="1313"/>
      <c r="I61" s="1314"/>
      <c r="J61" s="1314"/>
      <c r="K61" s="1315"/>
      <c r="L61" s="1131" t="str">
        <f>IFERROR(VLOOKUP(L60,実費精算書!$B$15:$E$24,3,FALSE),"")</f>
        <v/>
      </c>
      <c r="M61" s="1132"/>
      <c r="N61" s="1133"/>
      <c r="O61" s="1131" t="str">
        <f>IFERROR(VLOOKUP(O60,実費精算書!$B$15:$E$24,3,FALSE),"")</f>
        <v/>
      </c>
      <c r="P61" s="1132"/>
      <c r="Q61" s="1133"/>
      <c r="R61" s="1131" t="str">
        <f>IFERROR(VLOOKUP(R60,実費精算書!$B$15:$E$24,3,FALSE),"")</f>
        <v/>
      </c>
      <c r="S61" s="1132"/>
      <c r="T61" s="1133"/>
      <c r="U61" s="1131" t="str">
        <f>IFERROR(VLOOKUP(U60,実費精算書!$B$15:$E$24,3,FALSE),"")</f>
        <v/>
      </c>
      <c r="V61" s="1132"/>
      <c r="W61" s="1133"/>
      <c r="X61" s="1131" t="str">
        <f>IFERROR(VLOOKUP(X60,実費精算書!$B$15:$E$24,3,FALSE),"")</f>
        <v/>
      </c>
      <c r="Y61" s="1132"/>
      <c r="Z61" s="1133"/>
      <c r="AA61" s="1131">
        <f>SUM(L61:Z61)</f>
        <v>0</v>
      </c>
      <c r="AB61" s="1132"/>
      <c r="AC61" s="1133"/>
      <c r="AD61" s="442"/>
      <c r="AH61" s="1118"/>
      <c r="AI61" s="1119"/>
      <c r="AJ61" s="1119"/>
      <c r="AK61" s="1121"/>
      <c r="AL61" s="1121"/>
      <c r="AM61" s="1121"/>
      <c r="AN61" s="1121"/>
      <c r="AO61" s="1121"/>
      <c r="AP61" s="1121"/>
      <c r="AQ61" s="1121"/>
      <c r="AR61" s="1121"/>
      <c r="AS61" s="1122"/>
    </row>
    <row r="62" spans="1:48" s="718" customFormat="1" ht="12" customHeight="1" thickTop="1">
      <c r="A62" s="717" t="str">
        <f>入力シート!AA2</f>
        <v>株式会社ＤＴＳ</v>
      </c>
      <c r="B62" s="717"/>
      <c r="C62" s="717"/>
      <c r="D62" s="717"/>
      <c r="E62" s="717"/>
      <c r="F62" s="717"/>
      <c r="G62" s="717"/>
      <c r="H62" s="717"/>
      <c r="I62" s="717"/>
      <c r="J62" s="717"/>
      <c r="K62" s="717"/>
      <c r="L62" s="717"/>
      <c r="M62" s="717"/>
      <c r="N62" s="717"/>
      <c r="O62" s="717"/>
      <c r="P62" s="717"/>
      <c r="Q62" s="717"/>
      <c r="R62" s="717"/>
      <c r="S62" s="717"/>
      <c r="T62" s="717"/>
      <c r="U62" s="717"/>
      <c r="V62" s="717"/>
      <c r="W62" s="717"/>
      <c r="X62" s="717"/>
      <c r="Y62" s="717"/>
      <c r="Z62" s="717"/>
      <c r="AA62" s="717"/>
      <c r="AB62" s="717"/>
      <c r="AC62" s="717"/>
      <c r="AD62" s="717"/>
      <c r="AE62" s="717"/>
      <c r="AF62" s="717"/>
      <c r="AG62" s="717"/>
      <c r="AH62" s="717"/>
      <c r="AI62" s="717"/>
      <c r="AJ62" s="717"/>
      <c r="AK62" s="717"/>
      <c r="AL62" s="717"/>
      <c r="AM62" s="717"/>
      <c r="AN62" s="717"/>
      <c r="AO62" s="717"/>
      <c r="AP62" s="717"/>
      <c r="AQ62" s="717"/>
      <c r="AR62" s="717"/>
      <c r="AS62" s="717"/>
      <c r="AT62" s="717"/>
    </row>
    <row r="63" spans="1:48" s="718" customFormat="1" ht="12" customHeight="1">
      <c r="A63" s="717" t="str">
        <f>入力シート!AA3&amp;"　　"&amp;入力シート!AA4</f>
        <v>東京都中央区八丁堀２－２３－１　エンパイヤビル８F　　ＴＥＬ：03-3948-5488</v>
      </c>
      <c r="B63" s="717"/>
      <c r="C63" s="717"/>
      <c r="D63" s="717"/>
      <c r="E63" s="717"/>
      <c r="F63" s="717"/>
      <c r="G63" s="717"/>
      <c r="H63" s="717"/>
      <c r="I63" s="717"/>
      <c r="J63" s="717"/>
      <c r="K63" s="717"/>
      <c r="L63" s="717"/>
      <c r="M63" s="717"/>
      <c r="N63" s="717"/>
      <c r="O63" s="717"/>
      <c r="P63" s="717"/>
      <c r="Q63" s="717"/>
      <c r="R63" s="717"/>
      <c r="S63" s="717"/>
      <c r="T63" s="717"/>
      <c r="U63" s="717"/>
      <c r="V63" s="717"/>
      <c r="W63" s="717"/>
      <c r="X63" s="717"/>
      <c r="Y63" s="717"/>
      <c r="Z63" s="717"/>
      <c r="AA63" s="717"/>
      <c r="AB63" s="717"/>
      <c r="AC63" s="717"/>
      <c r="AD63" s="717"/>
      <c r="AE63" s="717"/>
      <c r="AF63" s="717"/>
      <c r="AG63" s="717"/>
      <c r="AH63" s="717"/>
      <c r="AI63" s="717"/>
      <c r="AJ63" s="717"/>
      <c r="AK63" s="717"/>
      <c r="AL63" s="717"/>
      <c r="AM63" s="717"/>
      <c r="AN63" s="717"/>
      <c r="AO63" s="717"/>
      <c r="AP63" s="717"/>
      <c r="AQ63" s="717"/>
      <c r="AR63" s="717"/>
      <c r="AS63" s="719" t="str">
        <f>入力シート!AA1</f>
        <v>様式（BP）2019.12　Ver9.40</v>
      </c>
    </row>
    <row r="64" spans="1:48" s="438" customFormat="1" ht="18" customHeight="1">
      <c r="A64" s="1113" t="s">
        <v>559</v>
      </c>
      <c r="B64" s="1114"/>
      <c r="C64" s="1114"/>
      <c r="D64" s="1114"/>
      <c r="E64" s="1114"/>
      <c r="F64" s="1114"/>
      <c r="G64" s="1114"/>
      <c r="H64" s="1114"/>
      <c r="I64" s="1114"/>
      <c r="J64" s="1114"/>
      <c r="K64" s="1114"/>
      <c r="L64" s="1114"/>
      <c r="M64" s="1114"/>
      <c r="N64" s="1114"/>
      <c r="O64" s="1114"/>
      <c r="P64" s="1114"/>
      <c r="Q64" s="1114"/>
      <c r="R64" s="1114"/>
      <c r="S64" s="1114"/>
      <c r="T64" s="1114"/>
      <c r="U64" s="1114"/>
      <c r="V64" s="1114"/>
      <c r="W64" s="1114"/>
      <c r="X64" s="1114"/>
      <c r="Y64" s="1114"/>
      <c r="Z64" s="1114"/>
      <c r="AA64" s="1114"/>
      <c r="AB64" s="1114"/>
      <c r="AC64" s="1114"/>
      <c r="AD64" s="1114"/>
      <c r="AE64" s="1114"/>
      <c r="AF64" s="1114"/>
      <c r="AG64" s="1114"/>
      <c r="AH64" s="1114"/>
      <c r="AI64" s="1114"/>
      <c r="AJ64" s="1114"/>
      <c r="AK64" s="1114"/>
      <c r="AL64" s="1114"/>
      <c r="AM64" s="1114"/>
      <c r="AN64" s="1114"/>
      <c r="AO64" s="1114"/>
      <c r="AP64" s="1114"/>
    </row>
    <row r="65" spans="1:43" s="438" customFormat="1" ht="12" customHeight="1">
      <c r="A65" s="441"/>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row>
    <row r="66" spans="1:43" ht="21" customHeight="1">
      <c r="A66" s="1120" t="s">
        <v>560</v>
      </c>
      <c r="B66" s="1120"/>
      <c r="C66" s="1120"/>
      <c r="D66" s="469"/>
      <c r="E66" s="1110" t="s">
        <v>561</v>
      </c>
      <c r="F66" s="1111"/>
      <c r="G66" s="1111"/>
      <c r="H66" s="1112"/>
      <c r="I66" s="1110" t="s">
        <v>562</v>
      </c>
      <c r="J66" s="1111"/>
      <c r="K66" s="1111"/>
      <c r="L66" s="1111"/>
      <c r="M66" s="1111"/>
      <c r="N66" s="1112"/>
      <c r="O66" s="1110" t="s">
        <v>563</v>
      </c>
      <c r="P66" s="1111"/>
      <c r="Q66" s="1111"/>
      <c r="R66" s="1111"/>
      <c r="S66" s="1111"/>
      <c r="T66" s="1111"/>
      <c r="U66" s="1111"/>
      <c r="V66" s="1111"/>
      <c r="W66" s="1111"/>
      <c r="X66" s="1111"/>
      <c r="Y66" s="1111"/>
      <c r="Z66" s="1111"/>
      <c r="AA66" s="1111"/>
      <c r="AB66" s="1111"/>
      <c r="AC66" s="1111"/>
      <c r="AD66" s="1111"/>
      <c r="AE66" s="1111"/>
      <c r="AF66" s="1111"/>
      <c r="AG66" s="1112"/>
      <c r="AH66" s="1110" t="s">
        <v>564</v>
      </c>
      <c r="AI66" s="1111"/>
      <c r="AJ66" s="1111"/>
      <c r="AK66" s="1111"/>
      <c r="AL66" s="1111"/>
      <c r="AM66" s="1112"/>
      <c r="AN66" s="1120" t="s">
        <v>565</v>
      </c>
      <c r="AO66" s="1120"/>
      <c r="AP66" s="1120"/>
      <c r="AQ66" s="1120"/>
    </row>
    <row r="67" spans="1:43" ht="95.1" customHeight="1">
      <c r="A67" s="1130"/>
      <c r="B67" s="1106"/>
      <c r="C67" s="1106"/>
      <c r="D67" s="468"/>
      <c r="E67" s="1107"/>
      <c r="F67" s="1108"/>
      <c r="G67" s="1108"/>
      <c r="H67" s="1109"/>
      <c r="I67" s="1107"/>
      <c r="J67" s="1108"/>
      <c r="K67" s="1108"/>
      <c r="L67" s="1108"/>
      <c r="M67" s="1108"/>
      <c r="N67" s="1109"/>
      <c r="O67" s="1115"/>
      <c r="P67" s="1116"/>
      <c r="Q67" s="1116"/>
      <c r="R67" s="1116"/>
      <c r="S67" s="1116"/>
      <c r="T67" s="1116"/>
      <c r="U67" s="1116"/>
      <c r="V67" s="1116"/>
      <c r="W67" s="1116"/>
      <c r="X67" s="1116"/>
      <c r="Y67" s="1116"/>
      <c r="Z67" s="1116"/>
      <c r="AA67" s="1116"/>
      <c r="AB67" s="1116"/>
      <c r="AC67" s="1116"/>
      <c r="AD67" s="1116"/>
      <c r="AE67" s="1116"/>
      <c r="AF67" s="1116"/>
      <c r="AG67" s="1117"/>
      <c r="AH67" s="1107"/>
      <c r="AI67" s="1108"/>
      <c r="AJ67" s="1108"/>
      <c r="AK67" s="1108"/>
      <c r="AL67" s="1108"/>
      <c r="AM67" s="1109"/>
      <c r="AN67" s="1106"/>
      <c r="AO67" s="1106"/>
      <c r="AP67" s="1106"/>
      <c r="AQ67" s="1106"/>
    </row>
    <row r="68" spans="1:43" ht="95.1" customHeight="1">
      <c r="A68" s="1106"/>
      <c r="B68" s="1106"/>
      <c r="C68" s="1106"/>
      <c r="D68" s="468"/>
      <c r="E68" s="1107"/>
      <c r="F68" s="1108"/>
      <c r="G68" s="1108"/>
      <c r="H68" s="1277"/>
      <c r="I68" s="1107"/>
      <c r="J68" s="1108"/>
      <c r="K68" s="1108"/>
      <c r="L68" s="1108"/>
      <c r="M68" s="1108"/>
      <c r="N68" s="1109"/>
      <c r="O68" s="1115"/>
      <c r="P68" s="1116"/>
      <c r="Q68" s="1116"/>
      <c r="R68" s="1116"/>
      <c r="S68" s="1116"/>
      <c r="T68" s="1116"/>
      <c r="U68" s="1116"/>
      <c r="V68" s="1116"/>
      <c r="W68" s="1116"/>
      <c r="X68" s="1116"/>
      <c r="Y68" s="1116"/>
      <c r="Z68" s="1116"/>
      <c r="AA68" s="1116"/>
      <c r="AB68" s="1116"/>
      <c r="AC68" s="1116"/>
      <c r="AD68" s="1116"/>
      <c r="AE68" s="1116"/>
      <c r="AF68" s="1116"/>
      <c r="AG68" s="1117"/>
      <c r="AH68" s="1107"/>
      <c r="AI68" s="1108"/>
      <c r="AJ68" s="1108"/>
      <c r="AK68" s="1108"/>
      <c r="AL68" s="1108"/>
      <c r="AM68" s="1109"/>
      <c r="AN68" s="1106"/>
      <c r="AO68" s="1106"/>
      <c r="AP68" s="1106"/>
      <c r="AQ68" s="1106"/>
    </row>
    <row r="69" spans="1:43" ht="95.1" customHeight="1">
      <c r="A69" s="1106"/>
      <c r="B69" s="1106"/>
      <c r="C69" s="1106"/>
      <c r="D69" s="468"/>
      <c r="E69" s="1107"/>
      <c r="F69" s="1108"/>
      <c r="G69" s="1108"/>
      <c r="H69" s="1109"/>
      <c r="I69" s="1107"/>
      <c r="J69" s="1108"/>
      <c r="K69" s="1108"/>
      <c r="L69" s="1108"/>
      <c r="M69" s="1108"/>
      <c r="N69" s="1109"/>
      <c r="O69" s="1115"/>
      <c r="P69" s="1116"/>
      <c r="Q69" s="1116"/>
      <c r="R69" s="1116"/>
      <c r="S69" s="1116"/>
      <c r="T69" s="1116"/>
      <c r="U69" s="1116"/>
      <c r="V69" s="1116"/>
      <c r="W69" s="1116"/>
      <c r="X69" s="1116"/>
      <c r="Y69" s="1116"/>
      <c r="Z69" s="1116"/>
      <c r="AA69" s="1116"/>
      <c r="AB69" s="1116"/>
      <c r="AC69" s="1116"/>
      <c r="AD69" s="1116"/>
      <c r="AE69" s="1116"/>
      <c r="AF69" s="1116"/>
      <c r="AG69" s="1117"/>
      <c r="AH69" s="1107"/>
      <c r="AI69" s="1108"/>
      <c r="AJ69" s="1108"/>
      <c r="AK69" s="1108"/>
      <c r="AL69" s="1108"/>
      <c r="AM69" s="1109"/>
      <c r="AN69" s="1106"/>
      <c r="AO69" s="1106"/>
      <c r="AP69" s="1106"/>
      <c r="AQ69" s="1106"/>
    </row>
    <row r="70" spans="1:43" ht="95.1" customHeight="1">
      <c r="A70" s="1106"/>
      <c r="B70" s="1106"/>
      <c r="C70" s="1106"/>
      <c r="D70" s="468"/>
      <c r="E70" s="1107"/>
      <c r="F70" s="1108"/>
      <c r="G70" s="1108"/>
      <c r="H70" s="1109"/>
      <c r="I70" s="1107"/>
      <c r="J70" s="1108"/>
      <c r="K70" s="1108"/>
      <c r="L70" s="1108"/>
      <c r="M70" s="1108"/>
      <c r="N70" s="1109"/>
      <c r="O70" s="1115"/>
      <c r="P70" s="1116"/>
      <c r="Q70" s="1116"/>
      <c r="R70" s="1116"/>
      <c r="S70" s="1116"/>
      <c r="T70" s="1116"/>
      <c r="U70" s="1116"/>
      <c r="V70" s="1116"/>
      <c r="W70" s="1116"/>
      <c r="X70" s="1116"/>
      <c r="Y70" s="1116"/>
      <c r="Z70" s="1116"/>
      <c r="AA70" s="1116"/>
      <c r="AB70" s="1116"/>
      <c r="AC70" s="1116"/>
      <c r="AD70" s="1116"/>
      <c r="AE70" s="1116"/>
      <c r="AF70" s="1116"/>
      <c r="AG70" s="1117"/>
      <c r="AH70" s="1107"/>
      <c r="AI70" s="1108"/>
      <c r="AJ70" s="1108"/>
      <c r="AK70" s="1108"/>
      <c r="AL70" s="1108"/>
      <c r="AM70" s="1109"/>
      <c r="AN70" s="1106"/>
      <c r="AO70" s="1106"/>
      <c r="AP70" s="1106"/>
      <c r="AQ70" s="1106"/>
    </row>
    <row r="71" spans="1:43" s="438" customFormat="1" ht="31.5" customHeight="1">
      <c r="A71" s="1113" t="s">
        <v>677</v>
      </c>
      <c r="B71" s="1114"/>
      <c r="C71" s="1114"/>
      <c r="D71" s="1114"/>
      <c r="E71" s="1114"/>
      <c r="F71" s="1114"/>
      <c r="G71" s="1114"/>
      <c r="H71" s="1114"/>
      <c r="I71" s="1114"/>
      <c r="J71" s="1114"/>
      <c r="K71" s="1114"/>
      <c r="L71" s="1114"/>
      <c r="M71" s="1114"/>
      <c r="N71" s="1114"/>
      <c r="O71" s="1114"/>
      <c r="P71" s="1114"/>
      <c r="Q71" s="1114"/>
      <c r="R71" s="1114"/>
      <c r="S71" s="1114"/>
      <c r="T71" s="1114"/>
      <c r="U71" s="1114"/>
      <c r="V71" s="1114"/>
      <c r="W71" s="1114"/>
      <c r="X71" s="1114"/>
      <c r="Y71" s="1114"/>
      <c r="Z71" s="1114"/>
      <c r="AA71" s="1114"/>
      <c r="AB71" s="1114"/>
      <c r="AC71" s="1114"/>
      <c r="AD71" s="1114"/>
      <c r="AE71" s="1114"/>
      <c r="AF71" s="1114"/>
      <c r="AG71" s="1114"/>
      <c r="AH71" s="1114"/>
      <c r="AI71" s="1114"/>
      <c r="AJ71" s="1114"/>
      <c r="AK71" s="1114"/>
      <c r="AL71" s="1114"/>
      <c r="AM71" s="1114"/>
      <c r="AN71" s="1114"/>
      <c r="AO71" s="1114"/>
      <c r="AP71" s="1114"/>
    </row>
    <row r="72" spans="1:43" ht="21" customHeight="1">
      <c r="A72" s="1120" t="s">
        <v>678</v>
      </c>
      <c r="B72" s="1120"/>
      <c r="C72" s="1120"/>
      <c r="D72" s="563"/>
      <c r="E72" s="1110" t="s">
        <v>679</v>
      </c>
      <c r="F72" s="1111"/>
      <c r="G72" s="1111"/>
      <c r="H72" s="1111"/>
      <c r="I72" s="1111"/>
      <c r="J72" s="1111"/>
      <c r="K72" s="1111"/>
      <c r="L72" s="1111"/>
      <c r="M72" s="1111"/>
      <c r="N72" s="1111"/>
      <c r="O72" s="1111"/>
      <c r="P72" s="1111"/>
      <c r="Q72" s="1111"/>
      <c r="R72" s="1111"/>
      <c r="S72" s="1111"/>
      <c r="T72" s="1111"/>
      <c r="U72" s="1111"/>
      <c r="V72" s="1111"/>
      <c r="W72" s="1111"/>
      <c r="X72" s="1111"/>
      <c r="Y72" s="1111"/>
      <c r="Z72" s="1111"/>
      <c r="AA72" s="1111"/>
      <c r="AB72" s="1111"/>
      <c r="AC72" s="1111"/>
      <c r="AD72" s="1111"/>
      <c r="AE72" s="1111"/>
      <c r="AF72" s="1111"/>
      <c r="AG72" s="1111"/>
      <c r="AH72" s="1111"/>
      <c r="AI72" s="1111"/>
      <c r="AJ72" s="1111"/>
      <c r="AK72" s="1111"/>
      <c r="AL72" s="1111"/>
      <c r="AM72" s="1111"/>
      <c r="AN72" s="1111"/>
      <c r="AO72" s="1111"/>
      <c r="AP72" s="1111"/>
      <c r="AQ72" s="1112"/>
    </row>
    <row r="73" spans="1:43" ht="95.1" customHeight="1">
      <c r="A73" s="1106"/>
      <c r="B73" s="1106"/>
      <c r="C73" s="1106"/>
      <c r="D73" s="468"/>
      <c r="E73" s="1107"/>
      <c r="F73" s="1108"/>
      <c r="G73" s="1108"/>
      <c r="H73" s="1108"/>
      <c r="I73" s="1108"/>
      <c r="J73" s="1108"/>
      <c r="K73" s="1108"/>
      <c r="L73" s="1108"/>
      <c r="M73" s="1108"/>
      <c r="N73" s="1108"/>
      <c r="O73" s="1108"/>
      <c r="P73" s="1108"/>
      <c r="Q73" s="1108"/>
      <c r="R73" s="1108"/>
      <c r="S73" s="1108"/>
      <c r="T73" s="1108"/>
      <c r="U73" s="1108"/>
      <c r="V73" s="1108"/>
      <c r="W73" s="1108"/>
      <c r="X73" s="1108"/>
      <c r="Y73" s="1108"/>
      <c r="Z73" s="1108"/>
      <c r="AA73" s="1108"/>
      <c r="AB73" s="1108"/>
      <c r="AC73" s="1108"/>
      <c r="AD73" s="1108"/>
      <c r="AE73" s="1108"/>
      <c r="AF73" s="1108"/>
      <c r="AG73" s="1108"/>
      <c r="AH73" s="1108"/>
      <c r="AI73" s="1108"/>
      <c r="AJ73" s="1108"/>
      <c r="AK73" s="1108"/>
      <c r="AL73" s="1108"/>
      <c r="AM73" s="1108"/>
      <c r="AN73" s="1108"/>
      <c r="AO73" s="1108"/>
      <c r="AP73" s="1108"/>
      <c r="AQ73" s="1109"/>
    </row>
    <row r="74" spans="1:43" ht="95.1" customHeight="1">
      <c r="A74" s="1106"/>
      <c r="B74" s="1106"/>
      <c r="C74" s="1106"/>
      <c r="D74" s="468"/>
      <c r="E74" s="1107"/>
      <c r="F74" s="1108"/>
      <c r="G74" s="1108"/>
      <c r="H74" s="1108"/>
      <c r="I74" s="1108"/>
      <c r="J74" s="1108"/>
      <c r="K74" s="1108"/>
      <c r="L74" s="1108"/>
      <c r="M74" s="1108"/>
      <c r="N74" s="1108"/>
      <c r="O74" s="1108"/>
      <c r="P74" s="1108"/>
      <c r="Q74" s="1108"/>
      <c r="R74" s="1108"/>
      <c r="S74" s="1108"/>
      <c r="T74" s="1108"/>
      <c r="U74" s="1108"/>
      <c r="V74" s="1108"/>
      <c r="W74" s="1108"/>
      <c r="X74" s="1108"/>
      <c r="Y74" s="1108"/>
      <c r="Z74" s="1108"/>
      <c r="AA74" s="1108"/>
      <c r="AB74" s="1108"/>
      <c r="AC74" s="1108"/>
      <c r="AD74" s="1108"/>
      <c r="AE74" s="1108"/>
      <c r="AF74" s="1108"/>
      <c r="AG74" s="1108"/>
      <c r="AH74" s="1108"/>
      <c r="AI74" s="1108"/>
      <c r="AJ74" s="1108"/>
      <c r="AK74" s="1108"/>
      <c r="AL74" s="1108"/>
      <c r="AM74" s="1108"/>
      <c r="AN74" s="1108"/>
      <c r="AO74" s="1108"/>
      <c r="AP74" s="1108"/>
      <c r="AQ74" s="1109"/>
    </row>
    <row r="75" spans="1:43" ht="95.1" customHeight="1">
      <c r="A75" s="1106"/>
      <c r="B75" s="1106"/>
      <c r="C75" s="1106"/>
      <c r="D75" s="468"/>
      <c r="E75" s="1107"/>
      <c r="F75" s="1108"/>
      <c r="G75" s="1108"/>
      <c r="H75" s="1108"/>
      <c r="I75" s="1108"/>
      <c r="J75" s="1108"/>
      <c r="K75" s="1108"/>
      <c r="L75" s="1108"/>
      <c r="M75" s="1108"/>
      <c r="N75" s="1108"/>
      <c r="O75" s="1108"/>
      <c r="P75" s="1108"/>
      <c r="Q75" s="1108"/>
      <c r="R75" s="1108"/>
      <c r="S75" s="1108"/>
      <c r="T75" s="1108"/>
      <c r="U75" s="1108"/>
      <c r="V75" s="1108"/>
      <c r="W75" s="1108"/>
      <c r="X75" s="1108"/>
      <c r="Y75" s="1108"/>
      <c r="Z75" s="1108"/>
      <c r="AA75" s="1108"/>
      <c r="AB75" s="1108"/>
      <c r="AC75" s="1108"/>
      <c r="AD75" s="1108"/>
      <c r="AE75" s="1108"/>
      <c r="AF75" s="1108"/>
      <c r="AG75" s="1108"/>
      <c r="AH75" s="1108"/>
      <c r="AI75" s="1108"/>
      <c r="AJ75" s="1108"/>
      <c r="AK75" s="1108"/>
      <c r="AL75" s="1108"/>
      <c r="AM75" s="1108"/>
      <c r="AN75" s="1108"/>
      <c r="AO75" s="1108"/>
      <c r="AP75" s="1108"/>
      <c r="AQ75" s="1109"/>
    </row>
    <row r="76" spans="1:43" ht="95.1" customHeight="1">
      <c r="A76" s="1106"/>
      <c r="B76" s="1106"/>
      <c r="C76" s="1106"/>
      <c r="D76" s="468"/>
      <c r="E76" s="1107"/>
      <c r="F76" s="1108"/>
      <c r="G76" s="1108"/>
      <c r="H76" s="1108"/>
      <c r="I76" s="1108"/>
      <c r="J76" s="1108"/>
      <c r="K76" s="1108"/>
      <c r="L76" s="1108"/>
      <c r="M76" s="1108"/>
      <c r="N76" s="1108"/>
      <c r="O76" s="1108"/>
      <c r="P76" s="1108"/>
      <c r="Q76" s="1108"/>
      <c r="R76" s="1108"/>
      <c r="S76" s="1108"/>
      <c r="T76" s="1108"/>
      <c r="U76" s="1108"/>
      <c r="V76" s="1108"/>
      <c r="W76" s="1108"/>
      <c r="X76" s="1108"/>
      <c r="Y76" s="1108"/>
      <c r="Z76" s="1108"/>
      <c r="AA76" s="1108"/>
      <c r="AB76" s="1108"/>
      <c r="AC76" s="1108"/>
      <c r="AD76" s="1108"/>
      <c r="AE76" s="1108"/>
      <c r="AF76" s="1108"/>
      <c r="AG76" s="1108"/>
      <c r="AH76" s="1108"/>
      <c r="AI76" s="1108"/>
      <c r="AJ76" s="1108"/>
      <c r="AK76" s="1108"/>
      <c r="AL76" s="1108"/>
      <c r="AM76" s="1108"/>
      <c r="AN76" s="1108"/>
      <c r="AO76" s="1108"/>
      <c r="AP76" s="1108"/>
      <c r="AQ76" s="1109"/>
    </row>
    <row r="77" spans="1:43" ht="16.5" customHeight="1"/>
    <row r="78" spans="1:43" ht="16.5" customHeight="1"/>
    <row r="79" spans="1:43" ht="16.5" customHeight="1"/>
    <row r="80" spans="1:43" ht="16.5" customHeight="1"/>
    <row r="81" spans="1:42" ht="16.5" customHeight="1"/>
    <row r="82" spans="1:42" ht="16.5" customHeight="1"/>
    <row r="83" spans="1:42" ht="16.5" customHeight="1">
      <c r="A83" s="440"/>
      <c r="B83" s="440"/>
      <c r="C83" s="440"/>
      <c r="D83" s="440"/>
      <c r="E83" s="440"/>
      <c r="F83" s="440"/>
      <c r="G83" s="440"/>
      <c r="H83" s="440"/>
      <c r="I83" s="440"/>
      <c r="J83" s="440"/>
      <c r="K83" s="440"/>
      <c r="L83" s="440"/>
      <c r="M83" s="440"/>
      <c r="N83" s="440"/>
      <c r="O83" s="440"/>
      <c r="P83" s="440"/>
      <c r="Q83" s="440"/>
      <c r="R83" s="440"/>
      <c r="S83" s="440"/>
      <c r="T83" s="440"/>
      <c r="U83" s="440"/>
      <c r="V83" s="440"/>
      <c r="W83" s="440"/>
      <c r="X83" s="440"/>
      <c r="Y83" s="440"/>
      <c r="Z83" s="440"/>
      <c r="AA83" s="440"/>
      <c r="AB83" s="440"/>
      <c r="AC83" s="440"/>
      <c r="AD83" s="440"/>
      <c r="AE83" s="440"/>
      <c r="AF83" s="440"/>
      <c r="AG83" s="440"/>
      <c r="AH83" s="440"/>
      <c r="AI83" s="440"/>
      <c r="AJ83" s="440"/>
      <c r="AK83" s="440"/>
      <c r="AL83" s="440"/>
      <c r="AM83" s="440"/>
      <c r="AN83" s="440"/>
      <c r="AO83" s="440"/>
      <c r="AP83" s="440"/>
    </row>
    <row r="84" spans="1:42" ht="16.5" customHeight="1">
      <c r="A84" s="440"/>
      <c r="B84" s="440"/>
      <c r="C84" s="440"/>
      <c r="D84" s="440"/>
      <c r="E84" s="440"/>
      <c r="F84" s="440"/>
      <c r="G84" s="440"/>
      <c r="H84" s="440"/>
      <c r="I84" s="440"/>
      <c r="J84" s="440"/>
      <c r="K84" s="440"/>
      <c r="L84" s="440"/>
      <c r="M84" s="440"/>
      <c r="N84" s="440"/>
      <c r="O84" s="440"/>
      <c r="P84" s="440"/>
      <c r="Q84" s="440"/>
      <c r="R84" s="440"/>
      <c r="S84" s="440"/>
      <c r="T84" s="440"/>
      <c r="U84" s="440"/>
      <c r="V84" s="440"/>
      <c r="W84" s="440"/>
      <c r="X84" s="440"/>
      <c r="Y84" s="440"/>
      <c r="Z84" s="440"/>
      <c r="AA84" s="440"/>
      <c r="AB84" s="440"/>
      <c r="AC84" s="440"/>
      <c r="AD84" s="440"/>
      <c r="AE84" s="440"/>
      <c r="AF84" s="440"/>
      <c r="AG84" s="440"/>
      <c r="AH84" s="440"/>
      <c r="AI84" s="440"/>
      <c r="AJ84" s="440"/>
      <c r="AK84" s="440"/>
      <c r="AL84" s="440"/>
      <c r="AM84" s="440"/>
      <c r="AN84" s="440"/>
      <c r="AO84" s="440"/>
      <c r="AP84" s="440"/>
    </row>
    <row r="85" spans="1:42" ht="16.5" customHeight="1">
      <c r="A85" s="440"/>
      <c r="B85" s="440"/>
      <c r="C85" s="440"/>
      <c r="D85" s="440"/>
      <c r="E85" s="440"/>
      <c r="F85" s="440"/>
      <c r="G85" s="440"/>
      <c r="H85" s="440"/>
      <c r="I85" s="440"/>
      <c r="J85" s="440"/>
      <c r="K85" s="440"/>
      <c r="L85" s="440"/>
      <c r="M85" s="440"/>
      <c r="N85" s="440"/>
      <c r="O85" s="440"/>
      <c r="P85" s="440"/>
      <c r="Q85" s="440"/>
      <c r="R85" s="440"/>
      <c r="S85" s="440"/>
      <c r="T85" s="440"/>
      <c r="U85" s="440"/>
      <c r="V85" s="440"/>
      <c r="W85" s="440"/>
      <c r="X85" s="440"/>
      <c r="Y85" s="440"/>
      <c r="Z85" s="440"/>
      <c r="AA85" s="440"/>
      <c r="AB85" s="440"/>
      <c r="AC85" s="440"/>
      <c r="AD85" s="440"/>
      <c r="AE85" s="440"/>
      <c r="AF85" s="440"/>
      <c r="AG85" s="440"/>
      <c r="AH85" s="440"/>
      <c r="AI85" s="440"/>
      <c r="AJ85" s="440"/>
      <c r="AK85" s="440"/>
      <c r="AL85" s="440"/>
      <c r="AM85" s="440"/>
      <c r="AN85" s="440"/>
      <c r="AO85" s="440"/>
      <c r="AP85" s="440"/>
    </row>
    <row r="86" spans="1:42" ht="16.5" customHeight="1">
      <c r="A86" s="440"/>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row>
    <row r="87" spans="1:42" ht="16.5" customHeight="1">
      <c r="A87" s="440"/>
      <c r="B87" s="440"/>
      <c r="C87" s="440"/>
      <c r="D87" s="440"/>
      <c r="E87" s="440"/>
      <c r="F87" s="440"/>
      <c r="G87" s="440"/>
      <c r="H87" s="440"/>
      <c r="I87" s="440"/>
      <c r="J87" s="440"/>
      <c r="K87" s="440"/>
      <c r="L87" s="440"/>
      <c r="M87" s="440"/>
      <c r="N87" s="440"/>
      <c r="O87" s="440"/>
      <c r="P87" s="440"/>
      <c r="Q87" s="440"/>
      <c r="R87" s="440"/>
      <c r="S87" s="440"/>
      <c r="T87" s="440"/>
      <c r="U87" s="440"/>
      <c r="V87" s="440"/>
      <c r="W87" s="440"/>
      <c r="X87" s="440"/>
      <c r="Y87" s="440"/>
      <c r="Z87" s="440"/>
      <c r="AA87" s="440"/>
      <c r="AB87" s="440"/>
      <c r="AC87" s="440"/>
      <c r="AD87" s="440"/>
      <c r="AE87" s="440"/>
      <c r="AF87" s="440"/>
      <c r="AG87" s="440"/>
      <c r="AH87" s="440"/>
      <c r="AI87" s="440"/>
      <c r="AJ87" s="440"/>
      <c r="AK87" s="440"/>
      <c r="AL87" s="440"/>
      <c r="AM87" s="440"/>
      <c r="AN87" s="440"/>
      <c r="AO87" s="440"/>
      <c r="AP87" s="440"/>
    </row>
    <row r="88" spans="1:42" ht="16.5" customHeight="1">
      <c r="A88" s="440"/>
      <c r="B88" s="440"/>
      <c r="C88" s="440"/>
      <c r="D88" s="440"/>
      <c r="E88" s="440"/>
      <c r="F88" s="440"/>
      <c r="G88" s="440"/>
      <c r="H88" s="440"/>
      <c r="I88" s="440"/>
      <c r="J88" s="440"/>
      <c r="K88" s="440"/>
      <c r="L88" s="440"/>
      <c r="M88" s="440"/>
      <c r="N88" s="440"/>
      <c r="O88" s="440"/>
      <c r="P88" s="440"/>
      <c r="Q88" s="440"/>
      <c r="R88" s="440"/>
      <c r="S88" s="440"/>
      <c r="T88" s="440"/>
      <c r="U88" s="440"/>
      <c r="V88" s="440"/>
      <c r="W88" s="440"/>
      <c r="X88" s="440"/>
      <c r="Y88" s="440"/>
      <c r="Z88" s="440"/>
      <c r="AA88" s="440"/>
      <c r="AB88" s="440"/>
      <c r="AC88" s="440"/>
      <c r="AD88" s="440"/>
      <c r="AE88" s="440"/>
      <c r="AF88" s="440"/>
      <c r="AG88" s="440"/>
      <c r="AH88" s="440"/>
      <c r="AI88" s="440"/>
      <c r="AJ88" s="440"/>
      <c r="AK88" s="440"/>
      <c r="AL88" s="440"/>
      <c r="AM88" s="440"/>
      <c r="AN88" s="440"/>
      <c r="AO88" s="440"/>
      <c r="AP88" s="440"/>
    </row>
    <row r="89" spans="1:42" ht="16.5" customHeight="1">
      <c r="A89" s="440"/>
      <c r="B89" s="440"/>
      <c r="C89" s="440"/>
      <c r="D89" s="440"/>
      <c r="E89" s="440"/>
      <c r="F89" s="440"/>
      <c r="G89" s="440"/>
      <c r="H89" s="440"/>
      <c r="I89" s="440"/>
      <c r="J89" s="440"/>
      <c r="K89" s="440"/>
      <c r="L89" s="440"/>
      <c r="M89" s="440"/>
      <c r="N89" s="440"/>
      <c r="O89" s="440"/>
      <c r="P89" s="440"/>
      <c r="Q89" s="440"/>
      <c r="R89" s="440"/>
      <c r="S89" s="440"/>
      <c r="T89" s="440"/>
      <c r="U89" s="440"/>
      <c r="V89" s="440"/>
      <c r="W89" s="440"/>
      <c r="X89" s="440"/>
      <c r="Y89" s="440"/>
      <c r="Z89" s="440"/>
      <c r="AA89" s="440"/>
      <c r="AB89" s="440"/>
      <c r="AC89" s="440"/>
      <c r="AD89" s="440"/>
      <c r="AE89" s="440"/>
      <c r="AF89" s="440"/>
      <c r="AG89" s="440"/>
      <c r="AH89" s="440"/>
      <c r="AI89" s="440"/>
      <c r="AJ89" s="440"/>
      <c r="AK89" s="440"/>
      <c r="AL89" s="440"/>
      <c r="AM89" s="440"/>
      <c r="AN89" s="440"/>
      <c r="AO89" s="440"/>
      <c r="AP89" s="440"/>
    </row>
    <row r="90" spans="1:42" ht="16.5" customHeight="1">
      <c r="A90" s="440"/>
      <c r="B90" s="440"/>
      <c r="C90" s="440"/>
      <c r="D90" s="440"/>
      <c r="E90" s="440"/>
      <c r="F90" s="440"/>
      <c r="G90" s="440"/>
      <c r="H90" s="440"/>
      <c r="I90" s="440"/>
      <c r="J90" s="440"/>
      <c r="K90" s="440"/>
      <c r="L90" s="440"/>
      <c r="M90" s="440"/>
      <c r="N90" s="440"/>
      <c r="O90" s="440"/>
      <c r="P90" s="440"/>
      <c r="Q90" s="440"/>
      <c r="R90" s="440"/>
      <c r="S90" s="440"/>
      <c r="T90" s="440"/>
      <c r="U90" s="440"/>
      <c r="V90" s="440"/>
      <c r="W90" s="440"/>
      <c r="X90" s="440"/>
      <c r="Y90" s="440"/>
      <c r="Z90" s="440"/>
      <c r="AA90" s="440"/>
      <c r="AB90" s="440"/>
      <c r="AC90" s="440"/>
      <c r="AD90" s="440"/>
      <c r="AE90" s="440"/>
      <c r="AF90" s="440"/>
      <c r="AG90" s="440"/>
      <c r="AH90" s="440"/>
      <c r="AI90" s="440"/>
      <c r="AJ90" s="440"/>
      <c r="AK90" s="440"/>
      <c r="AL90" s="440"/>
      <c r="AM90" s="440"/>
      <c r="AN90" s="440"/>
      <c r="AO90" s="440"/>
      <c r="AP90" s="440"/>
    </row>
    <row r="91" spans="1:42" ht="16.5" customHeight="1">
      <c r="A91" s="440"/>
      <c r="B91" s="440"/>
      <c r="C91" s="440"/>
      <c r="D91" s="440"/>
      <c r="E91" s="440"/>
      <c r="F91" s="440"/>
      <c r="G91" s="440"/>
      <c r="H91" s="440"/>
      <c r="I91" s="440"/>
      <c r="J91" s="440"/>
      <c r="K91" s="440"/>
      <c r="L91" s="440"/>
      <c r="M91" s="440"/>
      <c r="N91" s="440"/>
      <c r="O91" s="440"/>
      <c r="P91" s="440"/>
      <c r="Q91" s="440"/>
      <c r="R91" s="440"/>
      <c r="S91" s="440"/>
      <c r="T91" s="440"/>
      <c r="U91" s="440"/>
      <c r="V91" s="440"/>
      <c r="W91" s="440"/>
      <c r="X91" s="440"/>
      <c r="Y91" s="440"/>
      <c r="Z91" s="440"/>
      <c r="AA91" s="440"/>
      <c r="AB91" s="440"/>
      <c r="AC91" s="440"/>
      <c r="AD91" s="440"/>
      <c r="AE91" s="440"/>
      <c r="AF91" s="440"/>
      <c r="AG91" s="440"/>
      <c r="AH91" s="440"/>
      <c r="AI91" s="440"/>
      <c r="AJ91" s="440"/>
      <c r="AK91" s="440"/>
      <c r="AL91" s="440"/>
      <c r="AM91" s="440"/>
      <c r="AN91" s="440"/>
      <c r="AO91" s="440"/>
      <c r="AP91" s="440"/>
    </row>
    <row r="92" spans="1:42" ht="16.5" customHeight="1">
      <c r="A92" s="440"/>
      <c r="B92" s="440"/>
      <c r="C92" s="440"/>
      <c r="D92" s="440"/>
      <c r="E92" s="440"/>
      <c r="F92" s="440"/>
      <c r="G92" s="440"/>
      <c r="H92" s="440"/>
      <c r="I92" s="440"/>
      <c r="J92" s="440"/>
      <c r="K92" s="440"/>
      <c r="L92" s="440"/>
      <c r="M92" s="440"/>
      <c r="N92" s="440"/>
      <c r="O92" s="440"/>
      <c r="P92" s="440"/>
      <c r="Q92" s="440"/>
      <c r="R92" s="440"/>
      <c r="S92" s="440"/>
      <c r="T92" s="440"/>
      <c r="U92" s="440"/>
      <c r="V92" s="440"/>
      <c r="W92" s="440"/>
      <c r="X92" s="440"/>
      <c r="Y92" s="440"/>
      <c r="Z92" s="440"/>
      <c r="AA92" s="440"/>
      <c r="AB92" s="440"/>
      <c r="AC92" s="440"/>
      <c r="AD92" s="440"/>
      <c r="AE92" s="440"/>
      <c r="AF92" s="440"/>
      <c r="AG92" s="440"/>
      <c r="AH92" s="440"/>
      <c r="AI92" s="440"/>
      <c r="AJ92" s="440"/>
      <c r="AK92" s="440"/>
      <c r="AL92" s="440"/>
      <c r="AM92" s="440"/>
      <c r="AN92" s="440"/>
      <c r="AO92" s="440"/>
      <c r="AP92" s="440"/>
    </row>
    <row r="93" spans="1:42" ht="16.5" customHeight="1">
      <c r="A93" s="440"/>
      <c r="B93" s="440"/>
      <c r="C93" s="440"/>
      <c r="D93" s="440"/>
      <c r="E93" s="440"/>
      <c r="F93" s="440"/>
      <c r="G93" s="440"/>
      <c r="H93" s="440"/>
      <c r="I93" s="440"/>
      <c r="J93" s="440"/>
      <c r="K93" s="440"/>
      <c r="L93" s="440"/>
      <c r="M93" s="440"/>
      <c r="N93" s="440"/>
      <c r="O93" s="440"/>
      <c r="P93" s="440"/>
      <c r="Q93" s="440"/>
      <c r="R93" s="440"/>
      <c r="S93" s="440"/>
      <c r="T93" s="440"/>
      <c r="U93" s="440"/>
      <c r="V93" s="440"/>
      <c r="W93" s="440"/>
      <c r="X93" s="440"/>
      <c r="Y93" s="440"/>
      <c r="Z93" s="440"/>
      <c r="AA93" s="440"/>
      <c r="AB93" s="440"/>
      <c r="AC93" s="440"/>
      <c r="AD93" s="440"/>
      <c r="AE93" s="440"/>
      <c r="AF93" s="440"/>
      <c r="AG93" s="440"/>
      <c r="AH93" s="440"/>
      <c r="AI93" s="440"/>
      <c r="AJ93" s="440"/>
      <c r="AK93" s="440"/>
      <c r="AL93" s="440"/>
      <c r="AM93" s="440"/>
      <c r="AN93" s="440"/>
      <c r="AO93" s="440"/>
      <c r="AP93" s="440"/>
    </row>
    <row r="94" spans="1:42" ht="16.5" customHeight="1">
      <c r="A94" s="440"/>
      <c r="B94" s="440"/>
      <c r="C94" s="440"/>
      <c r="D94" s="440"/>
      <c r="E94" s="440"/>
      <c r="F94" s="440"/>
      <c r="G94" s="440"/>
      <c r="H94" s="440"/>
      <c r="I94" s="440"/>
      <c r="J94" s="440"/>
      <c r="K94" s="440"/>
      <c r="L94" s="440"/>
      <c r="M94" s="440"/>
      <c r="N94" s="440"/>
      <c r="O94" s="440"/>
      <c r="P94" s="440"/>
      <c r="Q94" s="440"/>
      <c r="R94" s="440"/>
      <c r="S94" s="440"/>
      <c r="T94" s="440"/>
      <c r="U94" s="440"/>
      <c r="V94" s="440"/>
      <c r="W94" s="440"/>
      <c r="X94" s="440"/>
      <c r="Y94" s="440"/>
      <c r="Z94" s="440"/>
      <c r="AA94" s="440"/>
      <c r="AB94" s="440"/>
      <c r="AC94" s="440"/>
      <c r="AD94" s="440"/>
      <c r="AE94" s="440"/>
      <c r="AF94" s="440"/>
      <c r="AG94" s="440"/>
      <c r="AH94" s="440"/>
      <c r="AI94" s="440"/>
      <c r="AJ94" s="440"/>
      <c r="AK94" s="440"/>
      <c r="AL94" s="440"/>
      <c r="AM94" s="440"/>
      <c r="AN94" s="440"/>
      <c r="AO94" s="440"/>
      <c r="AP94" s="440"/>
    </row>
    <row r="95" spans="1:42" ht="16.5" customHeight="1">
      <c r="A95" s="440"/>
      <c r="B95" s="440"/>
      <c r="C95" s="440"/>
      <c r="D95" s="440"/>
      <c r="E95" s="440"/>
      <c r="F95" s="440"/>
      <c r="G95" s="440"/>
      <c r="H95" s="440"/>
      <c r="I95" s="440"/>
      <c r="J95" s="440"/>
      <c r="K95" s="440"/>
      <c r="L95" s="440"/>
      <c r="M95" s="440"/>
      <c r="N95" s="440"/>
      <c r="O95" s="440"/>
      <c r="P95" s="440"/>
      <c r="Q95" s="440"/>
      <c r="R95" s="440"/>
      <c r="S95" s="440"/>
      <c r="T95" s="440"/>
      <c r="U95" s="440"/>
      <c r="V95" s="440"/>
      <c r="W95" s="440"/>
      <c r="X95" s="440"/>
      <c r="Y95" s="440"/>
      <c r="Z95" s="440"/>
      <c r="AA95" s="440"/>
      <c r="AB95" s="440"/>
      <c r="AC95" s="440"/>
      <c r="AD95" s="440"/>
      <c r="AE95" s="440"/>
      <c r="AF95" s="440"/>
      <c r="AG95" s="440"/>
      <c r="AH95" s="440"/>
      <c r="AI95" s="440"/>
      <c r="AJ95" s="440"/>
      <c r="AK95" s="440"/>
      <c r="AL95" s="440"/>
      <c r="AM95" s="440"/>
      <c r="AN95" s="440"/>
      <c r="AO95" s="440"/>
      <c r="AP95" s="440"/>
    </row>
    <row r="96" spans="1:42" ht="16.5" customHeight="1">
      <c r="A96" s="440"/>
      <c r="B96" s="440"/>
      <c r="C96" s="440"/>
      <c r="D96" s="440"/>
      <c r="E96" s="440"/>
      <c r="F96" s="440"/>
      <c r="G96" s="440"/>
      <c r="H96" s="440"/>
      <c r="I96" s="440"/>
      <c r="J96" s="440"/>
      <c r="K96" s="440"/>
      <c r="L96" s="440"/>
      <c r="M96" s="440"/>
      <c r="N96" s="440"/>
      <c r="O96" s="440"/>
      <c r="P96" s="440"/>
      <c r="Q96" s="440"/>
      <c r="R96" s="440"/>
      <c r="S96" s="440"/>
      <c r="T96" s="440"/>
      <c r="U96" s="440"/>
      <c r="V96" s="440"/>
      <c r="W96" s="440"/>
      <c r="X96" s="440"/>
      <c r="Y96" s="440"/>
      <c r="Z96" s="440"/>
      <c r="AA96" s="440"/>
      <c r="AB96" s="440"/>
      <c r="AC96" s="440"/>
      <c r="AD96" s="440"/>
      <c r="AE96" s="440"/>
      <c r="AF96" s="440"/>
      <c r="AG96" s="440"/>
      <c r="AH96" s="440"/>
      <c r="AI96" s="440"/>
      <c r="AJ96" s="440"/>
      <c r="AK96" s="440"/>
      <c r="AL96" s="440"/>
      <c r="AM96" s="440"/>
      <c r="AN96" s="440"/>
      <c r="AO96" s="440"/>
      <c r="AP96" s="440"/>
    </row>
    <row r="97" spans="1:42" ht="16.5" customHeight="1">
      <c r="A97" s="440"/>
      <c r="B97" s="440"/>
      <c r="C97" s="440"/>
      <c r="D97" s="440"/>
      <c r="E97" s="440"/>
      <c r="F97" s="440"/>
      <c r="G97" s="440"/>
      <c r="H97" s="440"/>
      <c r="I97" s="440"/>
      <c r="J97" s="440"/>
      <c r="K97" s="440"/>
      <c r="L97" s="440"/>
      <c r="M97" s="440"/>
      <c r="N97" s="440"/>
      <c r="O97" s="440"/>
      <c r="P97" s="440"/>
      <c r="Q97" s="440"/>
      <c r="R97" s="440"/>
      <c r="S97" s="440"/>
      <c r="T97" s="440"/>
      <c r="U97" s="440"/>
      <c r="V97" s="440"/>
      <c r="W97" s="440"/>
      <c r="X97" s="440"/>
      <c r="Y97" s="440"/>
      <c r="Z97" s="440"/>
      <c r="AA97" s="440"/>
      <c r="AB97" s="440"/>
      <c r="AC97" s="440"/>
      <c r="AD97" s="440"/>
      <c r="AE97" s="440"/>
      <c r="AF97" s="440"/>
      <c r="AG97" s="440"/>
      <c r="AH97" s="440"/>
      <c r="AI97" s="440"/>
      <c r="AJ97" s="440"/>
      <c r="AK97" s="440"/>
      <c r="AL97" s="440"/>
      <c r="AM97" s="440"/>
      <c r="AN97" s="440"/>
      <c r="AO97" s="440"/>
      <c r="AP97" s="440"/>
    </row>
    <row r="98" spans="1:42" ht="16.5" customHeight="1">
      <c r="A98" s="440"/>
      <c r="B98" s="440"/>
      <c r="C98" s="440"/>
      <c r="D98" s="440"/>
      <c r="E98" s="440"/>
      <c r="F98" s="440"/>
      <c r="G98" s="440"/>
      <c r="H98" s="440"/>
      <c r="I98" s="440"/>
      <c r="J98" s="440"/>
      <c r="K98" s="440"/>
      <c r="L98" s="440"/>
      <c r="M98" s="440"/>
      <c r="N98" s="440"/>
      <c r="O98" s="440"/>
      <c r="P98" s="440"/>
      <c r="Q98" s="440"/>
      <c r="R98" s="440"/>
      <c r="S98" s="440"/>
      <c r="T98" s="440"/>
      <c r="U98" s="440"/>
      <c r="V98" s="440"/>
      <c r="W98" s="440"/>
      <c r="X98" s="440"/>
      <c r="Y98" s="440"/>
      <c r="Z98" s="440"/>
      <c r="AA98" s="440"/>
      <c r="AB98" s="440"/>
      <c r="AC98" s="440"/>
      <c r="AD98" s="440"/>
      <c r="AE98" s="440"/>
      <c r="AF98" s="440"/>
      <c r="AG98" s="440"/>
      <c r="AH98" s="440"/>
      <c r="AI98" s="440"/>
      <c r="AJ98" s="440"/>
      <c r="AK98" s="440"/>
      <c r="AL98" s="440"/>
      <c r="AM98" s="440"/>
      <c r="AN98" s="440"/>
      <c r="AO98" s="440"/>
      <c r="AP98" s="440"/>
    </row>
    <row r="99" spans="1:42" ht="16.5" customHeight="1">
      <c r="A99" s="440"/>
      <c r="B99" s="440"/>
      <c r="C99" s="440"/>
      <c r="D99" s="440"/>
      <c r="E99" s="440"/>
      <c r="F99" s="440"/>
      <c r="G99" s="440"/>
      <c r="H99" s="440"/>
      <c r="I99" s="440"/>
      <c r="J99" s="440"/>
      <c r="K99" s="440"/>
      <c r="L99" s="440"/>
      <c r="M99" s="440"/>
      <c r="N99" s="440"/>
      <c r="O99" s="440"/>
      <c r="P99" s="440"/>
      <c r="Q99" s="440"/>
      <c r="R99" s="440"/>
      <c r="S99" s="440"/>
      <c r="T99" s="440"/>
      <c r="U99" s="440"/>
      <c r="V99" s="440"/>
      <c r="W99" s="440"/>
      <c r="X99" s="440"/>
      <c r="Y99" s="440"/>
      <c r="Z99" s="440"/>
      <c r="AA99" s="440"/>
      <c r="AB99" s="440"/>
      <c r="AC99" s="440"/>
      <c r="AD99" s="440"/>
      <c r="AE99" s="440"/>
      <c r="AF99" s="440"/>
      <c r="AG99" s="440"/>
      <c r="AH99" s="440"/>
      <c r="AI99" s="440"/>
      <c r="AJ99" s="440"/>
      <c r="AK99" s="440"/>
      <c r="AL99" s="440"/>
      <c r="AM99" s="440"/>
      <c r="AN99" s="440"/>
      <c r="AO99" s="440"/>
      <c r="AP99" s="440"/>
    </row>
    <row r="100" spans="1:42" ht="16.5" customHeight="1">
      <c r="A100" s="440"/>
      <c r="B100" s="440"/>
      <c r="C100" s="440"/>
      <c r="D100" s="440"/>
      <c r="E100" s="440"/>
      <c r="F100" s="440"/>
      <c r="G100" s="440"/>
      <c r="H100" s="440"/>
      <c r="I100" s="440"/>
      <c r="J100" s="440"/>
      <c r="K100" s="440"/>
      <c r="L100" s="440"/>
      <c r="M100" s="440"/>
      <c r="N100" s="440"/>
      <c r="O100" s="440"/>
      <c r="P100" s="440"/>
      <c r="Q100" s="440"/>
      <c r="R100" s="440"/>
      <c r="S100" s="440"/>
      <c r="T100" s="440"/>
      <c r="U100" s="440"/>
      <c r="V100" s="440"/>
      <c r="W100" s="440"/>
      <c r="X100" s="440"/>
      <c r="Y100" s="440"/>
      <c r="Z100" s="440"/>
      <c r="AA100" s="440"/>
      <c r="AB100" s="440"/>
      <c r="AC100" s="440"/>
      <c r="AD100" s="440"/>
      <c r="AE100" s="440"/>
      <c r="AF100" s="440"/>
      <c r="AG100" s="440"/>
      <c r="AH100" s="440"/>
      <c r="AI100" s="440"/>
      <c r="AJ100" s="440"/>
      <c r="AK100" s="440"/>
      <c r="AL100" s="440"/>
      <c r="AM100" s="440"/>
      <c r="AN100" s="440"/>
      <c r="AO100" s="440"/>
      <c r="AP100" s="440"/>
    </row>
    <row r="101" spans="1:42" ht="16.5" customHeight="1">
      <c r="A101" s="440"/>
      <c r="B101" s="440"/>
      <c r="C101" s="440"/>
      <c r="D101" s="440"/>
      <c r="E101" s="440"/>
      <c r="F101" s="440"/>
      <c r="G101" s="440"/>
      <c r="H101" s="440"/>
      <c r="I101" s="440"/>
      <c r="J101" s="440"/>
      <c r="K101" s="440"/>
      <c r="L101" s="440"/>
      <c r="M101" s="440"/>
      <c r="N101" s="440"/>
      <c r="O101" s="440"/>
      <c r="P101" s="440"/>
      <c r="Q101" s="440"/>
      <c r="R101" s="440"/>
      <c r="S101" s="440"/>
      <c r="T101" s="440"/>
      <c r="U101" s="440"/>
      <c r="V101" s="440"/>
      <c r="W101" s="440"/>
      <c r="X101" s="440"/>
      <c r="Y101" s="440"/>
      <c r="Z101" s="440"/>
      <c r="AA101" s="440"/>
      <c r="AB101" s="440"/>
      <c r="AC101" s="440"/>
      <c r="AD101" s="440"/>
      <c r="AE101" s="440"/>
      <c r="AF101" s="440"/>
      <c r="AG101" s="440"/>
      <c r="AH101" s="440"/>
      <c r="AI101" s="440"/>
      <c r="AJ101" s="440"/>
      <c r="AK101" s="440"/>
      <c r="AL101" s="440"/>
      <c r="AM101" s="440"/>
      <c r="AN101" s="440"/>
      <c r="AO101" s="440"/>
      <c r="AP101" s="440"/>
    </row>
    <row r="102" spans="1:42" ht="16.5" customHeight="1">
      <c r="A102" s="440"/>
      <c r="B102" s="440"/>
      <c r="C102" s="440"/>
      <c r="D102" s="440"/>
      <c r="E102" s="440"/>
      <c r="F102" s="440"/>
      <c r="G102" s="440"/>
      <c r="H102" s="440"/>
      <c r="I102" s="440"/>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row>
    <row r="103" spans="1:42" ht="16.5" customHeight="1">
      <c r="A103" s="440"/>
      <c r="B103" s="440"/>
      <c r="C103" s="440"/>
      <c r="D103" s="440"/>
      <c r="E103" s="440"/>
      <c r="F103" s="440"/>
      <c r="G103" s="440"/>
      <c r="H103" s="440"/>
      <c r="I103" s="440"/>
      <c r="J103" s="440"/>
      <c r="K103" s="440"/>
      <c r="L103" s="440"/>
      <c r="M103" s="440"/>
      <c r="N103" s="440"/>
      <c r="O103" s="440"/>
      <c r="P103" s="440"/>
      <c r="Q103" s="440"/>
      <c r="R103" s="440"/>
      <c r="S103" s="440"/>
      <c r="T103" s="440"/>
      <c r="U103" s="440"/>
      <c r="V103" s="440"/>
      <c r="W103" s="440"/>
      <c r="X103" s="440"/>
      <c r="Y103" s="440"/>
      <c r="Z103" s="440"/>
      <c r="AA103" s="440"/>
      <c r="AB103" s="440"/>
      <c r="AC103" s="440"/>
      <c r="AD103" s="440"/>
      <c r="AE103" s="440"/>
      <c r="AF103" s="440"/>
      <c r="AG103" s="440"/>
      <c r="AH103" s="440"/>
      <c r="AI103" s="440"/>
      <c r="AJ103" s="440"/>
      <c r="AK103" s="440"/>
      <c r="AL103" s="440"/>
      <c r="AM103" s="440"/>
      <c r="AN103" s="440"/>
      <c r="AO103" s="440"/>
      <c r="AP103" s="440"/>
    </row>
    <row r="104" spans="1:42" ht="16.5" customHeight="1">
      <c r="A104" s="440"/>
      <c r="B104" s="440"/>
      <c r="C104" s="440"/>
      <c r="D104" s="440"/>
      <c r="E104" s="440"/>
      <c r="F104" s="440"/>
      <c r="G104" s="440"/>
      <c r="H104" s="440"/>
      <c r="I104" s="440"/>
      <c r="J104" s="440"/>
      <c r="K104" s="440"/>
      <c r="L104" s="440"/>
      <c r="M104" s="440"/>
      <c r="N104" s="440"/>
      <c r="O104" s="440"/>
      <c r="P104" s="440"/>
      <c r="Q104" s="440"/>
      <c r="R104" s="440"/>
      <c r="S104" s="440"/>
      <c r="T104" s="440"/>
      <c r="U104" s="440"/>
      <c r="V104" s="440"/>
      <c r="W104" s="440"/>
      <c r="X104" s="440"/>
      <c r="Y104" s="440"/>
      <c r="Z104" s="440"/>
      <c r="AA104" s="440"/>
      <c r="AB104" s="440"/>
      <c r="AC104" s="440"/>
      <c r="AD104" s="440"/>
      <c r="AE104" s="440"/>
      <c r="AF104" s="440"/>
      <c r="AG104" s="440"/>
      <c r="AH104" s="440"/>
      <c r="AI104" s="440"/>
      <c r="AJ104" s="440"/>
      <c r="AK104" s="440"/>
      <c r="AL104" s="440"/>
      <c r="AM104" s="440"/>
      <c r="AN104" s="440"/>
      <c r="AO104" s="440"/>
      <c r="AP104" s="440"/>
    </row>
    <row r="105" spans="1:42" ht="16.5" customHeight="1">
      <c r="A105" s="440"/>
      <c r="B105" s="440"/>
      <c r="C105" s="440"/>
      <c r="D105" s="440"/>
      <c r="E105" s="440"/>
      <c r="F105" s="440"/>
      <c r="G105" s="440"/>
      <c r="H105" s="440"/>
      <c r="I105" s="440"/>
      <c r="J105" s="440"/>
      <c r="K105" s="440"/>
      <c r="L105" s="440"/>
      <c r="M105" s="440"/>
      <c r="N105" s="440"/>
      <c r="O105" s="440"/>
      <c r="P105" s="440"/>
      <c r="Q105" s="440"/>
      <c r="R105" s="440"/>
      <c r="S105" s="440"/>
      <c r="T105" s="440"/>
      <c r="U105" s="440"/>
      <c r="V105" s="440"/>
      <c r="W105" s="440"/>
      <c r="X105" s="440"/>
      <c r="Y105" s="440"/>
      <c r="Z105" s="440"/>
      <c r="AA105" s="440"/>
      <c r="AB105" s="440"/>
      <c r="AC105" s="440"/>
      <c r="AD105" s="440"/>
      <c r="AE105" s="440"/>
      <c r="AF105" s="440"/>
      <c r="AG105" s="440"/>
      <c r="AH105" s="440"/>
      <c r="AI105" s="440"/>
      <c r="AJ105" s="440"/>
      <c r="AK105" s="440"/>
      <c r="AL105" s="440"/>
      <c r="AM105" s="440"/>
      <c r="AN105" s="440"/>
      <c r="AO105" s="440"/>
      <c r="AP105" s="440"/>
    </row>
    <row r="106" spans="1:42" ht="16.5" customHeight="1">
      <c r="A106" s="440"/>
      <c r="B106" s="440"/>
      <c r="C106" s="440"/>
      <c r="D106" s="440"/>
      <c r="E106" s="440"/>
      <c r="F106" s="440"/>
      <c r="G106" s="440"/>
      <c r="H106" s="440"/>
      <c r="I106" s="440"/>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row>
    <row r="107" spans="1:42" ht="16.5" customHeight="1">
      <c r="A107" s="440"/>
      <c r="B107" s="440"/>
      <c r="C107" s="440"/>
      <c r="D107" s="440"/>
      <c r="E107" s="440"/>
      <c r="F107" s="440"/>
      <c r="G107" s="440"/>
      <c r="H107" s="440"/>
      <c r="I107" s="440"/>
      <c r="J107" s="440"/>
      <c r="K107" s="440"/>
      <c r="L107" s="440"/>
      <c r="M107" s="440"/>
      <c r="N107" s="440"/>
      <c r="O107" s="440"/>
      <c r="P107" s="440"/>
      <c r="Q107" s="440"/>
      <c r="R107" s="440"/>
      <c r="S107" s="440"/>
      <c r="T107" s="440"/>
      <c r="U107" s="440"/>
      <c r="V107" s="440"/>
      <c r="W107" s="440"/>
      <c r="X107" s="440"/>
      <c r="Y107" s="440"/>
      <c r="Z107" s="440"/>
      <c r="AA107" s="440"/>
      <c r="AB107" s="440"/>
      <c r="AC107" s="440"/>
      <c r="AD107" s="440"/>
      <c r="AE107" s="440"/>
      <c r="AF107" s="440"/>
      <c r="AG107" s="440"/>
      <c r="AH107" s="440"/>
      <c r="AI107" s="440"/>
      <c r="AJ107" s="440"/>
      <c r="AK107" s="440"/>
      <c r="AL107" s="440"/>
      <c r="AM107" s="440"/>
      <c r="AN107" s="440"/>
      <c r="AO107" s="440"/>
      <c r="AP107" s="440"/>
    </row>
    <row r="108" spans="1:42" ht="16.5" customHeight="1">
      <c r="A108" s="440"/>
      <c r="B108" s="440"/>
      <c r="C108" s="440"/>
      <c r="D108" s="440"/>
      <c r="E108" s="440"/>
      <c r="F108" s="440"/>
      <c r="G108" s="440"/>
      <c r="H108" s="440"/>
      <c r="I108" s="440"/>
      <c r="J108" s="440"/>
      <c r="K108" s="440"/>
      <c r="L108" s="440"/>
      <c r="M108" s="440"/>
      <c r="N108" s="440"/>
      <c r="O108" s="440"/>
      <c r="P108" s="440"/>
      <c r="Q108" s="440"/>
      <c r="R108" s="440"/>
      <c r="S108" s="440"/>
      <c r="T108" s="440"/>
      <c r="U108" s="440"/>
      <c r="V108" s="440"/>
      <c r="W108" s="440"/>
      <c r="X108" s="440"/>
      <c r="Y108" s="440"/>
      <c r="Z108" s="440"/>
      <c r="AA108" s="440"/>
      <c r="AB108" s="440"/>
      <c r="AC108" s="440"/>
      <c r="AD108" s="440"/>
      <c r="AE108" s="440"/>
      <c r="AF108" s="440"/>
      <c r="AG108" s="440"/>
      <c r="AH108" s="440"/>
      <c r="AI108" s="440"/>
      <c r="AJ108" s="440"/>
      <c r="AK108" s="440"/>
      <c r="AL108" s="440"/>
      <c r="AM108" s="440"/>
      <c r="AN108" s="440"/>
      <c r="AO108" s="440"/>
      <c r="AP108" s="440"/>
    </row>
    <row r="109" spans="1:42" ht="16.5" customHeight="1">
      <c r="A109" s="440"/>
      <c r="B109" s="440"/>
      <c r="C109" s="440"/>
      <c r="D109" s="440"/>
      <c r="E109" s="440"/>
      <c r="F109" s="440"/>
      <c r="G109" s="440"/>
      <c r="H109" s="440"/>
      <c r="I109" s="440"/>
      <c r="J109" s="440"/>
      <c r="K109" s="440"/>
      <c r="L109" s="440"/>
      <c r="M109" s="440"/>
      <c r="N109" s="440"/>
      <c r="O109" s="440"/>
      <c r="P109" s="440"/>
      <c r="Q109" s="440"/>
      <c r="R109" s="440"/>
      <c r="S109" s="440"/>
      <c r="T109" s="440"/>
      <c r="U109" s="440"/>
      <c r="V109" s="440"/>
      <c r="W109" s="440"/>
      <c r="X109" s="440"/>
      <c r="Y109" s="440"/>
      <c r="Z109" s="440"/>
      <c r="AA109" s="440"/>
      <c r="AB109" s="440"/>
      <c r="AC109" s="440"/>
      <c r="AD109" s="440"/>
      <c r="AE109" s="440"/>
      <c r="AF109" s="440"/>
      <c r="AG109" s="440"/>
      <c r="AH109" s="440"/>
      <c r="AI109" s="440"/>
      <c r="AJ109" s="440"/>
      <c r="AK109" s="440"/>
      <c r="AL109" s="440"/>
      <c r="AM109" s="440"/>
      <c r="AN109" s="440"/>
      <c r="AO109" s="440"/>
      <c r="AP109" s="440"/>
    </row>
    <row r="110" spans="1:42" ht="16.5" customHeight="1">
      <c r="A110" s="440"/>
      <c r="B110" s="440"/>
      <c r="C110" s="440"/>
      <c r="D110" s="440"/>
      <c r="E110" s="440"/>
      <c r="F110" s="440"/>
      <c r="G110" s="440"/>
      <c r="H110" s="440"/>
      <c r="I110" s="440"/>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row>
    <row r="111" spans="1:42" ht="16.5" customHeight="1">
      <c r="A111" s="440"/>
      <c r="B111" s="440"/>
      <c r="C111" s="440"/>
      <c r="D111" s="440"/>
      <c r="E111" s="440"/>
      <c r="F111" s="440"/>
      <c r="G111" s="440"/>
      <c r="H111" s="440"/>
      <c r="I111" s="440"/>
      <c r="J111" s="440"/>
      <c r="K111" s="440"/>
      <c r="L111" s="440"/>
      <c r="M111" s="440"/>
      <c r="N111" s="440"/>
      <c r="O111" s="440"/>
      <c r="P111" s="440"/>
      <c r="Q111" s="440"/>
      <c r="R111" s="440"/>
      <c r="S111" s="440"/>
      <c r="T111" s="440"/>
      <c r="U111" s="440"/>
      <c r="V111" s="440"/>
      <c r="W111" s="440"/>
      <c r="X111" s="440"/>
      <c r="Y111" s="440"/>
      <c r="Z111" s="440"/>
      <c r="AA111" s="440"/>
      <c r="AB111" s="440"/>
      <c r="AC111" s="440"/>
      <c r="AD111" s="440"/>
      <c r="AE111" s="440"/>
      <c r="AF111" s="440"/>
      <c r="AG111" s="440"/>
      <c r="AH111" s="440"/>
      <c r="AI111" s="440"/>
      <c r="AJ111" s="440"/>
      <c r="AK111" s="440"/>
      <c r="AL111" s="440"/>
      <c r="AM111" s="440"/>
      <c r="AN111" s="440"/>
      <c r="AO111" s="440"/>
      <c r="AP111" s="440"/>
    </row>
    <row r="112" spans="1:42" ht="16.5" customHeight="1">
      <c r="A112" s="440"/>
      <c r="B112" s="440"/>
      <c r="C112" s="440"/>
      <c r="D112" s="440"/>
      <c r="E112" s="440"/>
      <c r="F112" s="440"/>
      <c r="G112" s="440"/>
      <c r="H112" s="440"/>
      <c r="I112" s="440"/>
      <c r="J112" s="440"/>
      <c r="K112" s="440"/>
      <c r="L112" s="440"/>
      <c r="M112" s="440"/>
      <c r="N112" s="440"/>
      <c r="O112" s="440"/>
      <c r="P112" s="440"/>
      <c r="Q112" s="440"/>
      <c r="R112" s="440"/>
      <c r="S112" s="440"/>
      <c r="T112" s="440"/>
      <c r="U112" s="440"/>
      <c r="V112" s="440"/>
      <c r="W112" s="440"/>
      <c r="X112" s="440"/>
      <c r="Y112" s="440"/>
      <c r="Z112" s="440"/>
      <c r="AA112" s="440"/>
      <c r="AB112" s="440"/>
      <c r="AC112" s="440"/>
      <c r="AD112" s="440"/>
      <c r="AE112" s="440"/>
      <c r="AF112" s="440"/>
      <c r="AG112" s="440"/>
      <c r="AH112" s="440"/>
      <c r="AI112" s="440"/>
      <c r="AJ112" s="440"/>
      <c r="AK112" s="440"/>
      <c r="AL112" s="440"/>
      <c r="AM112" s="440"/>
      <c r="AN112" s="440"/>
      <c r="AO112" s="440"/>
      <c r="AP112" s="440"/>
    </row>
    <row r="113" spans="1:42" ht="16.5" customHeight="1">
      <c r="A113" s="440"/>
      <c r="B113" s="440"/>
      <c r="C113" s="440"/>
      <c r="D113" s="440"/>
      <c r="E113" s="440"/>
      <c r="F113" s="440"/>
      <c r="G113" s="440"/>
      <c r="H113" s="440"/>
      <c r="I113" s="440"/>
      <c r="J113" s="440"/>
      <c r="K113" s="440"/>
      <c r="L113" s="440"/>
      <c r="M113" s="440"/>
      <c r="N113" s="440"/>
      <c r="O113" s="440"/>
      <c r="P113" s="440"/>
      <c r="Q113" s="440"/>
      <c r="R113" s="440"/>
      <c r="S113" s="440"/>
      <c r="T113" s="440"/>
      <c r="U113" s="440"/>
      <c r="V113" s="440"/>
      <c r="W113" s="440"/>
      <c r="X113" s="440"/>
      <c r="Y113" s="440"/>
      <c r="Z113" s="440"/>
      <c r="AA113" s="440"/>
      <c r="AB113" s="440"/>
      <c r="AC113" s="440"/>
      <c r="AD113" s="440"/>
      <c r="AE113" s="440"/>
      <c r="AF113" s="440"/>
      <c r="AG113" s="440"/>
      <c r="AH113" s="440"/>
      <c r="AI113" s="440"/>
      <c r="AJ113" s="440"/>
      <c r="AK113" s="440"/>
      <c r="AL113" s="440"/>
      <c r="AM113" s="440"/>
      <c r="AN113" s="440"/>
      <c r="AO113" s="440"/>
      <c r="AP113" s="440"/>
    </row>
    <row r="114" spans="1:42" ht="16.5" customHeight="1">
      <c r="A114" s="440"/>
      <c r="B114" s="440"/>
      <c r="C114" s="440"/>
      <c r="D114" s="440"/>
      <c r="E114" s="440"/>
      <c r="F114" s="440"/>
      <c r="G114" s="440"/>
      <c r="H114" s="440"/>
      <c r="I114" s="440"/>
      <c r="J114" s="440"/>
      <c r="K114" s="440"/>
      <c r="L114" s="440"/>
      <c r="M114" s="440"/>
      <c r="N114" s="440"/>
      <c r="O114" s="440"/>
      <c r="P114" s="440"/>
      <c r="Q114" s="440"/>
      <c r="R114" s="440"/>
      <c r="S114" s="440"/>
      <c r="T114" s="440"/>
      <c r="U114" s="440"/>
      <c r="V114" s="440"/>
      <c r="W114" s="440"/>
      <c r="X114" s="440"/>
      <c r="Y114" s="440"/>
      <c r="Z114" s="440"/>
      <c r="AA114" s="440"/>
      <c r="AB114" s="440"/>
      <c r="AC114" s="440"/>
      <c r="AD114" s="440"/>
      <c r="AE114" s="440"/>
      <c r="AF114" s="440"/>
      <c r="AG114" s="440"/>
      <c r="AH114" s="440"/>
      <c r="AI114" s="440"/>
      <c r="AJ114" s="440"/>
      <c r="AK114" s="440"/>
      <c r="AL114" s="440"/>
      <c r="AM114" s="440"/>
      <c r="AN114" s="440"/>
      <c r="AO114" s="440"/>
      <c r="AP114" s="440"/>
    </row>
    <row r="115" spans="1:42" ht="16.5" customHeight="1">
      <c r="A115" s="440"/>
      <c r="B115" s="440"/>
      <c r="C115" s="440"/>
      <c r="D115" s="440"/>
      <c r="E115" s="440"/>
      <c r="F115" s="440"/>
      <c r="G115" s="440"/>
      <c r="H115" s="440"/>
      <c r="I115" s="440"/>
      <c r="J115" s="440"/>
      <c r="K115" s="440"/>
      <c r="L115" s="440"/>
      <c r="M115" s="440"/>
      <c r="N115" s="440"/>
      <c r="O115" s="440"/>
      <c r="P115" s="440"/>
      <c r="Q115" s="440"/>
      <c r="R115" s="440"/>
      <c r="S115" s="440"/>
      <c r="T115" s="440"/>
      <c r="U115" s="440"/>
      <c r="V115" s="440"/>
      <c r="W115" s="440"/>
      <c r="X115" s="440"/>
      <c r="Y115" s="440"/>
      <c r="Z115" s="440"/>
      <c r="AA115" s="440"/>
      <c r="AB115" s="440"/>
      <c r="AC115" s="440"/>
      <c r="AD115" s="440"/>
      <c r="AE115" s="440"/>
      <c r="AF115" s="440"/>
      <c r="AG115" s="440"/>
      <c r="AH115" s="440"/>
      <c r="AI115" s="440"/>
      <c r="AJ115" s="440"/>
      <c r="AK115" s="440"/>
      <c r="AL115" s="440"/>
      <c r="AM115" s="440"/>
      <c r="AN115" s="440"/>
      <c r="AO115" s="440"/>
      <c r="AP115" s="440"/>
    </row>
    <row r="116" spans="1:42" ht="16.5" customHeight="1">
      <c r="A116" s="440"/>
      <c r="B116" s="440"/>
      <c r="C116" s="440"/>
      <c r="D116" s="440"/>
      <c r="E116" s="440"/>
      <c r="F116" s="440"/>
      <c r="G116" s="440"/>
      <c r="H116" s="440"/>
      <c r="I116" s="440"/>
      <c r="J116" s="440"/>
      <c r="K116" s="440"/>
      <c r="L116" s="440"/>
      <c r="M116" s="440"/>
      <c r="N116" s="440"/>
      <c r="O116" s="440"/>
      <c r="P116" s="440"/>
      <c r="Q116" s="440"/>
      <c r="R116" s="440"/>
      <c r="S116" s="440"/>
      <c r="T116" s="440"/>
      <c r="U116" s="440"/>
      <c r="V116" s="440"/>
      <c r="W116" s="440"/>
      <c r="X116" s="440"/>
      <c r="Y116" s="440"/>
      <c r="Z116" s="440"/>
      <c r="AA116" s="440"/>
      <c r="AB116" s="440"/>
      <c r="AC116" s="440"/>
      <c r="AD116" s="440"/>
      <c r="AE116" s="440"/>
      <c r="AF116" s="440"/>
      <c r="AG116" s="440"/>
      <c r="AH116" s="440"/>
      <c r="AI116" s="440"/>
      <c r="AJ116" s="440"/>
      <c r="AK116" s="440"/>
      <c r="AL116" s="440"/>
      <c r="AM116" s="440"/>
      <c r="AN116" s="440"/>
      <c r="AO116" s="440"/>
      <c r="AP116" s="440"/>
    </row>
    <row r="117" spans="1:42" ht="16.5" customHeight="1">
      <c r="A117" s="440"/>
      <c r="B117" s="440"/>
      <c r="C117" s="440"/>
      <c r="D117" s="440"/>
      <c r="E117" s="440"/>
      <c r="F117" s="440"/>
      <c r="G117" s="440"/>
      <c r="H117" s="440"/>
      <c r="I117" s="440"/>
      <c r="J117" s="440"/>
      <c r="K117" s="440"/>
      <c r="L117" s="440"/>
      <c r="M117" s="440"/>
      <c r="N117" s="440"/>
      <c r="O117" s="440"/>
      <c r="P117" s="440"/>
      <c r="Q117" s="440"/>
      <c r="R117" s="440"/>
      <c r="S117" s="440"/>
      <c r="T117" s="440"/>
      <c r="U117" s="440"/>
      <c r="V117" s="440"/>
      <c r="W117" s="440"/>
      <c r="X117" s="440"/>
      <c r="Y117" s="440"/>
      <c r="Z117" s="440"/>
      <c r="AA117" s="440"/>
      <c r="AB117" s="440"/>
      <c r="AC117" s="440"/>
      <c r="AD117" s="440"/>
      <c r="AE117" s="440"/>
      <c r="AF117" s="440"/>
      <c r="AG117" s="440"/>
      <c r="AH117" s="440"/>
      <c r="AI117" s="440"/>
      <c r="AJ117" s="440"/>
      <c r="AK117" s="440"/>
      <c r="AL117" s="440"/>
      <c r="AM117" s="440"/>
      <c r="AN117" s="440"/>
      <c r="AO117" s="440"/>
      <c r="AP117" s="440"/>
    </row>
    <row r="118" spans="1:42" ht="16.5" customHeight="1">
      <c r="A118" s="440"/>
      <c r="B118" s="440"/>
      <c r="C118" s="440"/>
      <c r="D118" s="440"/>
      <c r="E118" s="440"/>
      <c r="F118" s="440"/>
      <c r="G118" s="440"/>
      <c r="H118" s="440"/>
      <c r="I118" s="440"/>
      <c r="J118" s="440"/>
      <c r="K118" s="440"/>
      <c r="L118" s="440"/>
      <c r="M118" s="440"/>
      <c r="N118" s="440"/>
      <c r="O118" s="440"/>
      <c r="P118" s="440"/>
      <c r="Q118" s="440"/>
      <c r="R118" s="440"/>
      <c r="S118" s="440"/>
      <c r="T118" s="440"/>
      <c r="U118" s="440"/>
      <c r="V118" s="440"/>
      <c r="W118" s="440"/>
      <c r="X118" s="440"/>
      <c r="Y118" s="440"/>
      <c r="Z118" s="440"/>
      <c r="AA118" s="440"/>
      <c r="AB118" s="440"/>
      <c r="AC118" s="440"/>
      <c r="AD118" s="440"/>
      <c r="AE118" s="440"/>
      <c r="AF118" s="440"/>
      <c r="AG118" s="440"/>
      <c r="AH118" s="440"/>
      <c r="AI118" s="440"/>
      <c r="AJ118" s="440"/>
      <c r="AK118" s="440"/>
      <c r="AL118" s="440"/>
      <c r="AM118" s="440"/>
      <c r="AN118" s="440"/>
      <c r="AO118" s="440"/>
      <c r="AP118" s="440"/>
    </row>
    <row r="119" spans="1:42" ht="16.5" customHeight="1">
      <c r="A119" s="440"/>
      <c r="B119" s="440"/>
      <c r="C119" s="440"/>
      <c r="D119" s="440"/>
      <c r="E119" s="440"/>
      <c r="F119" s="440"/>
      <c r="G119" s="440"/>
      <c r="H119" s="440"/>
      <c r="I119" s="440"/>
      <c r="J119" s="440"/>
      <c r="K119" s="440"/>
      <c r="L119" s="440"/>
      <c r="M119" s="440"/>
      <c r="N119" s="440"/>
      <c r="O119" s="440"/>
      <c r="P119" s="440"/>
      <c r="Q119" s="440"/>
      <c r="R119" s="440"/>
      <c r="S119" s="440"/>
      <c r="T119" s="440"/>
      <c r="U119" s="440"/>
      <c r="V119" s="440"/>
      <c r="W119" s="440"/>
      <c r="X119" s="440"/>
      <c r="Y119" s="440"/>
      <c r="Z119" s="440"/>
      <c r="AA119" s="440"/>
      <c r="AB119" s="440"/>
      <c r="AC119" s="440"/>
      <c r="AD119" s="440"/>
      <c r="AE119" s="440"/>
      <c r="AF119" s="440"/>
      <c r="AG119" s="440"/>
      <c r="AH119" s="440"/>
      <c r="AI119" s="440"/>
      <c r="AJ119" s="440"/>
      <c r="AK119" s="440"/>
      <c r="AL119" s="440"/>
      <c r="AM119" s="440"/>
      <c r="AN119" s="440"/>
      <c r="AO119" s="440"/>
      <c r="AP119" s="440"/>
    </row>
    <row r="120" spans="1:42" ht="16.5" customHeight="1">
      <c r="A120" s="440"/>
      <c r="B120" s="440"/>
      <c r="C120" s="440"/>
      <c r="D120" s="440"/>
      <c r="E120" s="440"/>
      <c r="F120" s="440"/>
      <c r="G120" s="440"/>
      <c r="H120" s="440"/>
      <c r="I120" s="440"/>
      <c r="J120" s="440"/>
      <c r="K120" s="440"/>
      <c r="L120" s="440"/>
      <c r="M120" s="440"/>
      <c r="N120" s="440"/>
      <c r="O120" s="440"/>
      <c r="P120" s="440"/>
      <c r="Q120" s="440"/>
      <c r="R120" s="440"/>
      <c r="S120" s="440"/>
      <c r="T120" s="440"/>
      <c r="U120" s="440"/>
      <c r="V120" s="440"/>
      <c r="W120" s="440"/>
      <c r="X120" s="440"/>
      <c r="Y120" s="440"/>
      <c r="Z120" s="440"/>
      <c r="AA120" s="440"/>
      <c r="AB120" s="440"/>
      <c r="AC120" s="440"/>
      <c r="AD120" s="440"/>
      <c r="AE120" s="440"/>
      <c r="AF120" s="440"/>
      <c r="AG120" s="440"/>
      <c r="AH120" s="440"/>
      <c r="AI120" s="440"/>
      <c r="AJ120" s="440"/>
      <c r="AK120" s="440"/>
      <c r="AL120" s="440"/>
      <c r="AM120" s="440"/>
      <c r="AN120" s="440"/>
      <c r="AO120" s="440"/>
      <c r="AP120" s="440"/>
    </row>
    <row r="121" spans="1:42" ht="16.5" customHeight="1">
      <c r="A121" s="440"/>
      <c r="B121" s="440"/>
      <c r="C121" s="440"/>
      <c r="D121" s="440"/>
      <c r="E121" s="440"/>
      <c r="F121" s="440"/>
      <c r="G121" s="440"/>
      <c r="H121" s="440"/>
      <c r="I121" s="440"/>
      <c r="J121" s="440"/>
      <c r="K121" s="440"/>
      <c r="L121" s="440"/>
      <c r="M121" s="440"/>
      <c r="N121" s="440"/>
      <c r="O121" s="440"/>
      <c r="P121" s="440"/>
      <c r="Q121" s="440"/>
      <c r="R121" s="440"/>
      <c r="S121" s="440"/>
      <c r="T121" s="440"/>
      <c r="U121" s="440"/>
      <c r="V121" s="440"/>
      <c r="W121" s="440"/>
      <c r="X121" s="440"/>
      <c r="Y121" s="440"/>
      <c r="Z121" s="440"/>
      <c r="AA121" s="440"/>
      <c r="AB121" s="440"/>
      <c r="AC121" s="440"/>
      <c r="AD121" s="440"/>
      <c r="AE121" s="440"/>
      <c r="AF121" s="440"/>
      <c r="AG121" s="440"/>
      <c r="AH121" s="440"/>
      <c r="AI121" s="440"/>
      <c r="AJ121" s="440"/>
      <c r="AK121" s="440"/>
      <c r="AL121" s="440"/>
      <c r="AM121" s="440"/>
      <c r="AN121" s="440"/>
      <c r="AO121" s="440"/>
      <c r="AP121" s="440"/>
    </row>
    <row r="122" spans="1:42" ht="16.5" customHeight="1">
      <c r="A122" s="440"/>
      <c r="B122" s="440"/>
      <c r="C122" s="440"/>
      <c r="D122" s="440"/>
      <c r="E122" s="440"/>
      <c r="F122" s="440"/>
      <c r="G122" s="440"/>
      <c r="H122" s="440"/>
      <c r="I122" s="440"/>
      <c r="J122" s="440"/>
      <c r="K122" s="440"/>
      <c r="L122" s="440"/>
      <c r="M122" s="440"/>
      <c r="N122" s="440"/>
      <c r="O122" s="440"/>
      <c r="P122" s="440"/>
      <c r="Q122" s="440"/>
      <c r="R122" s="440"/>
      <c r="S122" s="440"/>
      <c r="T122" s="440"/>
      <c r="U122" s="440"/>
      <c r="V122" s="440"/>
      <c r="W122" s="440"/>
      <c r="X122" s="440"/>
      <c r="Y122" s="440"/>
      <c r="Z122" s="440"/>
      <c r="AA122" s="440"/>
      <c r="AB122" s="440"/>
      <c r="AC122" s="440"/>
      <c r="AD122" s="440"/>
      <c r="AE122" s="440"/>
      <c r="AF122" s="440"/>
      <c r="AG122" s="440"/>
      <c r="AH122" s="440"/>
      <c r="AI122" s="440"/>
      <c r="AJ122" s="440"/>
      <c r="AK122" s="440"/>
      <c r="AL122" s="440"/>
      <c r="AM122" s="440"/>
      <c r="AN122" s="440"/>
      <c r="AO122" s="440"/>
      <c r="AP122" s="440"/>
    </row>
    <row r="123" spans="1:42" ht="16.5" customHeight="1">
      <c r="A123" s="440"/>
      <c r="B123" s="440"/>
      <c r="C123" s="440"/>
      <c r="D123" s="440"/>
      <c r="E123" s="440"/>
      <c r="F123" s="440"/>
      <c r="G123" s="440"/>
      <c r="H123" s="440"/>
      <c r="I123" s="440"/>
      <c r="J123" s="440"/>
      <c r="K123" s="440"/>
      <c r="L123" s="440"/>
      <c r="M123" s="440"/>
      <c r="N123" s="440"/>
      <c r="O123" s="440"/>
      <c r="P123" s="440"/>
      <c r="Q123" s="440"/>
      <c r="R123" s="440"/>
      <c r="S123" s="440"/>
      <c r="T123" s="440"/>
      <c r="U123" s="440"/>
      <c r="V123" s="440"/>
      <c r="W123" s="440"/>
      <c r="X123" s="440"/>
      <c r="Y123" s="440"/>
      <c r="Z123" s="440"/>
      <c r="AA123" s="440"/>
      <c r="AB123" s="440"/>
      <c r="AC123" s="440"/>
      <c r="AD123" s="440"/>
      <c r="AE123" s="440"/>
      <c r="AF123" s="440"/>
      <c r="AG123" s="440"/>
      <c r="AH123" s="440"/>
      <c r="AI123" s="440"/>
      <c r="AJ123" s="440"/>
      <c r="AK123" s="440"/>
      <c r="AL123" s="440"/>
      <c r="AM123" s="440"/>
      <c r="AN123" s="440"/>
      <c r="AO123" s="440"/>
      <c r="AP123" s="440"/>
    </row>
    <row r="124" spans="1:42" ht="16.5" customHeight="1">
      <c r="A124" s="440"/>
      <c r="B124" s="440"/>
      <c r="C124" s="440"/>
      <c r="D124" s="440"/>
      <c r="E124" s="440"/>
      <c r="F124" s="440"/>
      <c r="G124" s="440"/>
      <c r="H124" s="440"/>
      <c r="I124" s="440"/>
      <c r="J124" s="440"/>
      <c r="K124" s="440"/>
      <c r="L124" s="440"/>
      <c r="M124" s="440"/>
      <c r="N124" s="440"/>
      <c r="O124" s="440"/>
      <c r="P124" s="440"/>
      <c r="Q124" s="440"/>
      <c r="R124" s="440"/>
      <c r="S124" s="440"/>
      <c r="T124" s="440"/>
      <c r="U124" s="440"/>
      <c r="V124" s="440"/>
      <c r="W124" s="440"/>
      <c r="X124" s="440"/>
      <c r="Y124" s="440"/>
      <c r="Z124" s="440"/>
      <c r="AA124" s="440"/>
      <c r="AB124" s="440"/>
      <c r="AC124" s="440"/>
      <c r="AD124" s="440"/>
      <c r="AE124" s="440"/>
      <c r="AF124" s="440"/>
      <c r="AG124" s="440"/>
      <c r="AH124" s="440"/>
      <c r="AI124" s="440"/>
      <c r="AJ124" s="440"/>
      <c r="AK124" s="440"/>
      <c r="AL124" s="440"/>
      <c r="AM124" s="440"/>
      <c r="AN124" s="440"/>
      <c r="AO124" s="440"/>
      <c r="AP124" s="440"/>
    </row>
    <row r="125" spans="1:42" ht="16.5" customHeight="1">
      <c r="A125" s="440"/>
      <c r="B125" s="440"/>
      <c r="C125" s="440"/>
      <c r="D125" s="440"/>
      <c r="E125" s="440"/>
      <c r="F125" s="440"/>
      <c r="G125" s="440"/>
      <c r="H125" s="440"/>
      <c r="I125" s="440"/>
      <c r="J125" s="440"/>
      <c r="K125" s="440"/>
      <c r="L125" s="440"/>
      <c r="M125" s="440"/>
      <c r="N125" s="440"/>
      <c r="O125" s="440"/>
      <c r="P125" s="440"/>
      <c r="Q125" s="440"/>
      <c r="R125" s="440"/>
      <c r="S125" s="440"/>
      <c r="T125" s="440"/>
      <c r="U125" s="440"/>
      <c r="V125" s="440"/>
      <c r="W125" s="440"/>
      <c r="X125" s="440"/>
      <c r="Y125" s="440"/>
      <c r="Z125" s="440"/>
      <c r="AA125" s="440"/>
      <c r="AB125" s="440"/>
      <c r="AC125" s="440"/>
      <c r="AD125" s="440"/>
      <c r="AE125" s="440"/>
      <c r="AF125" s="440"/>
      <c r="AG125" s="440"/>
      <c r="AH125" s="440"/>
      <c r="AI125" s="440"/>
      <c r="AJ125" s="440"/>
      <c r="AK125" s="440"/>
      <c r="AL125" s="440"/>
      <c r="AM125" s="440"/>
      <c r="AN125" s="440"/>
      <c r="AO125" s="440"/>
      <c r="AP125" s="440"/>
    </row>
    <row r="126" spans="1:42" ht="16.5" customHeight="1">
      <c r="A126" s="440"/>
      <c r="B126" s="440"/>
      <c r="C126" s="440"/>
      <c r="D126" s="440"/>
      <c r="E126" s="440"/>
      <c r="F126" s="440"/>
      <c r="G126" s="440"/>
      <c r="H126" s="440"/>
      <c r="I126" s="440"/>
      <c r="J126" s="440"/>
      <c r="K126" s="440"/>
      <c r="L126" s="440"/>
      <c r="M126" s="440"/>
      <c r="N126" s="440"/>
      <c r="O126" s="440"/>
      <c r="P126" s="440"/>
      <c r="Q126" s="440"/>
      <c r="R126" s="440"/>
      <c r="S126" s="440"/>
      <c r="T126" s="440"/>
      <c r="U126" s="440"/>
      <c r="V126" s="440"/>
      <c r="W126" s="440"/>
      <c r="X126" s="440"/>
      <c r="Y126" s="440"/>
      <c r="Z126" s="440"/>
      <c r="AA126" s="440"/>
      <c r="AB126" s="440"/>
      <c r="AC126" s="440"/>
      <c r="AD126" s="440"/>
      <c r="AE126" s="440"/>
      <c r="AF126" s="440"/>
      <c r="AG126" s="440"/>
      <c r="AH126" s="440"/>
      <c r="AI126" s="440"/>
      <c r="AJ126" s="440"/>
      <c r="AK126" s="440"/>
      <c r="AL126" s="440"/>
      <c r="AM126" s="440"/>
      <c r="AN126" s="440"/>
      <c r="AO126" s="440"/>
      <c r="AP126" s="440"/>
    </row>
    <row r="127" spans="1:42" ht="16.5" customHeight="1">
      <c r="A127" s="440"/>
      <c r="B127" s="440"/>
      <c r="C127" s="440"/>
      <c r="D127" s="440"/>
      <c r="E127" s="440"/>
      <c r="F127" s="440"/>
      <c r="G127" s="440"/>
      <c r="H127" s="440"/>
      <c r="I127" s="440"/>
      <c r="J127" s="440"/>
      <c r="K127" s="440"/>
      <c r="L127" s="440"/>
      <c r="M127" s="440"/>
      <c r="N127" s="440"/>
      <c r="O127" s="440"/>
      <c r="P127" s="440"/>
      <c r="Q127" s="440"/>
      <c r="R127" s="440"/>
      <c r="S127" s="440"/>
      <c r="T127" s="440"/>
      <c r="U127" s="440"/>
      <c r="V127" s="440"/>
      <c r="W127" s="440"/>
      <c r="X127" s="440"/>
      <c r="Y127" s="440"/>
      <c r="Z127" s="440"/>
      <c r="AA127" s="440"/>
      <c r="AB127" s="440"/>
      <c r="AC127" s="440"/>
      <c r="AD127" s="440"/>
      <c r="AE127" s="440"/>
      <c r="AF127" s="440"/>
      <c r="AG127" s="440"/>
      <c r="AH127" s="440"/>
      <c r="AI127" s="440"/>
      <c r="AJ127" s="440"/>
      <c r="AK127" s="440"/>
      <c r="AL127" s="440"/>
      <c r="AM127" s="440"/>
      <c r="AN127" s="440"/>
      <c r="AO127" s="440"/>
      <c r="AP127" s="440"/>
    </row>
    <row r="128" spans="1:42" ht="16.5" customHeight="1">
      <c r="A128" s="440"/>
      <c r="B128" s="440"/>
      <c r="C128" s="440"/>
      <c r="D128" s="440"/>
      <c r="E128" s="440"/>
      <c r="F128" s="440"/>
      <c r="G128" s="440"/>
      <c r="H128" s="440"/>
      <c r="I128" s="440"/>
      <c r="J128" s="440"/>
      <c r="K128" s="440"/>
      <c r="L128" s="440"/>
      <c r="M128" s="440"/>
      <c r="N128" s="440"/>
      <c r="O128" s="440"/>
      <c r="P128" s="440"/>
      <c r="Q128" s="440"/>
      <c r="R128" s="440"/>
      <c r="S128" s="440"/>
      <c r="T128" s="440"/>
      <c r="U128" s="440"/>
      <c r="V128" s="440"/>
      <c r="W128" s="440"/>
      <c r="X128" s="440"/>
      <c r="Y128" s="440"/>
      <c r="Z128" s="440"/>
      <c r="AA128" s="440"/>
      <c r="AB128" s="440"/>
      <c r="AC128" s="440"/>
      <c r="AD128" s="440"/>
      <c r="AE128" s="440"/>
      <c r="AF128" s="440"/>
      <c r="AG128" s="440"/>
      <c r="AH128" s="440"/>
      <c r="AI128" s="440"/>
      <c r="AJ128" s="440"/>
      <c r="AK128" s="440"/>
      <c r="AL128" s="440"/>
      <c r="AM128" s="440"/>
      <c r="AN128" s="440"/>
      <c r="AO128" s="440"/>
      <c r="AP128" s="440"/>
    </row>
    <row r="129" spans="1:42" ht="16.5" customHeight="1">
      <c r="A129" s="440"/>
      <c r="B129" s="440"/>
      <c r="C129" s="440"/>
      <c r="D129" s="440"/>
      <c r="E129" s="440"/>
      <c r="F129" s="440"/>
      <c r="G129" s="440"/>
      <c r="H129" s="440"/>
      <c r="I129" s="440"/>
      <c r="J129" s="440"/>
      <c r="K129" s="440"/>
      <c r="L129" s="440"/>
      <c r="M129" s="440"/>
      <c r="N129" s="440"/>
      <c r="O129" s="440"/>
      <c r="P129" s="440"/>
      <c r="Q129" s="440"/>
      <c r="R129" s="440"/>
      <c r="S129" s="440"/>
      <c r="T129" s="440"/>
      <c r="U129" s="440"/>
      <c r="V129" s="440"/>
      <c r="W129" s="440"/>
      <c r="X129" s="440"/>
      <c r="Y129" s="440"/>
      <c r="Z129" s="440"/>
      <c r="AA129" s="440"/>
      <c r="AB129" s="440"/>
      <c r="AC129" s="440"/>
      <c r="AD129" s="440"/>
      <c r="AE129" s="440"/>
      <c r="AF129" s="440"/>
      <c r="AG129" s="440"/>
      <c r="AH129" s="440"/>
      <c r="AI129" s="440"/>
      <c r="AJ129" s="440"/>
      <c r="AK129" s="440"/>
      <c r="AL129" s="440"/>
      <c r="AM129" s="440"/>
      <c r="AN129" s="440"/>
      <c r="AO129" s="440"/>
      <c r="AP129" s="440"/>
    </row>
    <row r="130" spans="1:42" ht="16.5" customHeight="1">
      <c r="A130" s="440"/>
      <c r="B130" s="440"/>
      <c r="C130" s="440"/>
      <c r="D130" s="440"/>
      <c r="E130" s="440"/>
      <c r="F130" s="440"/>
      <c r="G130" s="440"/>
      <c r="H130" s="440"/>
      <c r="I130" s="440"/>
      <c r="J130" s="440"/>
      <c r="K130" s="440"/>
      <c r="L130" s="440"/>
      <c r="M130" s="440"/>
      <c r="N130" s="440"/>
      <c r="O130" s="440"/>
      <c r="P130" s="440"/>
      <c r="Q130" s="440"/>
      <c r="R130" s="440"/>
      <c r="S130" s="440"/>
      <c r="T130" s="440"/>
      <c r="U130" s="440"/>
      <c r="V130" s="440"/>
      <c r="W130" s="440"/>
      <c r="X130" s="440"/>
      <c r="Y130" s="440"/>
      <c r="Z130" s="440"/>
      <c r="AA130" s="440"/>
      <c r="AB130" s="440"/>
      <c r="AC130" s="440"/>
      <c r="AD130" s="440"/>
      <c r="AE130" s="440"/>
      <c r="AF130" s="440"/>
      <c r="AG130" s="440"/>
      <c r="AH130" s="440"/>
      <c r="AI130" s="440"/>
      <c r="AJ130" s="440"/>
      <c r="AK130" s="440"/>
      <c r="AL130" s="440"/>
      <c r="AM130" s="440"/>
      <c r="AN130" s="440"/>
      <c r="AO130" s="440"/>
      <c r="AP130" s="440"/>
    </row>
    <row r="131" spans="1:42" ht="16.5" customHeight="1">
      <c r="A131" s="440"/>
      <c r="B131" s="440"/>
      <c r="C131" s="440"/>
      <c r="D131" s="440"/>
      <c r="E131" s="440"/>
      <c r="F131" s="440"/>
      <c r="G131" s="440"/>
      <c r="H131" s="440"/>
      <c r="I131" s="440"/>
      <c r="J131" s="440"/>
      <c r="K131" s="440"/>
      <c r="L131" s="440"/>
      <c r="M131" s="440"/>
      <c r="N131" s="440"/>
      <c r="O131" s="440"/>
      <c r="P131" s="440"/>
      <c r="Q131" s="440"/>
      <c r="R131" s="440"/>
      <c r="S131" s="440"/>
      <c r="T131" s="440"/>
      <c r="U131" s="440"/>
      <c r="V131" s="440"/>
      <c r="W131" s="440"/>
      <c r="X131" s="440"/>
      <c r="Y131" s="440"/>
      <c r="Z131" s="440"/>
      <c r="AA131" s="440"/>
      <c r="AB131" s="440"/>
      <c r="AC131" s="440"/>
      <c r="AD131" s="440"/>
      <c r="AE131" s="440"/>
      <c r="AF131" s="440"/>
      <c r="AG131" s="440"/>
      <c r="AH131" s="440"/>
      <c r="AI131" s="440"/>
      <c r="AJ131" s="440"/>
      <c r="AK131" s="440"/>
      <c r="AL131" s="440"/>
      <c r="AM131" s="440"/>
      <c r="AN131" s="440"/>
      <c r="AO131" s="440"/>
      <c r="AP131" s="440"/>
    </row>
    <row r="132" spans="1:42" ht="16.5" customHeight="1">
      <c r="A132" s="440"/>
      <c r="B132" s="440"/>
      <c r="C132" s="440"/>
      <c r="D132" s="440"/>
      <c r="E132" s="440"/>
      <c r="F132" s="440"/>
      <c r="G132" s="440"/>
      <c r="H132" s="440"/>
      <c r="I132" s="440"/>
      <c r="J132" s="440"/>
      <c r="K132" s="440"/>
      <c r="L132" s="440"/>
      <c r="M132" s="440"/>
      <c r="N132" s="440"/>
      <c r="O132" s="440"/>
      <c r="P132" s="440"/>
      <c r="Q132" s="440"/>
      <c r="R132" s="440"/>
      <c r="S132" s="440"/>
      <c r="T132" s="440"/>
      <c r="U132" s="440"/>
      <c r="V132" s="440"/>
      <c r="W132" s="440"/>
      <c r="X132" s="440"/>
      <c r="Y132" s="440"/>
      <c r="Z132" s="440"/>
      <c r="AA132" s="440"/>
      <c r="AB132" s="440"/>
      <c r="AC132" s="440"/>
      <c r="AD132" s="440"/>
      <c r="AE132" s="440"/>
      <c r="AF132" s="440"/>
      <c r="AG132" s="440"/>
      <c r="AH132" s="440"/>
      <c r="AI132" s="440"/>
      <c r="AJ132" s="440"/>
      <c r="AK132" s="440"/>
      <c r="AL132" s="440"/>
      <c r="AM132" s="440"/>
      <c r="AN132" s="440"/>
      <c r="AO132" s="440"/>
      <c r="AP132" s="440"/>
    </row>
    <row r="133" spans="1:42" ht="16.5" customHeight="1">
      <c r="A133" s="440"/>
      <c r="B133" s="440"/>
      <c r="C133" s="440"/>
      <c r="D133" s="440"/>
      <c r="E133" s="440"/>
      <c r="F133" s="440"/>
      <c r="G133" s="440"/>
      <c r="H133" s="440"/>
      <c r="I133" s="440"/>
      <c r="J133" s="440"/>
      <c r="K133" s="440"/>
      <c r="L133" s="440"/>
      <c r="M133" s="440"/>
      <c r="N133" s="440"/>
      <c r="O133" s="440"/>
      <c r="P133" s="440"/>
      <c r="Q133" s="440"/>
      <c r="R133" s="440"/>
      <c r="S133" s="440"/>
      <c r="T133" s="440"/>
      <c r="U133" s="440"/>
      <c r="V133" s="440"/>
      <c r="W133" s="440"/>
      <c r="X133" s="440"/>
      <c r="Y133" s="440"/>
      <c r="Z133" s="440"/>
      <c r="AA133" s="440"/>
      <c r="AB133" s="440"/>
      <c r="AC133" s="440"/>
      <c r="AD133" s="440"/>
      <c r="AE133" s="440"/>
      <c r="AF133" s="440"/>
      <c r="AG133" s="440"/>
      <c r="AH133" s="440"/>
      <c r="AI133" s="440"/>
      <c r="AJ133" s="440"/>
      <c r="AK133" s="440"/>
      <c r="AL133" s="440"/>
      <c r="AM133" s="440"/>
      <c r="AN133" s="440"/>
      <c r="AO133" s="440"/>
      <c r="AP133" s="440"/>
    </row>
    <row r="134" spans="1:42" ht="16.5" customHeight="1">
      <c r="A134" s="440"/>
      <c r="B134" s="440"/>
      <c r="C134" s="440"/>
      <c r="D134" s="440"/>
      <c r="E134" s="440"/>
      <c r="F134" s="440"/>
      <c r="G134" s="440"/>
      <c r="H134" s="440"/>
      <c r="I134" s="440"/>
      <c r="J134" s="440"/>
      <c r="K134" s="440"/>
      <c r="L134" s="440"/>
      <c r="M134" s="440"/>
      <c r="N134" s="440"/>
      <c r="O134" s="440"/>
      <c r="P134" s="440"/>
      <c r="Q134" s="440"/>
      <c r="R134" s="440"/>
      <c r="S134" s="440"/>
      <c r="T134" s="440"/>
      <c r="U134" s="440"/>
      <c r="V134" s="440"/>
      <c r="W134" s="440"/>
      <c r="X134" s="440"/>
      <c r="Y134" s="440"/>
      <c r="Z134" s="440"/>
      <c r="AA134" s="440"/>
      <c r="AB134" s="440"/>
      <c r="AC134" s="440"/>
      <c r="AD134" s="440"/>
      <c r="AE134" s="440"/>
      <c r="AF134" s="440"/>
      <c r="AG134" s="440"/>
      <c r="AH134" s="440"/>
      <c r="AI134" s="440"/>
      <c r="AJ134" s="440"/>
      <c r="AK134" s="440"/>
      <c r="AL134" s="440"/>
      <c r="AM134" s="440"/>
      <c r="AN134" s="440"/>
      <c r="AO134" s="440"/>
      <c r="AP134" s="440"/>
    </row>
    <row r="135" spans="1:42" ht="16.5" customHeight="1">
      <c r="A135" s="440"/>
      <c r="B135" s="440"/>
      <c r="C135" s="440"/>
      <c r="D135" s="440"/>
      <c r="E135" s="440"/>
      <c r="F135" s="440"/>
      <c r="G135" s="440"/>
      <c r="H135" s="440"/>
      <c r="I135" s="440"/>
      <c r="J135" s="440"/>
      <c r="K135" s="440"/>
      <c r="L135" s="440"/>
      <c r="M135" s="440"/>
      <c r="N135" s="440"/>
      <c r="O135" s="440"/>
      <c r="P135" s="440"/>
      <c r="Q135" s="440"/>
      <c r="R135" s="440"/>
      <c r="S135" s="440"/>
      <c r="T135" s="440"/>
      <c r="U135" s="440"/>
      <c r="V135" s="440"/>
      <c r="W135" s="440"/>
      <c r="X135" s="440"/>
      <c r="Y135" s="440"/>
      <c r="Z135" s="440"/>
      <c r="AA135" s="440"/>
      <c r="AB135" s="440"/>
      <c r="AC135" s="440"/>
      <c r="AD135" s="440"/>
      <c r="AE135" s="440"/>
      <c r="AF135" s="440"/>
      <c r="AG135" s="440"/>
      <c r="AH135" s="440"/>
      <c r="AI135" s="440"/>
      <c r="AJ135" s="440"/>
      <c r="AK135" s="440"/>
      <c r="AL135" s="440"/>
      <c r="AM135" s="440"/>
      <c r="AN135" s="440"/>
      <c r="AO135" s="440"/>
      <c r="AP135" s="440"/>
    </row>
    <row r="136" spans="1:42" ht="16.5" customHeight="1">
      <c r="A136" s="440"/>
      <c r="B136" s="440"/>
      <c r="C136" s="440"/>
      <c r="D136" s="440"/>
      <c r="E136" s="440"/>
      <c r="F136" s="440"/>
      <c r="G136" s="440"/>
      <c r="H136" s="440"/>
      <c r="I136" s="440"/>
      <c r="J136" s="440"/>
      <c r="K136" s="440"/>
      <c r="L136" s="440"/>
      <c r="M136" s="440"/>
      <c r="N136" s="440"/>
      <c r="O136" s="440"/>
      <c r="P136" s="440"/>
      <c r="Q136" s="440"/>
      <c r="R136" s="440"/>
      <c r="S136" s="440"/>
      <c r="T136" s="440"/>
      <c r="U136" s="440"/>
      <c r="V136" s="440"/>
      <c r="W136" s="440"/>
      <c r="X136" s="440"/>
      <c r="Y136" s="440"/>
      <c r="Z136" s="440"/>
      <c r="AA136" s="440"/>
      <c r="AB136" s="440"/>
      <c r="AC136" s="440"/>
      <c r="AD136" s="440"/>
      <c r="AE136" s="440"/>
      <c r="AF136" s="440"/>
      <c r="AG136" s="440"/>
      <c r="AH136" s="440"/>
      <c r="AI136" s="440"/>
      <c r="AJ136" s="440"/>
      <c r="AK136" s="440"/>
      <c r="AL136" s="440"/>
      <c r="AM136" s="440"/>
      <c r="AN136" s="440"/>
      <c r="AO136" s="440"/>
      <c r="AP136" s="440"/>
    </row>
    <row r="137" spans="1:42" ht="16.5" customHeight="1">
      <c r="A137" s="440"/>
      <c r="B137" s="440"/>
      <c r="C137" s="440"/>
      <c r="D137" s="440"/>
      <c r="E137" s="440"/>
      <c r="F137" s="440"/>
      <c r="G137" s="440"/>
      <c r="H137" s="440"/>
      <c r="I137" s="440"/>
      <c r="J137" s="440"/>
      <c r="K137" s="440"/>
      <c r="L137" s="440"/>
      <c r="M137" s="440"/>
      <c r="N137" s="440"/>
      <c r="O137" s="440"/>
      <c r="P137" s="440"/>
      <c r="Q137" s="440"/>
      <c r="R137" s="440"/>
      <c r="S137" s="440"/>
      <c r="T137" s="440"/>
      <c r="U137" s="440"/>
      <c r="V137" s="440"/>
      <c r="W137" s="440"/>
      <c r="X137" s="440"/>
      <c r="Y137" s="440"/>
      <c r="Z137" s="440"/>
      <c r="AA137" s="440"/>
      <c r="AB137" s="440"/>
      <c r="AC137" s="440"/>
      <c r="AD137" s="440"/>
      <c r="AE137" s="440"/>
      <c r="AF137" s="440"/>
      <c r="AG137" s="440"/>
      <c r="AH137" s="440"/>
      <c r="AI137" s="440"/>
      <c r="AJ137" s="440"/>
      <c r="AK137" s="440"/>
      <c r="AL137" s="440"/>
      <c r="AM137" s="440"/>
      <c r="AN137" s="440"/>
      <c r="AO137" s="440"/>
      <c r="AP137" s="440"/>
    </row>
    <row r="138" spans="1:42" ht="16.5" customHeight="1">
      <c r="A138" s="440"/>
      <c r="B138" s="440"/>
      <c r="C138" s="440"/>
      <c r="D138" s="440"/>
      <c r="E138" s="440"/>
      <c r="F138" s="440"/>
      <c r="G138" s="440"/>
      <c r="H138" s="440"/>
      <c r="I138" s="440"/>
      <c r="J138" s="440"/>
      <c r="K138" s="440"/>
      <c r="L138" s="440"/>
      <c r="M138" s="440"/>
      <c r="N138" s="440"/>
      <c r="O138" s="440"/>
      <c r="P138" s="440"/>
      <c r="Q138" s="440"/>
      <c r="R138" s="440"/>
      <c r="S138" s="440"/>
      <c r="T138" s="440"/>
      <c r="U138" s="440"/>
      <c r="V138" s="440"/>
      <c r="W138" s="440"/>
      <c r="X138" s="440"/>
      <c r="Y138" s="440"/>
      <c r="Z138" s="440"/>
      <c r="AA138" s="440"/>
      <c r="AB138" s="440"/>
      <c r="AC138" s="440"/>
      <c r="AD138" s="440"/>
      <c r="AE138" s="440"/>
      <c r="AF138" s="440"/>
      <c r="AG138" s="440"/>
      <c r="AH138" s="440"/>
      <c r="AI138" s="440"/>
      <c r="AJ138" s="440"/>
      <c r="AK138" s="440"/>
      <c r="AL138" s="440"/>
      <c r="AM138" s="440"/>
      <c r="AN138" s="440"/>
      <c r="AO138" s="440"/>
      <c r="AP138" s="440"/>
    </row>
    <row r="139" spans="1:42" ht="16.5" customHeight="1">
      <c r="A139" s="440"/>
      <c r="B139" s="440"/>
      <c r="C139" s="440"/>
      <c r="D139" s="440"/>
      <c r="E139" s="440"/>
      <c r="F139" s="440"/>
      <c r="G139" s="440"/>
      <c r="H139" s="440"/>
      <c r="I139" s="440"/>
      <c r="J139" s="440"/>
      <c r="K139" s="440"/>
      <c r="L139" s="440"/>
      <c r="M139" s="440"/>
      <c r="N139" s="440"/>
      <c r="O139" s="440"/>
      <c r="P139" s="440"/>
      <c r="Q139" s="440"/>
      <c r="R139" s="440"/>
      <c r="S139" s="440"/>
      <c r="T139" s="440"/>
      <c r="U139" s="440"/>
      <c r="V139" s="440"/>
      <c r="W139" s="440"/>
      <c r="X139" s="440"/>
      <c r="Y139" s="440"/>
      <c r="Z139" s="440"/>
      <c r="AA139" s="440"/>
      <c r="AB139" s="440"/>
      <c r="AC139" s="440"/>
      <c r="AD139" s="440"/>
      <c r="AE139" s="440"/>
      <c r="AF139" s="440"/>
      <c r="AG139" s="440"/>
      <c r="AH139" s="440"/>
      <c r="AI139" s="440"/>
      <c r="AJ139" s="440"/>
      <c r="AK139" s="440"/>
      <c r="AL139" s="440"/>
      <c r="AM139" s="440"/>
      <c r="AN139" s="440"/>
      <c r="AO139" s="440"/>
      <c r="AP139" s="440"/>
    </row>
    <row r="140" spans="1:42" ht="16.5" customHeight="1">
      <c r="A140" s="440"/>
      <c r="B140" s="440"/>
      <c r="C140" s="440"/>
      <c r="D140" s="440"/>
      <c r="E140" s="440"/>
      <c r="F140" s="440"/>
      <c r="G140" s="440"/>
      <c r="H140" s="440"/>
      <c r="I140" s="440"/>
      <c r="J140" s="440"/>
      <c r="K140" s="440"/>
      <c r="L140" s="440"/>
      <c r="M140" s="440"/>
      <c r="N140" s="440"/>
      <c r="O140" s="440"/>
      <c r="P140" s="440"/>
      <c r="Q140" s="440"/>
      <c r="R140" s="440"/>
      <c r="S140" s="440"/>
      <c r="T140" s="440"/>
      <c r="U140" s="440"/>
      <c r="V140" s="440"/>
      <c r="W140" s="440"/>
      <c r="X140" s="440"/>
      <c r="Y140" s="440"/>
      <c r="Z140" s="440"/>
      <c r="AA140" s="440"/>
      <c r="AB140" s="440"/>
      <c r="AC140" s="440"/>
      <c r="AD140" s="440"/>
      <c r="AE140" s="440"/>
      <c r="AF140" s="440"/>
      <c r="AG140" s="440"/>
      <c r="AH140" s="440"/>
      <c r="AI140" s="440"/>
      <c r="AJ140" s="440"/>
      <c r="AK140" s="440"/>
      <c r="AL140" s="440"/>
      <c r="AM140" s="440"/>
      <c r="AN140" s="440"/>
      <c r="AO140" s="440"/>
      <c r="AP140" s="440"/>
    </row>
    <row r="141" spans="1:42" ht="16.5" customHeight="1">
      <c r="A141" s="440"/>
      <c r="B141" s="440"/>
      <c r="C141" s="440"/>
      <c r="D141" s="440"/>
      <c r="E141" s="440"/>
      <c r="F141" s="440"/>
      <c r="G141" s="440"/>
      <c r="H141" s="440"/>
      <c r="I141" s="440"/>
      <c r="J141" s="440"/>
      <c r="K141" s="440"/>
      <c r="L141" s="440"/>
      <c r="M141" s="440"/>
      <c r="N141" s="440"/>
      <c r="O141" s="440"/>
      <c r="P141" s="440"/>
      <c r="Q141" s="440"/>
      <c r="R141" s="440"/>
      <c r="S141" s="440"/>
      <c r="T141" s="440"/>
      <c r="U141" s="440"/>
      <c r="V141" s="440"/>
      <c r="W141" s="440"/>
      <c r="X141" s="440"/>
      <c r="Y141" s="440"/>
      <c r="Z141" s="440"/>
      <c r="AA141" s="440"/>
      <c r="AB141" s="440"/>
      <c r="AC141" s="440"/>
      <c r="AD141" s="440"/>
      <c r="AE141" s="440"/>
      <c r="AF141" s="440"/>
      <c r="AG141" s="440"/>
      <c r="AH141" s="440"/>
      <c r="AI141" s="440"/>
      <c r="AJ141" s="440"/>
      <c r="AK141" s="440"/>
      <c r="AL141" s="440"/>
      <c r="AM141" s="440"/>
      <c r="AN141" s="440"/>
      <c r="AO141" s="440"/>
      <c r="AP141" s="440"/>
    </row>
    <row r="142" spans="1:42" ht="16.5" customHeight="1">
      <c r="A142" s="440"/>
      <c r="B142" s="440"/>
      <c r="C142" s="440"/>
      <c r="D142" s="440"/>
      <c r="E142" s="440"/>
      <c r="F142" s="440"/>
      <c r="G142" s="440"/>
      <c r="H142" s="440"/>
      <c r="I142" s="440"/>
      <c r="J142" s="440"/>
      <c r="K142" s="440"/>
      <c r="L142" s="440"/>
      <c r="M142" s="440"/>
      <c r="N142" s="440"/>
      <c r="O142" s="440"/>
      <c r="P142" s="440"/>
      <c r="Q142" s="440"/>
      <c r="R142" s="440"/>
      <c r="S142" s="440"/>
      <c r="T142" s="440"/>
      <c r="U142" s="440"/>
      <c r="V142" s="440"/>
      <c r="W142" s="440"/>
      <c r="X142" s="440"/>
      <c r="Y142" s="440"/>
      <c r="Z142" s="440"/>
      <c r="AA142" s="440"/>
      <c r="AB142" s="440"/>
      <c r="AC142" s="440"/>
      <c r="AD142" s="440"/>
      <c r="AE142" s="440"/>
      <c r="AF142" s="440"/>
      <c r="AG142" s="440"/>
      <c r="AH142" s="440"/>
      <c r="AI142" s="440"/>
      <c r="AJ142" s="440"/>
      <c r="AK142" s="440"/>
      <c r="AL142" s="440"/>
      <c r="AM142" s="440"/>
      <c r="AN142" s="440"/>
      <c r="AO142" s="440"/>
      <c r="AP142" s="440"/>
    </row>
    <row r="143" spans="1:42" ht="16.5" customHeight="1">
      <c r="A143" s="440"/>
      <c r="B143" s="440"/>
      <c r="C143" s="440"/>
      <c r="D143" s="440"/>
      <c r="E143" s="440"/>
      <c r="F143" s="440"/>
      <c r="G143" s="440"/>
      <c r="H143" s="440"/>
      <c r="I143" s="440"/>
      <c r="J143" s="440"/>
      <c r="K143" s="440"/>
      <c r="L143" s="440"/>
      <c r="M143" s="440"/>
      <c r="N143" s="440"/>
      <c r="O143" s="440"/>
      <c r="P143" s="440"/>
      <c r="Q143" s="440"/>
      <c r="R143" s="440"/>
      <c r="S143" s="440"/>
      <c r="T143" s="440"/>
      <c r="U143" s="440"/>
      <c r="V143" s="440"/>
      <c r="W143" s="440"/>
      <c r="X143" s="440"/>
      <c r="Y143" s="440"/>
      <c r="Z143" s="440"/>
      <c r="AA143" s="440"/>
      <c r="AB143" s="440"/>
      <c r="AC143" s="440"/>
      <c r="AD143" s="440"/>
      <c r="AE143" s="440"/>
      <c r="AF143" s="440"/>
      <c r="AG143" s="440"/>
      <c r="AH143" s="440"/>
      <c r="AI143" s="440"/>
      <c r="AJ143" s="440"/>
      <c r="AK143" s="440"/>
      <c r="AL143" s="440"/>
      <c r="AM143" s="440"/>
      <c r="AN143" s="440"/>
      <c r="AO143" s="440"/>
      <c r="AP143" s="440"/>
    </row>
    <row r="144" spans="1:42" ht="16.5" customHeight="1">
      <c r="A144" s="440"/>
      <c r="B144" s="440"/>
      <c r="C144" s="440"/>
      <c r="D144" s="440"/>
      <c r="E144" s="440"/>
      <c r="F144" s="440"/>
      <c r="G144" s="440"/>
      <c r="H144" s="440"/>
      <c r="I144" s="440"/>
      <c r="J144" s="440"/>
      <c r="K144" s="440"/>
      <c r="L144" s="440"/>
      <c r="M144" s="440"/>
      <c r="N144" s="440"/>
      <c r="O144" s="440"/>
      <c r="P144" s="440"/>
      <c r="Q144" s="440"/>
      <c r="R144" s="440"/>
      <c r="S144" s="440"/>
      <c r="T144" s="440"/>
      <c r="U144" s="440"/>
      <c r="V144" s="440"/>
      <c r="W144" s="440"/>
      <c r="X144" s="440"/>
      <c r="Y144" s="440"/>
      <c r="Z144" s="440"/>
      <c r="AA144" s="440"/>
      <c r="AB144" s="440"/>
      <c r="AC144" s="440"/>
      <c r="AD144" s="440"/>
      <c r="AE144" s="440"/>
      <c r="AF144" s="440"/>
      <c r="AG144" s="440"/>
      <c r="AH144" s="440"/>
      <c r="AI144" s="440"/>
      <c r="AJ144" s="440"/>
      <c r="AK144" s="440"/>
      <c r="AL144" s="440"/>
      <c r="AM144" s="440"/>
      <c r="AN144" s="440"/>
      <c r="AO144" s="440"/>
      <c r="AP144" s="440"/>
    </row>
    <row r="145" spans="1:42" ht="16.5" customHeight="1">
      <c r="A145" s="440"/>
      <c r="B145" s="440"/>
      <c r="C145" s="440"/>
      <c r="D145" s="440"/>
      <c r="E145" s="440"/>
      <c r="F145" s="440"/>
      <c r="G145" s="440"/>
      <c r="H145" s="440"/>
      <c r="I145" s="440"/>
      <c r="J145" s="440"/>
      <c r="K145" s="440"/>
      <c r="L145" s="440"/>
      <c r="M145" s="440"/>
      <c r="N145" s="440"/>
      <c r="O145" s="440"/>
      <c r="P145" s="440"/>
      <c r="Q145" s="440"/>
      <c r="R145" s="440"/>
      <c r="S145" s="440"/>
      <c r="T145" s="440"/>
      <c r="U145" s="440"/>
      <c r="V145" s="440"/>
      <c r="W145" s="440"/>
      <c r="X145" s="440"/>
      <c r="Y145" s="440"/>
      <c r="Z145" s="440"/>
      <c r="AA145" s="440"/>
      <c r="AB145" s="440"/>
      <c r="AC145" s="440"/>
      <c r="AD145" s="440"/>
      <c r="AE145" s="440"/>
      <c r="AF145" s="440"/>
      <c r="AG145" s="440"/>
      <c r="AH145" s="440"/>
      <c r="AI145" s="440"/>
      <c r="AJ145" s="440"/>
      <c r="AK145" s="440"/>
      <c r="AL145" s="440"/>
      <c r="AM145" s="440"/>
      <c r="AN145" s="440"/>
      <c r="AO145" s="440"/>
      <c r="AP145" s="440"/>
    </row>
    <row r="146" spans="1:42" ht="16.5" customHeight="1">
      <c r="A146" s="440"/>
      <c r="B146" s="440"/>
      <c r="C146" s="440"/>
      <c r="D146" s="440"/>
      <c r="E146" s="440"/>
      <c r="F146" s="440"/>
      <c r="G146" s="440"/>
      <c r="H146" s="440"/>
      <c r="I146" s="440"/>
      <c r="J146" s="440"/>
      <c r="K146" s="440"/>
      <c r="L146" s="440"/>
      <c r="M146" s="440"/>
      <c r="N146" s="440"/>
      <c r="O146" s="440"/>
      <c r="P146" s="440"/>
      <c r="Q146" s="440"/>
      <c r="R146" s="440"/>
      <c r="S146" s="440"/>
      <c r="T146" s="440"/>
      <c r="U146" s="440"/>
      <c r="V146" s="440"/>
      <c r="W146" s="440"/>
      <c r="X146" s="440"/>
      <c r="Y146" s="440"/>
      <c r="Z146" s="440"/>
      <c r="AA146" s="440"/>
      <c r="AB146" s="440"/>
      <c r="AC146" s="440"/>
      <c r="AD146" s="440"/>
      <c r="AE146" s="440"/>
      <c r="AF146" s="440"/>
      <c r="AG146" s="440"/>
      <c r="AH146" s="440"/>
      <c r="AI146" s="440"/>
      <c r="AJ146" s="440"/>
      <c r="AK146" s="440"/>
      <c r="AL146" s="440"/>
      <c r="AM146" s="440"/>
      <c r="AN146" s="440"/>
      <c r="AO146" s="440"/>
      <c r="AP146" s="440"/>
    </row>
    <row r="147" spans="1:42" ht="16.5" customHeight="1">
      <c r="A147" s="440"/>
      <c r="B147" s="440"/>
      <c r="C147" s="440"/>
      <c r="D147" s="440"/>
      <c r="E147" s="440"/>
      <c r="F147" s="440"/>
      <c r="G147" s="440"/>
      <c r="H147" s="440"/>
      <c r="I147" s="440"/>
      <c r="J147" s="440"/>
      <c r="K147" s="440"/>
      <c r="L147" s="440"/>
      <c r="M147" s="440"/>
      <c r="N147" s="440"/>
      <c r="O147" s="440"/>
      <c r="P147" s="440"/>
      <c r="Q147" s="440"/>
      <c r="R147" s="440"/>
      <c r="S147" s="440"/>
      <c r="T147" s="440"/>
      <c r="U147" s="440"/>
      <c r="V147" s="440"/>
      <c r="W147" s="440"/>
      <c r="X147" s="440"/>
      <c r="Y147" s="440"/>
      <c r="Z147" s="440"/>
      <c r="AA147" s="440"/>
      <c r="AB147" s="440"/>
      <c r="AC147" s="440"/>
      <c r="AD147" s="440"/>
      <c r="AE147" s="440"/>
      <c r="AF147" s="440"/>
      <c r="AG147" s="440"/>
      <c r="AH147" s="440"/>
      <c r="AI147" s="440"/>
      <c r="AJ147" s="440"/>
      <c r="AK147" s="440"/>
      <c r="AL147" s="440"/>
      <c r="AM147" s="440"/>
      <c r="AN147" s="440"/>
      <c r="AO147" s="440"/>
      <c r="AP147" s="440"/>
    </row>
    <row r="148" spans="1:42" ht="16.5" customHeight="1">
      <c r="A148" s="440"/>
      <c r="B148" s="440"/>
      <c r="C148" s="440"/>
      <c r="D148" s="440"/>
      <c r="E148" s="440"/>
      <c r="F148" s="440"/>
      <c r="G148" s="440"/>
      <c r="H148" s="440"/>
      <c r="I148" s="440"/>
      <c r="J148" s="440"/>
      <c r="K148" s="440"/>
      <c r="L148" s="440"/>
      <c r="M148" s="440"/>
      <c r="N148" s="440"/>
      <c r="O148" s="440"/>
      <c r="P148" s="440"/>
      <c r="Q148" s="440"/>
      <c r="R148" s="440"/>
      <c r="S148" s="440"/>
      <c r="T148" s="440"/>
      <c r="U148" s="440"/>
      <c r="V148" s="440"/>
      <c r="W148" s="440"/>
      <c r="X148" s="440"/>
      <c r="Y148" s="440"/>
      <c r="Z148" s="440"/>
      <c r="AA148" s="440"/>
      <c r="AB148" s="440"/>
      <c r="AC148" s="440"/>
      <c r="AD148" s="440"/>
      <c r="AE148" s="440"/>
      <c r="AF148" s="440"/>
      <c r="AG148" s="440"/>
      <c r="AH148" s="440"/>
      <c r="AI148" s="440"/>
      <c r="AJ148" s="440"/>
      <c r="AK148" s="440"/>
      <c r="AL148" s="440"/>
      <c r="AM148" s="440"/>
      <c r="AN148" s="440"/>
      <c r="AO148" s="440"/>
      <c r="AP148" s="440"/>
    </row>
    <row r="149" spans="1:42" ht="16.5" customHeight="1">
      <c r="A149" s="440"/>
      <c r="B149" s="440"/>
      <c r="C149" s="440"/>
      <c r="D149" s="440"/>
      <c r="E149" s="440"/>
      <c r="F149" s="440"/>
      <c r="G149" s="440"/>
      <c r="H149" s="440"/>
      <c r="I149" s="440"/>
      <c r="J149" s="440"/>
      <c r="K149" s="440"/>
      <c r="L149" s="440"/>
      <c r="M149" s="440"/>
      <c r="N149" s="440"/>
      <c r="O149" s="440"/>
      <c r="P149" s="440"/>
      <c r="Q149" s="440"/>
      <c r="R149" s="440"/>
      <c r="S149" s="440"/>
      <c r="T149" s="440"/>
      <c r="U149" s="440"/>
      <c r="V149" s="440"/>
      <c r="W149" s="440"/>
      <c r="X149" s="440"/>
      <c r="Y149" s="440"/>
      <c r="Z149" s="440"/>
      <c r="AA149" s="440"/>
      <c r="AB149" s="440"/>
      <c r="AC149" s="440"/>
      <c r="AD149" s="440"/>
      <c r="AE149" s="440"/>
      <c r="AF149" s="440"/>
      <c r="AG149" s="440"/>
      <c r="AH149" s="440"/>
      <c r="AI149" s="440"/>
      <c r="AJ149" s="440"/>
      <c r="AK149" s="440"/>
      <c r="AL149" s="440"/>
      <c r="AM149" s="440"/>
      <c r="AN149" s="440"/>
      <c r="AO149" s="440"/>
      <c r="AP149" s="440"/>
    </row>
    <row r="150" spans="1:42" ht="16.5" customHeight="1">
      <c r="A150" s="440"/>
      <c r="B150" s="440"/>
      <c r="C150" s="440"/>
      <c r="D150" s="440"/>
      <c r="E150" s="440"/>
      <c r="F150" s="440"/>
      <c r="G150" s="440"/>
      <c r="H150" s="440"/>
      <c r="I150" s="440"/>
      <c r="J150" s="440"/>
      <c r="K150" s="440"/>
      <c r="L150" s="440"/>
      <c r="M150" s="440"/>
      <c r="N150" s="440"/>
      <c r="O150" s="440"/>
      <c r="P150" s="440"/>
      <c r="Q150" s="440"/>
      <c r="R150" s="440"/>
      <c r="S150" s="440"/>
      <c r="T150" s="440"/>
      <c r="U150" s="440"/>
      <c r="V150" s="440"/>
      <c r="W150" s="440"/>
      <c r="X150" s="440"/>
      <c r="Y150" s="440"/>
      <c r="Z150" s="440"/>
      <c r="AA150" s="440"/>
      <c r="AB150" s="440"/>
      <c r="AC150" s="440"/>
      <c r="AD150" s="440"/>
      <c r="AE150" s="440"/>
      <c r="AF150" s="440"/>
      <c r="AG150" s="440"/>
      <c r="AH150" s="440"/>
      <c r="AI150" s="440"/>
      <c r="AJ150" s="440"/>
      <c r="AK150" s="440"/>
      <c r="AL150" s="440"/>
      <c r="AM150" s="440"/>
      <c r="AN150" s="440"/>
      <c r="AO150" s="440"/>
      <c r="AP150" s="440"/>
    </row>
    <row r="151" spans="1:42" ht="16.5" customHeight="1">
      <c r="A151" s="440"/>
      <c r="B151" s="440"/>
      <c r="C151" s="440"/>
      <c r="D151" s="440"/>
      <c r="E151" s="440"/>
      <c r="F151" s="440"/>
      <c r="G151" s="440"/>
      <c r="H151" s="440"/>
      <c r="I151" s="440"/>
      <c r="J151" s="440"/>
      <c r="K151" s="440"/>
      <c r="L151" s="440"/>
      <c r="M151" s="440"/>
      <c r="N151" s="440"/>
      <c r="O151" s="440"/>
      <c r="P151" s="440"/>
      <c r="Q151" s="440"/>
      <c r="R151" s="440"/>
      <c r="S151" s="440"/>
      <c r="T151" s="440"/>
      <c r="U151" s="440"/>
      <c r="V151" s="440"/>
      <c r="W151" s="440"/>
      <c r="X151" s="440"/>
      <c r="Y151" s="440"/>
      <c r="Z151" s="440"/>
      <c r="AA151" s="440"/>
      <c r="AB151" s="440"/>
      <c r="AC151" s="440"/>
      <c r="AD151" s="440"/>
      <c r="AE151" s="440"/>
      <c r="AF151" s="440"/>
      <c r="AG151" s="440"/>
      <c r="AH151" s="440"/>
      <c r="AI151" s="440"/>
      <c r="AJ151" s="440"/>
      <c r="AK151" s="440"/>
      <c r="AL151" s="440"/>
      <c r="AM151" s="440"/>
      <c r="AN151" s="440"/>
      <c r="AO151" s="440"/>
      <c r="AP151" s="440"/>
    </row>
    <row r="152" spans="1:42" ht="16.5" customHeight="1">
      <c r="A152" s="440"/>
      <c r="B152" s="440"/>
      <c r="C152" s="440"/>
      <c r="D152" s="440"/>
      <c r="E152" s="440"/>
      <c r="F152" s="440"/>
      <c r="G152" s="440"/>
      <c r="H152" s="440"/>
      <c r="I152" s="440"/>
      <c r="J152" s="440"/>
      <c r="K152" s="440"/>
      <c r="L152" s="440"/>
      <c r="M152" s="440"/>
      <c r="N152" s="440"/>
      <c r="O152" s="440"/>
      <c r="P152" s="440"/>
      <c r="Q152" s="440"/>
      <c r="R152" s="440"/>
      <c r="S152" s="440"/>
      <c r="T152" s="440"/>
      <c r="U152" s="440"/>
      <c r="V152" s="440"/>
      <c r="W152" s="440"/>
      <c r="X152" s="440"/>
      <c r="Y152" s="440"/>
      <c r="Z152" s="440"/>
      <c r="AA152" s="440"/>
      <c r="AB152" s="440"/>
      <c r="AC152" s="440"/>
      <c r="AD152" s="440"/>
      <c r="AE152" s="440"/>
      <c r="AF152" s="440"/>
      <c r="AG152" s="440"/>
      <c r="AH152" s="440"/>
      <c r="AI152" s="440"/>
      <c r="AJ152" s="440"/>
      <c r="AK152" s="440"/>
      <c r="AL152" s="440"/>
      <c r="AM152" s="440"/>
      <c r="AN152" s="440"/>
      <c r="AO152" s="440"/>
      <c r="AP152" s="440"/>
    </row>
    <row r="153" spans="1:42" ht="16.5" customHeight="1">
      <c r="A153" s="440"/>
      <c r="B153" s="440"/>
      <c r="C153" s="440"/>
      <c r="D153" s="440"/>
      <c r="E153" s="440"/>
      <c r="F153" s="440"/>
      <c r="G153" s="440"/>
      <c r="H153" s="440"/>
      <c r="I153" s="440"/>
      <c r="J153" s="440"/>
      <c r="K153" s="440"/>
      <c r="L153" s="440"/>
      <c r="M153" s="440"/>
      <c r="N153" s="440"/>
      <c r="O153" s="440"/>
      <c r="P153" s="440"/>
      <c r="Q153" s="440"/>
      <c r="R153" s="440"/>
      <c r="S153" s="440"/>
      <c r="T153" s="440"/>
      <c r="U153" s="440"/>
      <c r="V153" s="440"/>
      <c r="W153" s="440"/>
      <c r="X153" s="440"/>
      <c r="Y153" s="440"/>
      <c r="Z153" s="440"/>
      <c r="AA153" s="440"/>
      <c r="AB153" s="440"/>
      <c r="AC153" s="440"/>
      <c r="AD153" s="440"/>
      <c r="AE153" s="440"/>
      <c r="AF153" s="440"/>
      <c r="AG153" s="440"/>
      <c r="AH153" s="440"/>
      <c r="AI153" s="440"/>
      <c r="AJ153" s="440"/>
      <c r="AK153" s="440"/>
      <c r="AL153" s="440"/>
      <c r="AM153" s="440"/>
      <c r="AN153" s="440"/>
      <c r="AO153" s="440"/>
      <c r="AP153" s="440"/>
    </row>
    <row r="154" spans="1:42" ht="16.5" customHeight="1">
      <c r="A154" s="440"/>
      <c r="B154" s="440"/>
      <c r="C154" s="440"/>
      <c r="D154" s="440"/>
      <c r="E154" s="440"/>
      <c r="F154" s="440"/>
      <c r="G154" s="440"/>
      <c r="H154" s="440"/>
      <c r="I154" s="440"/>
      <c r="J154" s="440"/>
      <c r="K154" s="440"/>
      <c r="L154" s="440"/>
      <c r="M154" s="440"/>
      <c r="N154" s="440"/>
      <c r="O154" s="440"/>
      <c r="P154" s="440"/>
      <c r="Q154" s="440"/>
      <c r="R154" s="440"/>
      <c r="S154" s="440"/>
      <c r="T154" s="440"/>
      <c r="U154" s="440"/>
      <c r="V154" s="440"/>
      <c r="W154" s="440"/>
      <c r="X154" s="440"/>
      <c r="Y154" s="440"/>
      <c r="Z154" s="440"/>
      <c r="AA154" s="440"/>
      <c r="AB154" s="440"/>
      <c r="AC154" s="440"/>
      <c r="AD154" s="440"/>
      <c r="AE154" s="440"/>
      <c r="AF154" s="440"/>
      <c r="AG154" s="440"/>
      <c r="AH154" s="440"/>
      <c r="AI154" s="440"/>
      <c r="AJ154" s="440"/>
      <c r="AK154" s="440"/>
      <c r="AL154" s="440"/>
      <c r="AM154" s="440"/>
      <c r="AN154" s="440"/>
      <c r="AO154" s="440"/>
      <c r="AP154" s="440"/>
    </row>
    <row r="155" spans="1:42" ht="16.5" customHeight="1">
      <c r="A155" s="440"/>
      <c r="B155" s="440"/>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row>
    <row r="156" spans="1:42" ht="16.5" customHeight="1">
      <c r="A156" s="440"/>
      <c r="B156" s="440"/>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row>
    <row r="157" spans="1:42" ht="16.5" customHeight="1">
      <c r="A157" s="440"/>
      <c r="B157" s="440"/>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row>
    <row r="158" spans="1:42" ht="16.5" customHeight="1">
      <c r="A158" s="440"/>
      <c r="B158" s="440"/>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row>
    <row r="159" spans="1:42" ht="16.5" customHeight="1">
      <c r="A159" s="440"/>
      <c r="B159" s="440"/>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row>
    <row r="160" spans="1:42" ht="16.5" customHeight="1">
      <c r="A160" s="440"/>
      <c r="B160" s="440"/>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row>
    <row r="161" spans="1:42" ht="16.5" customHeight="1">
      <c r="A161" s="440"/>
      <c r="B161" s="440"/>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row>
    <row r="162" spans="1:42" ht="16.5" customHeight="1">
      <c r="A162" s="440"/>
      <c r="B162" s="440"/>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row>
    <row r="163" spans="1:42" ht="16.5" customHeight="1">
      <c r="A163" s="440"/>
      <c r="B163" s="440"/>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row>
    <row r="164" spans="1:42" ht="16.5" customHeight="1">
      <c r="A164" s="440"/>
      <c r="B164" s="440"/>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row>
    <row r="165" spans="1:42" ht="16.5" customHeight="1">
      <c r="A165" s="440"/>
      <c r="B165" s="440"/>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row>
    <row r="166" spans="1:42" ht="16.5" customHeight="1">
      <c r="A166" s="440"/>
      <c r="B166" s="440"/>
      <c r="C166" s="440"/>
      <c r="D166" s="440"/>
      <c r="E166" s="440"/>
      <c r="F166" s="440"/>
      <c r="G166" s="440"/>
      <c r="H166" s="440"/>
      <c r="I166" s="440"/>
      <c r="J166" s="440"/>
      <c r="K166" s="440"/>
      <c r="L166" s="440"/>
      <c r="M166" s="440"/>
      <c r="N166" s="440"/>
      <c r="O166" s="440"/>
      <c r="P166" s="440"/>
      <c r="Q166" s="440"/>
      <c r="R166" s="440"/>
      <c r="S166" s="440"/>
      <c r="T166" s="440"/>
      <c r="U166" s="440"/>
      <c r="V166" s="440"/>
      <c r="W166" s="440"/>
      <c r="X166" s="440"/>
      <c r="Y166" s="440"/>
      <c r="Z166" s="440"/>
      <c r="AA166" s="440"/>
      <c r="AB166" s="440"/>
      <c r="AC166" s="440"/>
      <c r="AD166" s="440"/>
      <c r="AE166" s="440"/>
      <c r="AF166" s="440"/>
      <c r="AG166" s="440"/>
      <c r="AH166" s="440"/>
      <c r="AI166" s="440"/>
      <c r="AJ166" s="440"/>
      <c r="AK166" s="440"/>
      <c r="AL166" s="440"/>
      <c r="AM166" s="440"/>
      <c r="AN166" s="440"/>
      <c r="AO166" s="440"/>
      <c r="AP166" s="440"/>
    </row>
    <row r="167" spans="1:42" ht="16.5" customHeight="1">
      <c r="A167" s="440"/>
      <c r="B167" s="440"/>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row>
    <row r="168" spans="1:42" ht="16.5" customHeight="1">
      <c r="A168" s="440"/>
      <c r="B168" s="440"/>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row>
    <row r="169" spans="1:42" ht="16.5" customHeight="1">
      <c r="A169" s="440"/>
      <c r="B169" s="440"/>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row>
    <row r="170" spans="1:42" ht="16.5" customHeight="1">
      <c r="A170" s="440"/>
      <c r="B170" s="440"/>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row>
    <row r="171" spans="1:42" ht="16.5" customHeight="1">
      <c r="A171" s="440"/>
      <c r="B171" s="440"/>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row>
    <row r="172" spans="1:42" ht="16.5" customHeight="1">
      <c r="A172" s="440"/>
      <c r="B172" s="440"/>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row>
    <row r="173" spans="1:42" ht="16.5" customHeight="1">
      <c r="A173" s="440"/>
      <c r="B173" s="440"/>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row>
    <row r="174" spans="1:42" ht="16.5" customHeight="1">
      <c r="A174" s="440"/>
      <c r="B174" s="440"/>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row>
    <row r="175" spans="1:42" ht="16.5" customHeight="1">
      <c r="A175" s="440"/>
      <c r="B175" s="440"/>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row>
    <row r="176" spans="1:42" ht="16.5" customHeight="1">
      <c r="A176" s="440"/>
      <c r="B176" s="440"/>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row>
    <row r="177" spans="1:42" ht="16.5" customHeight="1">
      <c r="A177" s="440"/>
      <c r="B177" s="440"/>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row>
  </sheetData>
  <mergeCells count="588">
    <mergeCell ref="C45:J45"/>
    <mergeCell ref="C31:J31"/>
    <mergeCell ref="C32:J32"/>
    <mergeCell ref="H60:K61"/>
    <mergeCell ref="L61:N61"/>
    <mergeCell ref="O61:Q61"/>
    <mergeCell ref="R61:T61"/>
    <mergeCell ref="U61:W61"/>
    <mergeCell ref="X61:Z61"/>
    <mergeCell ref="L60:N60"/>
    <mergeCell ref="O60:Q60"/>
    <mergeCell ref="R60:T60"/>
    <mergeCell ref="U60:W60"/>
    <mergeCell ref="X60:Z60"/>
    <mergeCell ref="C33:J33"/>
    <mergeCell ref="C34:J34"/>
    <mergeCell ref="Q37:S37"/>
    <mergeCell ref="Q36:S36"/>
    <mergeCell ref="T42:V42"/>
    <mergeCell ref="Q40:S40"/>
    <mergeCell ref="T41:V41"/>
    <mergeCell ref="Q42:S42"/>
    <mergeCell ref="C35:J35"/>
    <mergeCell ref="N34:P34"/>
    <mergeCell ref="C22:J22"/>
    <mergeCell ref="AF40:AH40"/>
    <mergeCell ref="Q45:S45"/>
    <mergeCell ref="AF53:AH53"/>
    <mergeCell ref="AF50:AH50"/>
    <mergeCell ref="F14:AS14"/>
    <mergeCell ref="A72:C72"/>
    <mergeCell ref="E72:AQ72"/>
    <mergeCell ref="E73:AQ73"/>
    <mergeCell ref="W33:Y33"/>
    <mergeCell ref="W35:Y35"/>
    <mergeCell ref="AC35:AE35"/>
    <mergeCell ref="AC33:AE33"/>
    <mergeCell ref="W26:Y26"/>
    <mergeCell ref="AF35:AH35"/>
    <mergeCell ref="T34:V34"/>
    <mergeCell ref="AC28:AE28"/>
    <mergeCell ref="T30:V30"/>
    <mergeCell ref="T29:V29"/>
    <mergeCell ref="AC32:AE32"/>
    <mergeCell ref="Z29:AB29"/>
    <mergeCell ref="AC34:AE34"/>
    <mergeCell ref="AF29:AH29"/>
    <mergeCell ref="AC26:AE26"/>
    <mergeCell ref="AL22:AN22"/>
    <mergeCell ref="AL44:AN44"/>
    <mergeCell ref="AF24:AH24"/>
    <mergeCell ref="Z28:AB28"/>
    <mergeCell ref="AC24:AE24"/>
    <mergeCell ref="Z22:AB22"/>
    <mergeCell ref="W22:Y22"/>
    <mergeCell ref="AC22:AE22"/>
    <mergeCell ref="AF39:AH39"/>
    <mergeCell ref="AF36:AH36"/>
    <mergeCell ref="AI35:AK35"/>
    <mergeCell ref="AF32:AH32"/>
    <mergeCell ref="AC25:AE25"/>
    <mergeCell ref="Z27:AB27"/>
    <mergeCell ref="AI23:AK23"/>
    <mergeCell ref="AI39:AK39"/>
    <mergeCell ref="W32:Y32"/>
    <mergeCell ref="AI41:AK41"/>
    <mergeCell ref="AC41:AE41"/>
    <mergeCell ref="Z36:AB36"/>
    <mergeCell ref="Z32:AB32"/>
    <mergeCell ref="AF38:AH38"/>
    <mergeCell ref="AC38:AE38"/>
    <mergeCell ref="AC39:AE39"/>
    <mergeCell ref="A1:AS1"/>
    <mergeCell ref="AL21:AN21"/>
    <mergeCell ref="T27:V27"/>
    <mergeCell ref="T22:V22"/>
    <mergeCell ref="W23:Y23"/>
    <mergeCell ref="W24:Y24"/>
    <mergeCell ref="Z23:AB23"/>
    <mergeCell ref="Z24:AB24"/>
    <mergeCell ref="AF21:AH21"/>
    <mergeCell ref="Z21:AB21"/>
    <mergeCell ref="W21:Y21"/>
    <mergeCell ref="Q21:S21"/>
    <mergeCell ref="T25:V25"/>
    <mergeCell ref="T24:V24"/>
    <mergeCell ref="Q23:S23"/>
    <mergeCell ref="Q25:S25"/>
    <mergeCell ref="Q22:S22"/>
    <mergeCell ref="Q27:S27"/>
    <mergeCell ref="T23:V23"/>
    <mergeCell ref="Q24:S24"/>
    <mergeCell ref="B5:E8"/>
    <mergeCell ref="Q26:S26"/>
    <mergeCell ref="AF22:AH22"/>
    <mergeCell ref="W25:Y25"/>
    <mergeCell ref="N37:P37"/>
    <mergeCell ref="T39:V39"/>
    <mergeCell ref="T37:V37"/>
    <mergeCell ref="K34:M34"/>
    <mergeCell ref="N38:P38"/>
    <mergeCell ref="K35:M35"/>
    <mergeCell ref="K36:M36"/>
    <mergeCell ref="C42:J42"/>
    <mergeCell ref="C40:J40"/>
    <mergeCell ref="C39:J39"/>
    <mergeCell ref="C41:J41"/>
    <mergeCell ref="T36:V36"/>
    <mergeCell ref="Q33:S33"/>
    <mergeCell ref="T33:V33"/>
    <mergeCell ref="AF47:AH47"/>
    <mergeCell ref="T48:V48"/>
    <mergeCell ref="T47:V47"/>
    <mergeCell ref="AC47:AE47"/>
    <mergeCell ref="AI52:AK52"/>
    <mergeCell ref="AC23:AE23"/>
    <mergeCell ref="Z52:AB52"/>
    <mergeCell ref="Z49:AB49"/>
    <mergeCell ref="T46:V46"/>
    <mergeCell ref="Z46:AB46"/>
    <mergeCell ref="AC46:AE46"/>
    <mergeCell ref="W46:Y46"/>
    <mergeCell ref="W45:Y45"/>
    <mergeCell ref="AC37:AE37"/>
    <mergeCell ref="AC36:AE36"/>
    <mergeCell ref="T32:V32"/>
    <mergeCell ref="T45:V45"/>
    <mergeCell ref="T40:V40"/>
    <mergeCell ref="W40:Y40"/>
    <mergeCell ref="AC27:AE27"/>
    <mergeCell ref="AC40:AE40"/>
    <mergeCell ref="T43:V43"/>
    <mergeCell ref="K46:M46"/>
    <mergeCell ref="K45:M45"/>
    <mergeCell ref="K42:M42"/>
    <mergeCell ref="K43:M43"/>
    <mergeCell ref="K44:M44"/>
    <mergeCell ref="C36:J36"/>
    <mergeCell ref="K39:M39"/>
    <mergeCell ref="AO48:AS48"/>
    <mergeCell ref="AO49:AS49"/>
    <mergeCell ref="Q48:S48"/>
    <mergeCell ref="AF48:AH48"/>
    <mergeCell ref="AC48:AE48"/>
    <mergeCell ref="Z47:AB47"/>
    <mergeCell ref="W47:Y47"/>
    <mergeCell ref="Z48:AB48"/>
    <mergeCell ref="W48:Y48"/>
    <mergeCell ref="AL39:AN39"/>
    <mergeCell ref="AL38:AN38"/>
    <mergeCell ref="AI40:AK40"/>
    <mergeCell ref="Z40:AB40"/>
    <mergeCell ref="Z39:AB39"/>
    <mergeCell ref="N41:P41"/>
    <mergeCell ref="AI38:AK38"/>
    <mergeCell ref="Z38:AB38"/>
    <mergeCell ref="AO53:AS53"/>
    <mergeCell ref="AL51:AN51"/>
    <mergeCell ref="AL50:AN50"/>
    <mergeCell ref="AL49:AN49"/>
    <mergeCell ref="AC52:AE52"/>
    <mergeCell ref="Q49:S49"/>
    <mergeCell ref="T49:V49"/>
    <mergeCell ref="Z50:AB50"/>
    <mergeCell ref="AC49:AE49"/>
    <mergeCell ref="W49:Y49"/>
    <mergeCell ref="AC50:AE50"/>
    <mergeCell ref="AF49:AH49"/>
    <mergeCell ref="AI50:AK50"/>
    <mergeCell ref="W53:Y53"/>
    <mergeCell ref="N52:P52"/>
    <mergeCell ref="W57:Z57"/>
    <mergeCell ref="Z53:AB53"/>
    <mergeCell ref="AF52:AH52"/>
    <mergeCell ref="C51:J51"/>
    <mergeCell ref="C52:J52"/>
    <mergeCell ref="N51:P51"/>
    <mergeCell ref="K51:M51"/>
    <mergeCell ref="K52:M52"/>
    <mergeCell ref="Q51:S51"/>
    <mergeCell ref="T51:V51"/>
    <mergeCell ref="T52:V52"/>
    <mergeCell ref="C56:F56"/>
    <mergeCell ref="S56:V56"/>
    <mergeCell ref="AC53:AE53"/>
    <mergeCell ref="AH56:AS56"/>
    <mergeCell ref="AI53:AK53"/>
    <mergeCell ref="W52:Y52"/>
    <mergeCell ref="AC51:AE51"/>
    <mergeCell ref="W51:Y51"/>
    <mergeCell ref="Z51:AB51"/>
    <mergeCell ref="AO51:AS51"/>
    <mergeCell ref="AO52:AS52"/>
    <mergeCell ref="AL53:AN53"/>
    <mergeCell ref="K31:M31"/>
    <mergeCell ref="K37:M37"/>
    <mergeCell ref="N43:P43"/>
    <mergeCell ref="N44:P44"/>
    <mergeCell ref="N36:P36"/>
    <mergeCell ref="C49:J49"/>
    <mergeCell ref="C47:J47"/>
    <mergeCell ref="C48:J48"/>
    <mergeCell ref="C50:J50"/>
    <mergeCell ref="K47:M47"/>
    <mergeCell ref="K48:M48"/>
    <mergeCell ref="N48:P48"/>
    <mergeCell ref="N47:P47"/>
    <mergeCell ref="K49:M49"/>
    <mergeCell ref="K50:M50"/>
    <mergeCell ref="C46:J46"/>
    <mergeCell ref="C43:J43"/>
    <mergeCell ref="C44:J44"/>
    <mergeCell ref="K41:M41"/>
    <mergeCell ref="N46:P46"/>
    <mergeCell ref="N40:P40"/>
    <mergeCell ref="N42:P42"/>
    <mergeCell ref="K32:M32"/>
    <mergeCell ref="K33:M33"/>
    <mergeCell ref="K30:M30"/>
    <mergeCell ref="Q29:S29"/>
    <mergeCell ref="C29:J29"/>
    <mergeCell ref="Q30:S30"/>
    <mergeCell ref="K27:M27"/>
    <mergeCell ref="N49:P49"/>
    <mergeCell ref="N50:P50"/>
    <mergeCell ref="C25:J25"/>
    <mergeCell ref="AI25:AK25"/>
    <mergeCell ref="C28:J28"/>
    <mergeCell ref="C30:J30"/>
    <mergeCell ref="K25:M25"/>
    <mergeCell ref="K26:M26"/>
    <mergeCell ref="T28:V28"/>
    <mergeCell ref="W41:Y41"/>
    <mergeCell ref="Z42:AB42"/>
    <mergeCell ref="AC31:AE31"/>
    <mergeCell ref="AF41:AH41"/>
    <mergeCell ref="AC45:AE45"/>
    <mergeCell ref="AF46:AH46"/>
    <mergeCell ref="Q46:S46"/>
    <mergeCell ref="N39:P39"/>
    <mergeCell ref="N35:P35"/>
    <mergeCell ref="K38:M38"/>
    <mergeCell ref="C23:J23"/>
    <mergeCell ref="N27:P27"/>
    <mergeCell ref="K23:M23"/>
    <mergeCell ref="N26:P26"/>
    <mergeCell ref="K28:M28"/>
    <mergeCell ref="K29:M29"/>
    <mergeCell ref="Z25:AB25"/>
    <mergeCell ref="AF25:AH25"/>
    <mergeCell ref="Z26:AB26"/>
    <mergeCell ref="W27:Y27"/>
    <mergeCell ref="C26:J26"/>
    <mergeCell ref="C27:J27"/>
    <mergeCell ref="Q28:S28"/>
    <mergeCell ref="T26:V26"/>
    <mergeCell ref="K22:M22"/>
    <mergeCell ref="AI26:AK26"/>
    <mergeCell ref="AF27:AH27"/>
    <mergeCell ref="AF45:AH45"/>
    <mergeCell ref="W44:Y44"/>
    <mergeCell ref="W42:Y42"/>
    <mergeCell ref="Z43:AB43"/>
    <mergeCell ref="Z41:AB41"/>
    <mergeCell ref="T44:V44"/>
    <mergeCell ref="AC44:AE44"/>
    <mergeCell ref="Z45:AB45"/>
    <mergeCell ref="Q32:S32"/>
    <mergeCell ref="Q34:S34"/>
    <mergeCell ref="Q31:S31"/>
    <mergeCell ref="Q44:S44"/>
    <mergeCell ref="Q43:S43"/>
    <mergeCell ref="W43:Y43"/>
    <mergeCell ref="T31:V31"/>
    <mergeCell ref="W36:Y36"/>
    <mergeCell ref="W39:Y39"/>
    <mergeCell ref="N31:P31"/>
    <mergeCell ref="N32:P32"/>
    <mergeCell ref="N33:P33"/>
    <mergeCell ref="K24:M24"/>
    <mergeCell ref="W38:Y38"/>
    <mergeCell ref="Z37:AB37"/>
    <mergeCell ref="W37:Y37"/>
    <mergeCell ref="W34:Y34"/>
    <mergeCell ref="AI36:AK36"/>
    <mergeCell ref="AI32:AK32"/>
    <mergeCell ref="AI33:AK33"/>
    <mergeCell ref="AF34:AH34"/>
    <mergeCell ref="AI34:AK34"/>
    <mergeCell ref="Z34:AB34"/>
    <mergeCell ref="AF33:AH33"/>
    <mergeCell ref="Z33:AB33"/>
    <mergeCell ref="Z35:AB35"/>
    <mergeCell ref="AF37:AH37"/>
    <mergeCell ref="AI47:AK47"/>
    <mergeCell ref="AH68:AM68"/>
    <mergeCell ref="T35:V35"/>
    <mergeCell ref="C57:F58"/>
    <mergeCell ref="Q47:S47"/>
    <mergeCell ref="Q53:S53"/>
    <mergeCell ref="W58:Z58"/>
    <mergeCell ref="AF51:AH51"/>
    <mergeCell ref="AI49:AK49"/>
    <mergeCell ref="E68:H68"/>
    <mergeCell ref="I68:N68"/>
    <mergeCell ref="O68:AG68"/>
    <mergeCell ref="AL42:AN42"/>
    <mergeCell ref="AF42:AH42"/>
    <mergeCell ref="AI42:AK42"/>
    <mergeCell ref="AL43:AN43"/>
    <mergeCell ref="Z44:AB44"/>
    <mergeCell ref="AC43:AE43"/>
    <mergeCell ref="AF43:AH43"/>
    <mergeCell ref="AI43:AK43"/>
    <mergeCell ref="AC42:AE42"/>
    <mergeCell ref="AL41:AN41"/>
    <mergeCell ref="AF44:AH44"/>
    <mergeCell ref="AL37:AN37"/>
    <mergeCell ref="B12:E13"/>
    <mergeCell ref="A16:E17"/>
    <mergeCell ref="A15:E15"/>
    <mergeCell ref="B14:E14"/>
    <mergeCell ref="A5:A14"/>
    <mergeCell ref="F8:I8"/>
    <mergeCell ref="J8:AS8"/>
    <mergeCell ref="F10:I10"/>
    <mergeCell ref="J10:AB10"/>
    <mergeCell ref="B10:E11"/>
    <mergeCell ref="F11:I11"/>
    <mergeCell ref="AC10:AF10"/>
    <mergeCell ref="AG10:AS10"/>
    <mergeCell ref="K16:L16"/>
    <mergeCell ref="N16:O16"/>
    <mergeCell ref="F12:I12"/>
    <mergeCell ref="J12:AB12"/>
    <mergeCell ref="AC12:AF12"/>
    <mergeCell ref="AC13:AF13"/>
    <mergeCell ref="F7:I7"/>
    <mergeCell ref="J7:AS7"/>
    <mergeCell ref="AG11:AS11"/>
    <mergeCell ref="F13:I13"/>
    <mergeCell ref="J13:AB13"/>
    <mergeCell ref="A56:B56"/>
    <mergeCell ref="K57:N57"/>
    <mergeCell ref="O56:R56"/>
    <mergeCell ref="O57:R57"/>
    <mergeCell ref="K56:N56"/>
    <mergeCell ref="A57:B58"/>
    <mergeCell ref="G56:J56"/>
    <mergeCell ref="T15:Z15"/>
    <mergeCell ref="AA15:AS15"/>
    <mergeCell ref="F15:S15"/>
    <mergeCell ref="C38:J38"/>
    <mergeCell ref="G57:J57"/>
    <mergeCell ref="O58:R58"/>
    <mergeCell ref="G58:J58"/>
    <mergeCell ref="Q38:S38"/>
    <mergeCell ref="Q39:S39"/>
    <mergeCell ref="T38:V38"/>
    <mergeCell ref="C37:J37"/>
    <mergeCell ref="Q41:S41"/>
    <mergeCell ref="Q35:S35"/>
    <mergeCell ref="K40:M40"/>
    <mergeCell ref="C24:J24"/>
    <mergeCell ref="F16:G16"/>
    <mergeCell ref="I16:J16"/>
    <mergeCell ref="AO16:AP16"/>
    <mergeCell ref="AO17:AP17"/>
    <mergeCell ref="AM18:AN18"/>
    <mergeCell ref="AO18:AP18"/>
    <mergeCell ref="AC16:AD16"/>
    <mergeCell ref="AE16:AF16"/>
    <mergeCell ref="AH16:AI16"/>
    <mergeCell ref="AJ16:AK16"/>
    <mergeCell ref="AM16:AN16"/>
    <mergeCell ref="A18:E19"/>
    <mergeCell ref="C21:J21"/>
    <mergeCell ref="AC21:AE21"/>
    <mergeCell ref="T21:V21"/>
    <mergeCell ref="AE17:AF17"/>
    <mergeCell ref="AH17:AI17"/>
    <mergeCell ref="AJ17:AK17"/>
    <mergeCell ref="F17:G17"/>
    <mergeCell ref="I17:J17"/>
    <mergeCell ref="N21:P21"/>
    <mergeCell ref="K21:M21"/>
    <mergeCell ref="AE18:AF18"/>
    <mergeCell ref="AH18:AI18"/>
    <mergeCell ref="AJ18:AK18"/>
    <mergeCell ref="F19:G19"/>
    <mergeCell ref="I19:J19"/>
    <mergeCell ref="P19:Q19"/>
    <mergeCell ref="S19:T19"/>
    <mergeCell ref="U19:V19"/>
    <mergeCell ref="K19:L19"/>
    <mergeCell ref="N19:O19"/>
    <mergeCell ref="F18:G18"/>
    <mergeCell ref="I18:J18"/>
    <mergeCell ref="AC18:AD18"/>
    <mergeCell ref="G3:I3"/>
    <mergeCell ref="AA3:AC3"/>
    <mergeCell ref="J5:AS5"/>
    <mergeCell ref="J3:Z3"/>
    <mergeCell ref="AD3:AG3"/>
    <mergeCell ref="AH3:AL3"/>
    <mergeCell ref="AM3:AS3"/>
    <mergeCell ref="F6:I6"/>
    <mergeCell ref="J6:AS6"/>
    <mergeCell ref="F5:I5"/>
    <mergeCell ref="J11:AB11"/>
    <mergeCell ref="AC11:AF11"/>
    <mergeCell ref="AG13:AS13"/>
    <mergeCell ref="AG12:AS12"/>
    <mergeCell ref="AI24:AK24"/>
    <mergeCell ref="AL24:AN24"/>
    <mergeCell ref="AO24:AS24"/>
    <mergeCell ref="AO25:AS25"/>
    <mergeCell ref="AO26:AS26"/>
    <mergeCell ref="AO21:AS21"/>
    <mergeCell ref="AI21:AK21"/>
    <mergeCell ref="AR16:AS16"/>
    <mergeCell ref="AR17:AS17"/>
    <mergeCell ref="AR18:AS18"/>
    <mergeCell ref="X19:Y19"/>
    <mergeCell ref="Z19:AA19"/>
    <mergeCell ref="AC19:AD19"/>
    <mergeCell ref="AE19:AF19"/>
    <mergeCell ref="AH19:AI19"/>
    <mergeCell ref="AJ19:AK19"/>
    <mergeCell ref="AM19:AN19"/>
    <mergeCell ref="AO19:AP19"/>
    <mergeCell ref="AR19:AS19"/>
    <mergeCell ref="AM17:AN17"/>
    <mergeCell ref="AO27:AS27"/>
    <mergeCell ref="AO28:AS28"/>
    <mergeCell ref="AL25:AN25"/>
    <mergeCell ref="N30:P30"/>
    <mergeCell ref="AI28:AK28"/>
    <mergeCell ref="AL28:AN28"/>
    <mergeCell ref="AO30:AS30"/>
    <mergeCell ref="AF30:AH30"/>
    <mergeCell ref="AO29:AS29"/>
    <mergeCell ref="AL26:AN26"/>
    <mergeCell ref="AF26:AH26"/>
    <mergeCell ref="N29:P29"/>
    <mergeCell ref="N28:P28"/>
    <mergeCell ref="AC30:AE30"/>
    <mergeCell ref="AC29:AE29"/>
    <mergeCell ref="AF28:AH28"/>
    <mergeCell ref="AI29:AK29"/>
    <mergeCell ref="AO37:AS37"/>
    <mergeCell ref="AO22:AS22"/>
    <mergeCell ref="AO23:AS23"/>
    <mergeCell ref="N22:P22"/>
    <mergeCell ref="N23:P23"/>
    <mergeCell ref="N24:P24"/>
    <mergeCell ref="N25:P25"/>
    <mergeCell ref="AL30:AN30"/>
    <mergeCell ref="AF31:AH31"/>
    <mergeCell ref="AI31:AK31"/>
    <mergeCell ref="AI22:AK22"/>
    <mergeCell ref="W30:Y30"/>
    <mergeCell ref="W31:Y31"/>
    <mergeCell ref="W28:Y28"/>
    <mergeCell ref="W29:Y29"/>
    <mergeCell ref="Z30:AB30"/>
    <mergeCell ref="Z31:AB31"/>
    <mergeCell ref="AF23:AH23"/>
    <mergeCell ref="AL23:AN23"/>
    <mergeCell ref="AI30:AK30"/>
    <mergeCell ref="AL27:AN27"/>
    <mergeCell ref="AI27:AK27"/>
    <mergeCell ref="AL36:AN36"/>
    <mergeCell ref="AL32:AN32"/>
    <mergeCell ref="AO31:AS31"/>
    <mergeCell ref="AO32:AS32"/>
    <mergeCell ref="AL29:AN29"/>
    <mergeCell ref="AI46:AK46"/>
    <mergeCell ref="AI44:AK44"/>
    <mergeCell ref="AL33:AN33"/>
    <mergeCell ref="AL34:AN34"/>
    <mergeCell ref="AL40:AN40"/>
    <mergeCell ref="AI37:AK37"/>
    <mergeCell ref="AL35:AN35"/>
    <mergeCell ref="AO33:AS33"/>
    <mergeCell ref="AO34:AS34"/>
    <mergeCell ref="AO39:AS39"/>
    <mergeCell ref="AO40:AS40"/>
    <mergeCell ref="AO41:AS41"/>
    <mergeCell ref="AO42:AS42"/>
    <mergeCell ref="AO43:AS43"/>
    <mergeCell ref="AO35:AS35"/>
    <mergeCell ref="AO44:AS44"/>
    <mergeCell ref="AO45:AS45"/>
    <mergeCell ref="AO38:AS38"/>
    <mergeCell ref="AO36:AS36"/>
    <mergeCell ref="AL31:AN31"/>
    <mergeCell ref="AI45:AK45"/>
    <mergeCell ref="AL45:AN45"/>
    <mergeCell ref="AL46:AN46"/>
    <mergeCell ref="AO50:AS50"/>
    <mergeCell ref="AL48:AN48"/>
    <mergeCell ref="AL52:AN52"/>
    <mergeCell ref="AO46:AS46"/>
    <mergeCell ref="AO47:AS47"/>
    <mergeCell ref="O66:AG66"/>
    <mergeCell ref="AA56:AC56"/>
    <mergeCell ref="AD56:AG56"/>
    <mergeCell ref="Q52:S52"/>
    <mergeCell ref="S57:V57"/>
    <mergeCell ref="AA57:AC57"/>
    <mergeCell ref="W56:Z56"/>
    <mergeCell ref="N45:P45"/>
    <mergeCell ref="AS57:AS58"/>
    <mergeCell ref="Q50:S50"/>
    <mergeCell ref="T50:V50"/>
    <mergeCell ref="T53:V53"/>
    <mergeCell ref="AH57:AJ58"/>
    <mergeCell ref="W50:Y50"/>
    <mergeCell ref="AI48:AK48"/>
    <mergeCell ref="AI51:AK51"/>
    <mergeCell ref="AK57:AR58"/>
    <mergeCell ref="AH61:AJ61"/>
    <mergeCell ref="A64:AP64"/>
    <mergeCell ref="A66:C66"/>
    <mergeCell ref="AK61:AS61"/>
    <mergeCell ref="E66:H66"/>
    <mergeCell ref="E67:H67"/>
    <mergeCell ref="AA58:AC58"/>
    <mergeCell ref="I66:N66"/>
    <mergeCell ref="S58:V58"/>
    <mergeCell ref="K58:N58"/>
    <mergeCell ref="AH60:AS60"/>
    <mergeCell ref="AN66:AQ66"/>
    <mergeCell ref="A67:C67"/>
    <mergeCell ref="I67:N67"/>
    <mergeCell ref="O67:AG67"/>
    <mergeCell ref="AN67:AQ67"/>
    <mergeCell ref="AA61:AC61"/>
    <mergeCell ref="AA60:AC60"/>
    <mergeCell ref="AN68:AQ68"/>
    <mergeCell ref="AN70:AQ70"/>
    <mergeCell ref="AN69:AQ69"/>
    <mergeCell ref="E75:AQ75"/>
    <mergeCell ref="E76:AQ76"/>
    <mergeCell ref="AH66:AM66"/>
    <mergeCell ref="AH70:AM70"/>
    <mergeCell ref="A76:C76"/>
    <mergeCell ref="A75:C75"/>
    <mergeCell ref="AH69:AM69"/>
    <mergeCell ref="A70:C70"/>
    <mergeCell ref="A69:C69"/>
    <mergeCell ref="I69:N69"/>
    <mergeCell ref="E70:H70"/>
    <mergeCell ref="I70:N70"/>
    <mergeCell ref="A71:AP71"/>
    <mergeCell ref="A73:C73"/>
    <mergeCell ref="A74:C74"/>
    <mergeCell ref="A68:C68"/>
    <mergeCell ref="O70:AG70"/>
    <mergeCell ref="O69:AG69"/>
    <mergeCell ref="E69:H69"/>
    <mergeCell ref="AH67:AM67"/>
    <mergeCell ref="E74:AQ74"/>
    <mergeCell ref="B9:E9"/>
    <mergeCell ref="F9:AS9"/>
    <mergeCell ref="AD57:AG58"/>
    <mergeCell ref="P16:Q16"/>
    <mergeCell ref="S16:T16"/>
    <mergeCell ref="U16:V16"/>
    <mergeCell ref="X16:Y16"/>
    <mergeCell ref="Z16:AA16"/>
    <mergeCell ref="K17:L17"/>
    <mergeCell ref="N17:O17"/>
    <mergeCell ref="P17:Q17"/>
    <mergeCell ref="S17:T17"/>
    <mergeCell ref="U17:V17"/>
    <mergeCell ref="X17:Y17"/>
    <mergeCell ref="Z17:AA17"/>
    <mergeCell ref="K18:L18"/>
    <mergeCell ref="N18:O18"/>
    <mergeCell ref="P18:Q18"/>
    <mergeCell ref="S18:T18"/>
    <mergeCell ref="U18:V18"/>
    <mergeCell ref="X18:Y18"/>
    <mergeCell ref="Z18:AA18"/>
    <mergeCell ref="AC17:AD17"/>
    <mergeCell ref="AL47:AN47"/>
  </mergeCells>
  <phoneticPr fontId="24"/>
  <conditionalFormatting sqref="AG10:AG13">
    <cfRule type="cellIs" dxfId="47" priority="48" stopIfTrue="1" operator="equal">
      <formula>0</formula>
    </cfRule>
  </conditionalFormatting>
  <conditionalFormatting sqref="AK16:AK19 AD16:AD19 AO16:AP19 P16:P19 I16:I19">
    <cfRule type="cellIs" dxfId="46" priority="49" stopIfTrue="1" operator="equal">
      <formula>"　　　　　　　　時　　　　　　分　　　　～　　　　　　　　時　　　　　　分　（ □ 交代制あり　 ■交代制なし ）"</formula>
    </cfRule>
  </conditionalFormatting>
  <conditionalFormatting sqref="F14">
    <cfRule type="cellIs" dxfId="45" priority="50" stopIfTrue="1" operator="equal">
      <formula>" 第  号業務（　　　　　　　　　　）及び付帯作業　　付帯作業は、１週間当たりの作業全体の１０％以下とする。"</formula>
    </cfRule>
  </conditionalFormatting>
  <conditionalFormatting sqref="Q22:S52">
    <cfRule type="expression" dxfId="44" priority="45">
      <formula>$AU22&lt;&gt;""</formula>
    </cfRule>
  </conditionalFormatting>
  <conditionalFormatting sqref="N16:N17 AM16:AM17 S16:S17 X16:X17 AC16:AC17 AH16:AH17">
    <cfRule type="cellIs" dxfId="43" priority="44" stopIfTrue="1" operator="equal">
      <formula>"　　　　　　　　時　　　　　　分　　　　～　　　　　　　　時　　　　　　分　（ □ 交代制あり　 ■交代制なし ）"</formula>
    </cfRule>
  </conditionalFormatting>
  <conditionalFormatting sqref="I16:I17">
    <cfRule type="cellIs" dxfId="42" priority="43" stopIfTrue="1" operator="equal">
      <formula>"　　　　　　　　時　　　　　　分　　　　～　　　　　　　　時　　　　　　分　（ □ 交代制あり　 ■交代制なし ）"</formula>
    </cfRule>
  </conditionalFormatting>
  <conditionalFormatting sqref="N16:N17">
    <cfRule type="cellIs" dxfId="41" priority="42" stopIfTrue="1" operator="equal">
      <formula>"　　　　　　　　時　　　　　　分　　　　～　　　　　　　　時　　　　　　分　（ □ 交代制あり　 ■交代制なし ）"</formula>
    </cfRule>
  </conditionalFormatting>
  <conditionalFormatting sqref="N16:N17">
    <cfRule type="cellIs" dxfId="40" priority="41" stopIfTrue="1" operator="equal">
      <formula>"　　　　　　　　時　　　　　　分　　　　～　　　　　　　　時　　　　　　分　（ □ 交代制あり　 ■交代制なし ）"</formula>
    </cfRule>
  </conditionalFormatting>
  <conditionalFormatting sqref="S16:S17">
    <cfRule type="cellIs" dxfId="39" priority="40" stopIfTrue="1" operator="equal">
      <formula>"　　　　　　　　時　　　　　　分　　　　～　　　　　　　　時　　　　　　分　（ □ 交代制あり　 ■交代制なし ）"</formula>
    </cfRule>
  </conditionalFormatting>
  <conditionalFormatting sqref="S16:S17">
    <cfRule type="cellIs" dxfId="38" priority="39" stopIfTrue="1" operator="equal">
      <formula>"　　　　　　　　時　　　　　　分　　　　～　　　　　　　　時　　　　　　分　（ □ 交代制あり　 ■交代制なし ）"</formula>
    </cfRule>
  </conditionalFormatting>
  <conditionalFormatting sqref="S16:S17">
    <cfRule type="cellIs" dxfId="37" priority="38" stopIfTrue="1" operator="equal">
      <formula>"　　　　　　　　時　　　　　　分　　　　～　　　　　　　　時　　　　　　分　（ □ 交代制あり　 ■交代制なし ）"</formula>
    </cfRule>
  </conditionalFormatting>
  <conditionalFormatting sqref="S16:S17">
    <cfRule type="cellIs" dxfId="36" priority="37" stopIfTrue="1" operator="equal">
      <formula>"　　　　　　　　時　　　　　　分　　　　～　　　　　　　　時　　　　　　分　（ □ 交代制あり　 ■交代制なし ）"</formula>
    </cfRule>
  </conditionalFormatting>
  <conditionalFormatting sqref="U16:U17">
    <cfRule type="cellIs" dxfId="35" priority="36" stopIfTrue="1" operator="equal">
      <formula>"　　　　　　　　時　　　　　　分　　　　～　　　　　　　　時　　　　　　分　（ □ 交代制あり　 ■交代制なし ）"</formula>
    </cfRule>
  </conditionalFormatting>
  <conditionalFormatting sqref="S16:S17">
    <cfRule type="cellIs" dxfId="34" priority="35" stopIfTrue="1" operator="equal">
      <formula>"　　　　　　　　時　　　　　　分　　　　～　　　　　　　　時　　　　　　分　（ □ 交代制あり　 ■交代制なし ）"</formula>
    </cfRule>
  </conditionalFormatting>
  <conditionalFormatting sqref="S16:S17">
    <cfRule type="cellIs" dxfId="33" priority="34" stopIfTrue="1" operator="equal">
      <formula>"　　　　　　　　時　　　　　　分　　　　～　　　　　　　　時　　　　　　分　（ □ 交代制あり　 ■交代制なし ）"</formula>
    </cfRule>
  </conditionalFormatting>
  <conditionalFormatting sqref="Z16:Z17">
    <cfRule type="cellIs" dxfId="32" priority="33" stopIfTrue="1" operator="equal">
      <formula>"　　　　　　　　時　　　　　　分　　　　～　　　　　　　　時　　　　　　分　（ □ 交代制あり　 ■交代制なし ）"</formula>
    </cfRule>
  </conditionalFormatting>
  <conditionalFormatting sqref="X16:X17">
    <cfRule type="cellIs" dxfId="31" priority="32" stopIfTrue="1" operator="equal">
      <formula>"　　　　　　　　時　　　　　　分　　　　～　　　　　　　　時　　　　　　分　（ □ 交代制あり　 ■交代制なし ）"</formula>
    </cfRule>
  </conditionalFormatting>
  <conditionalFormatting sqref="X16:X17">
    <cfRule type="cellIs" dxfId="30" priority="31" stopIfTrue="1" operator="equal">
      <formula>"　　　　　　　　時　　　　　　分　　　　～　　　　　　　　時　　　　　　分　（ □ 交代制あり　 ■交代制なし ）"</formula>
    </cfRule>
  </conditionalFormatting>
  <conditionalFormatting sqref="AE16:AE17">
    <cfRule type="cellIs" dxfId="29" priority="30" stopIfTrue="1" operator="equal">
      <formula>"　　　　　　　　時　　　　　　分　　　　～　　　　　　　　時　　　　　　分　（ □ 交代制あり　 ■交代制なし ）"</formula>
    </cfRule>
  </conditionalFormatting>
  <conditionalFormatting sqref="AC16:AC17">
    <cfRule type="cellIs" dxfId="28" priority="29" stopIfTrue="1" operator="equal">
      <formula>"　　　　　　　　時　　　　　　分　　　　～　　　　　　　　時　　　　　　分　（ □ 交代制あり　 ■交代制なし ）"</formula>
    </cfRule>
  </conditionalFormatting>
  <conditionalFormatting sqref="AC16:AC17">
    <cfRule type="cellIs" dxfId="27" priority="28" stopIfTrue="1" operator="equal">
      <formula>"　　　　　　　　時　　　　　　分　　　　～　　　　　　　　時　　　　　　分　（ □ 交代制あり　 ■交代制なし ）"</formula>
    </cfRule>
  </conditionalFormatting>
  <conditionalFormatting sqref="AJ16:AJ17">
    <cfRule type="cellIs" dxfId="26" priority="27" stopIfTrue="1" operator="equal">
      <formula>"　　　　　　　　時　　　　　　分　　　　～　　　　　　　　時　　　　　　分　（ □ 交代制あり　 ■交代制なし ）"</formula>
    </cfRule>
  </conditionalFormatting>
  <conditionalFormatting sqref="AH16:AH17">
    <cfRule type="cellIs" dxfId="25" priority="26" stopIfTrue="1" operator="equal">
      <formula>"　　　　　　　　時　　　　　　分　　　　～　　　　　　　　時　　　　　　分　（ □ 交代制あり　 ■交代制なし ）"</formula>
    </cfRule>
  </conditionalFormatting>
  <conditionalFormatting sqref="AH16:AH17">
    <cfRule type="cellIs" dxfId="24" priority="25" stopIfTrue="1" operator="equal">
      <formula>"　　　　　　　　時　　　　　　分　　　　～　　　　　　　　時　　　　　　分　（ □ 交代制あり　 ■交代制なし ）"</formula>
    </cfRule>
  </conditionalFormatting>
  <conditionalFormatting sqref="AR16:AR17">
    <cfRule type="cellIs" dxfId="23" priority="24" stopIfTrue="1" operator="equal">
      <formula>"　　　　　　　　時　　　　　　分　　　　～　　　　　　　　時　　　　　　分　（ □ 交代制あり　 ■交代制なし ）"</formula>
    </cfRule>
  </conditionalFormatting>
  <conditionalFormatting sqref="AO16:AO17">
    <cfRule type="cellIs" dxfId="22" priority="23" stopIfTrue="1" operator="equal">
      <formula>"　　　　　　　　時　　　　　　分　　　　～　　　　　　　　時　　　　　　分　（ □ 交代制あり　 ■交代制なし ）"</formula>
    </cfRule>
  </conditionalFormatting>
  <conditionalFormatting sqref="N18:N19 AM18:AM19 S18:S19 X18:X19 AC18:AC19 AH18:AH19">
    <cfRule type="cellIs" dxfId="21" priority="22" stopIfTrue="1" operator="equal">
      <formula>"　　　　　　　　時　　　　　　分　　　　～　　　　　　　　時　　　　　　分　（ □ 交代制あり　 ■交代制なし ）"</formula>
    </cfRule>
  </conditionalFormatting>
  <conditionalFormatting sqref="I18:I19">
    <cfRule type="cellIs" dxfId="20" priority="21" stopIfTrue="1" operator="equal">
      <formula>"　　　　　　　　時　　　　　　分　　　　～　　　　　　　　時　　　　　　分　（ □ 交代制あり　 ■交代制なし ）"</formula>
    </cfRule>
  </conditionalFormatting>
  <conditionalFormatting sqref="N18:N19">
    <cfRule type="cellIs" dxfId="19" priority="20" stopIfTrue="1" operator="equal">
      <formula>"　　　　　　　　時　　　　　　分　　　　～　　　　　　　　時　　　　　　分　（ □ 交代制あり　 ■交代制なし ）"</formula>
    </cfRule>
  </conditionalFormatting>
  <conditionalFormatting sqref="N18:N19">
    <cfRule type="cellIs" dxfId="18" priority="19" stopIfTrue="1" operator="equal">
      <formula>"　　　　　　　　時　　　　　　分　　　　～　　　　　　　　時　　　　　　分　（ □ 交代制あり　 ■交代制なし ）"</formula>
    </cfRule>
  </conditionalFormatting>
  <conditionalFormatting sqref="S18:S19">
    <cfRule type="cellIs" dxfId="17" priority="18" stopIfTrue="1" operator="equal">
      <formula>"　　　　　　　　時　　　　　　分　　　　～　　　　　　　　時　　　　　　分　（ □ 交代制あり　 ■交代制なし ）"</formula>
    </cfRule>
  </conditionalFormatting>
  <conditionalFormatting sqref="S18:S19">
    <cfRule type="cellIs" dxfId="16" priority="17" stopIfTrue="1" operator="equal">
      <formula>"　　　　　　　　時　　　　　　分　　　　～　　　　　　　　時　　　　　　分　（ □ 交代制あり　 ■交代制なし ）"</formula>
    </cfRule>
  </conditionalFormatting>
  <conditionalFormatting sqref="S18:S19">
    <cfRule type="cellIs" dxfId="15" priority="16" stopIfTrue="1" operator="equal">
      <formula>"　　　　　　　　時　　　　　　分　　　　～　　　　　　　　時　　　　　　分　（ □ 交代制あり　 ■交代制なし ）"</formula>
    </cfRule>
  </conditionalFormatting>
  <conditionalFormatting sqref="S18:S19">
    <cfRule type="cellIs" dxfId="14" priority="15" stopIfTrue="1" operator="equal">
      <formula>"　　　　　　　　時　　　　　　分　　　　～　　　　　　　　時　　　　　　分　（ □ 交代制あり　 ■交代制なし ）"</formula>
    </cfRule>
  </conditionalFormatting>
  <conditionalFormatting sqref="U18:U19">
    <cfRule type="cellIs" dxfId="13" priority="14" stopIfTrue="1" operator="equal">
      <formula>"　　　　　　　　時　　　　　　分　　　　～　　　　　　　　時　　　　　　分　（ □ 交代制あり　 ■交代制なし ）"</formula>
    </cfRule>
  </conditionalFormatting>
  <conditionalFormatting sqref="S18:S19">
    <cfRule type="cellIs" dxfId="12" priority="13" stopIfTrue="1" operator="equal">
      <formula>"　　　　　　　　時　　　　　　分　　　　～　　　　　　　　時　　　　　　分　（ □ 交代制あり　 ■交代制なし ）"</formula>
    </cfRule>
  </conditionalFormatting>
  <conditionalFormatting sqref="S18:S19">
    <cfRule type="cellIs" dxfId="11" priority="12" stopIfTrue="1" operator="equal">
      <formula>"　　　　　　　　時　　　　　　分　　　　～　　　　　　　　時　　　　　　分　（ □ 交代制あり　 ■交代制なし ）"</formula>
    </cfRule>
  </conditionalFormatting>
  <conditionalFormatting sqref="Z18:Z19">
    <cfRule type="cellIs" dxfId="10" priority="11" stopIfTrue="1" operator="equal">
      <formula>"　　　　　　　　時　　　　　　分　　　　～　　　　　　　　時　　　　　　分　（ □ 交代制あり　 ■交代制なし ）"</formula>
    </cfRule>
  </conditionalFormatting>
  <conditionalFormatting sqref="X18:X19">
    <cfRule type="cellIs" dxfId="9" priority="10" stopIfTrue="1" operator="equal">
      <formula>"　　　　　　　　時　　　　　　分　　　　～　　　　　　　　時　　　　　　分　（ □ 交代制あり　 ■交代制なし ）"</formula>
    </cfRule>
  </conditionalFormatting>
  <conditionalFormatting sqref="X18:X19">
    <cfRule type="cellIs" dxfId="8" priority="9" stopIfTrue="1" operator="equal">
      <formula>"　　　　　　　　時　　　　　　分　　　　～　　　　　　　　時　　　　　　分　（ □ 交代制あり　 ■交代制なし ）"</formula>
    </cfRule>
  </conditionalFormatting>
  <conditionalFormatting sqref="AE18:AE19">
    <cfRule type="cellIs" dxfId="7" priority="8" stopIfTrue="1" operator="equal">
      <formula>"　　　　　　　　時　　　　　　分　　　　～　　　　　　　　時　　　　　　分　（ □ 交代制あり　 ■交代制なし ）"</formula>
    </cfRule>
  </conditionalFormatting>
  <conditionalFormatting sqref="AC18:AC19">
    <cfRule type="cellIs" dxfId="6" priority="7" stopIfTrue="1" operator="equal">
      <formula>"　　　　　　　　時　　　　　　分　　　　～　　　　　　　　時　　　　　　分　（ □ 交代制あり　 ■交代制なし ）"</formula>
    </cfRule>
  </conditionalFormatting>
  <conditionalFormatting sqref="AC18:AC19">
    <cfRule type="cellIs" dxfId="5" priority="6" stopIfTrue="1" operator="equal">
      <formula>"　　　　　　　　時　　　　　　分　　　　～　　　　　　　　時　　　　　　分　（ □ 交代制あり　 ■交代制なし ）"</formula>
    </cfRule>
  </conditionalFormatting>
  <conditionalFormatting sqref="AJ18:AJ19">
    <cfRule type="cellIs" dxfId="4" priority="5" stopIfTrue="1" operator="equal">
      <formula>"　　　　　　　　時　　　　　　分　　　　～　　　　　　　　時　　　　　　分　（ □ 交代制あり　 ■交代制なし ）"</formula>
    </cfRule>
  </conditionalFormatting>
  <conditionalFormatting sqref="AH18:AH19">
    <cfRule type="cellIs" dxfId="3" priority="4" stopIfTrue="1" operator="equal">
      <formula>"　　　　　　　　時　　　　　　分　　　　～　　　　　　　　時　　　　　　分　（ □ 交代制あり　 ■交代制なし ）"</formula>
    </cfRule>
  </conditionalFormatting>
  <conditionalFormatting sqref="AH18:AH19">
    <cfRule type="cellIs" dxfId="2" priority="3" stopIfTrue="1" operator="equal">
      <formula>"　　　　　　　　時　　　　　　分　　　　～　　　　　　　　時　　　　　　分　（ □ 交代制あり　 ■交代制なし ）"</formula>
    </cfRule>
  </conditionalFormatting>
  <conditionalFormatting sqref="AR18:AR19">
    <cfRule type="cellIs" dxfId="1" priority="2" stopIfTrue="1" operator="equal">
      <formula>"　　　　　　　　時　　　　　　分　　　　～　　　　　　　　時　　　　　　分　（ □ 交代制あり　 ■交代制なし ）"</formula>
    </cfRule>
  </conditionalFormatting>
  <conditionalFormatting sqref="AO18:AO19">
    <cfRule type="cellIs" dxfId="0" priority="1" stopIfTrue="1" operator="equal">
      <formula>"　　　　　　　　時　　　　　　分　　　　～　　　　　　　　時　　　　　　分　（ □ 交代制あり　 ■交代制なし ）"</formula>
    </cfRule>
  </conditionalFormatting>
  <printOptions horizontalCentered="1"/>
  <pageMargins left="0.59055118110236227" right="0.59055118110236227" top="0.19685039370078741" bottom="0" header="0.11811023622047245" footer="0"/>
  <pageSetup paperSize="9" scale="85" orientation="portrait" r:id="rId1"/>
  <headerFooter alignWithMargins="0"/>
  <rowBreaks count="1" manualBreakCount="1">
    <brk id="63" max="45" man="1"/>
  </rowBreaks>
  <ignoredErrors>
    <ignoredError sqref="AD3 AM3 L61:Z61 H16:AS19"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9458" r:id="rId4" name="Check Box 2">
              <controlPr locked="0" defaultSize="0" autoFill="0" autoLine="0" autoPict="0">
                <anchor moveWithCells="1">
                  <from>
                    <xdr:col>13</xdr:col>
                    <xdr:colOff>47625</xdr:colOff>
                    <xdr:row>54</xdr:row>
                    <xdr:rowOff>47625</xdr:rowOff>
                  </from>
                  <to>
                    <xdr:col>26</xdr:col>
                    <xdr:colOff>28575</xdr:colOff>
                    <xdr:row>54</xdr:row>
                    <xdr:rowOff>257175</xdr:rowOff>
                  </to>
                </anchor>
              </controlPr>
            </control>
          </mc:Choice>
        </mc:AlternateContent>
        <mc:AlternateContent xmlns:mc="http://schemas.openxmlformats.org/markup-compatibility/2006">
          <mc:Choice Requires="x14">
            <control shapeId="19473" r:id="rId5" name="Group Box 17">
              <controlPr locked="0" defaultSize="0" autoFill="0" autoPict="0">
                <anchor moveWithCells="1">
                  <from>
                    <xdr:col>0</xdr:col>
                    <xdr:colOff>76200</xdr:colOff>
                    <xdr:row>53</xdr:row>
                    <xdr:rowOff>9525</xdr:rowOff>
                  </from>
                  <to>
                    <xdr:col>7</xdr:col>
                    <xdr:colOff>114300</xdr:colOff>
                    <xdr:row>54</xdr:row>
                    <xdr:rowOff>266700</xdr:rowOff>
                  </to>
                </anchor>
              </controlPr>
            </control>
          </mc:Choice>
        </mc:AlternateContent>
        <mc:AlternateContent xmlns:mc="http://schemas.openxmlformats.org/markup-compatibility/2006">
          <mc:Choice Requires="x14">
            <control shapeId="19481" r:id="rId6" name="Button 25">
              <controlPr locked="0" defaultSize="0" print="0" autoFill="0" autoPict="0" macro="[0]!LoadButton_Click">
                <anchor moveWithCells="1" sizeWithCells="1">
                  <from>
                    <xdr:col>46</xdr:col>
                    <xdr:colOff>57150</xdr:colOff>
                    <xdr:row>7</xdr:row>
                    <xdr:rowOff>95250</xdr:rowOff>
                  </from>
                  <to>
                    <xdr:col>49</xdr:col>
                    <xdr:colOff>114300</xdr:colOff>
                    <xdr:row>9</xdr:row>
                    <xdr:rowOff>66675</xdr:rowOff>
                  </to>
                </anchor>
              </controlPr>
            </control>
          </mc:Choice>
        </mc:AlternateContent>
        <mc:AlternateContent xmlns:mc="http://schemas.openxmlformats.org/markup-compatibility/2006">
          <mc:Choice Requires="x14">
            <control shapeId="19482" r:id="rId7" name="Button 26">
              <controlPr locked="0" defaultSize="0" print="0" autoFill="0" autoPict="0" macro="[0]!ReadButton_Click">
                <anchor moveWithCells="1" sizeWithCells="1">
                  <from>
                    <xdr:col>46</xdr:col>
                    <xdr:colOff>57150</xdr:colOff>
                    <xdr:row>10</xdr:row>
                    <xdr:rowOff>9525</xdr:rowOff>
                  </from>
                  <to>
                    <xdr:col>49</xdr:col>
                    <xdr:colOff>114300</xdr:colOff>
                    <xdr:row>11</xdr:row>
                    <xdr:rowOff>152400</xdr:rowOff>
                  </to>
                </anchor>
              </controlPr>
            </control>
          </mc:Choice>
        </mc:AlternateContent>
        <mc:AlternateContent xmlns:mc="http://schemas.openxmlformats.org/markup-compatibility/2006">
          <mc:Choice Requires="x14">
            <control shapeId="19471" r:id="rId8" name="Option Button 15">
              <controlPr locked="0" defaultSize="0" autoFill="0" autoLine="0" autoPict="0">
                <anchor moveWithCells="1">
                  <from>
                    <xdr:col>0</xdr:col>
                    <xdr:colOff>228600</xdr:colOff>
                    <xdr:row>54</xdr:row>
                    <xdr:rowOff>38100</xdr:rowOff>
                  </from>
                  <to>
                    <xdr:col>2</xdr:col>
                    <xdr:colOff>209550</xdr:colOff>
                    <xdr:row>54</xdr:row>
                    <xdr:rowOff>247650</xdr:rowOff>
                  </to>
                </anchor>
              </controlPr>
            </control>
          </mc:Choice>
        </mc:AlternateContent>
        <mc:AlternateContent xmlns:mc="http://schemas.openxmlformats.org/markup-compatibility/2006">
          <mc:Choice Requires="x14">
            <control shapeId="19472" r:id="rId9" name="Option Button 16">
              <controlPr locked="0" defaultSize="0" autoFill="0" autoLine="0" autoPict="0">
                <anchor moveWithCells="1">
                  <from>
                    <xdr:col>3</xdr:col>
                    <xdr:colOff>104775</xdr:colOff>
                    <xdr:row>54</xdr:row>
                    <xdr:rowOff>38100</xdr:rowOff>
                  </from>
                  <to>
                    <xdr:col>7</xdr:col>
                    <xdr:colOff>28575</xdr:colOff>
                    <xdr:row>54</xdr:row>
                    <xdr:rowOff>247650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129"/>
  <sheetViews>
    <sheetView showGridLines="0" view="pageBreakPreview" zoomScale="90" zoomScaleNormal="90" zoomScaleSheetLayoutView="90" workbookViewId="0">
      <selection activeCell="O17" sqref="O17"/>
    </sheetView>
  </sheetViews>
  <sheetFormatPr defaultRowHeight="12" outlineLevelRow="1"/>
  <cols>
    <col min="1" max="1" width="2.75" style="565" customWidth="1"/>
    <col min="2" max="2" width="4.125" style="565" customWidth="1"/>
    <col min="3" max="5" width="7.625" style="565" customWidth="1"/>
    <col min="6" max="6" width="6.75" style="565" customWidth="1"/>
    <col min="7" max="12" width="5.875" style="565" customWidth="1"/>
    <col min="13" max="13" width="5.125" style="565" customWidth="1"/>
    <col min="14" max="14" width="6.625" style="565" customWidth="1"/>
    <col min="15" max="15" width="5.125" style="565" customWidth="1"/>
    <col min="16" max="16" width="6.625" style="565" customWidth="1"/>
    <col min="17" max="18" width="7.625" style="565" customWidth="1"/>
    <col min="19" max="19" width="6" style="565" customWidth="1"/>
    <col min="20" max="20" width="2" style="565" customWidth="1"/>
    <col min="21" max="23" width="2.125" style="565" customWidth="1"/>
    <col min="24" max="24" width="5.25" style="565" hidden="1" customWidth="1"/>
    <col min="25" max="25" width="2.125" style="565" hidden="1" customWidth="1"/>
    <col min="26" max="26" width="10.75" style="565" hidden="1" customWidth="1"/>
    <col min="27" max="27" width="9.625" style="565" hidden="1" customWidth="1"/>
    <col min="28" max="28" width="4.375" style="565" hidden="1" customWidth="1"/>
    <col min="29" max="30" width="7.875" style="565" hidden="1" customWidth="1"/>
    <col min="31" max="50" width="2.125" style="565" customWidth="1"/>
    <col min="51" max="257" width="9" style="565"/>
    <col min="258" max="258" width="4.125" style="565" customWidth="1"/>
    <col min="259" max="261" width="7.625" style="565" customWidth="1"/>
    <col min="262" max="262" width="6.75" style="565" customWidth="1"/>
    <col min="263" max="268" width="5.875" style="565" customWidth="1"/>
    <col min="269" max="269" width="6" style="565" customWidth="1"/>
    <col min="270" max="270" width="5.875" style="565" customWidth="1"/>
    <col min="271" max="275" width="6" style="565" customWidth="1"/>
    <col min="276" max="276" width="2" style="565" customWidth="1"/>
    <col min="277" max="279" width="2.125" style="565" customWidth="1"/>
    <col min="280" max="286" width="0" style="565" hidden="1" customWidth="1"/>
    <col min="287" max="306" width="2.125" style="565" customWidth="1"/>
    <col min="307" max="513" width="9" style="565"/>
    <col min="514" max="514" width="4.125" style="565" customWidth="1"/>
    <col min="515" max="517" width="7.625" style="565" customWidth="1"/>
    <col min="518" max="518" width="6.75" style="565" customWidth="1"/>
    <col min="519" max="524" width="5.875" style="565" customWidth="1"/>
    <col min="525" max="525" width="6" style="565" customWidth="1"/>
    <col min="526" max="526" width="5.875" style="565" customWidth="1"/>
    <col min="527" max="531" width="6" style="565" customWidth="1"/>
    <col min="532" max="532" width="2" style="565" customWidth="1"/>
    <col min="533" max="535" width="2.125" style="565" customWidth="1"/>
    <col min="536" max="542" width="0" style="565" hidden="1" customWidth="1"/>
    <col min="543" max="562" width="2.125" style="565" customWidth="1"/>
    <col min="563" max="769" width="9" style="565"/>
    <col min="770" max="770" width="4.125" style="565" customWidth="1"/>
    <col min="771" max="773" width="7.625" style="565" customWidth="1"/>
    <col min="774" max="774" width="6.75" style="565" customWidth="1"/>
    <col min="775" max="780" width="5.875" style="565" customWidth="1"/>
    <col min="781" max="781" width="6" style="565" customWidth="1"/>
    <col min="782" max="782" width="5.875" style="565" customWidth="1"/>
    <col min="783" max="787" width="6" style="565" customWidth="1"/>
    <col min="788" max="788" width="2" style="565" customWidth="1"/>
    <col min="789" max="791" width="2.125" style="565" customWidth="1"/>
    <col min="792" max="798" width="0" style="565" hidden="1" customWidth="1"/>
    <col min="799" max="818" width="2.125" style="565" customWidth="1"/>
    <col min="819" max="1025" width="9" style="565"/>
    <col min="1026" max="1026" width="4.125" style="565" customWidth="1"/>
    <col min="1027" max="1029" width="7.625" style="565" customWidth="1"/>
    <col min="1030" max="1030" width="6.75" style="565" customWidth="1"/>
    <col min="1031" max="1036" width="5.875" style="565" customWidth="1"/>
    <col min="1037" max="1037" width="6" style="565" customWidth="1"/>
    <col min="1038" max="1038" width="5.875" style="565" customWidth="1"/>
    <col min="1039" max="1043" width="6" style="565" customWidth="1"/>
    <col min="1044" max="1044" width="2" style="565" customWidth="1"/>
    <col min="1045" max="1047" width="2.125" style="565" customWidth="1"/>
    <col min="1048" max="1054" width="0" style="565" hidden="1" customWidth="1"/>
    <col min="1055" max="1074" width="2.125" style="565" customWidth="1"/>
    <col min="1075" max="1281" width="9" style="565"/>
    <col min="1282" max="1282" width="4.125" style="565" customWidth="1"/>
    <col min="1283" max="1285" width="7.625" style="565" customWidth="1"/>
    <col min="1286" max="1286" width="6.75" style="565" customWidth="1"/>
    <col min="1287" max="1292" width="5.875" style="565" customWidth="1"/>
    <col min="1293" max="1293" width="6" style="565" customWidth="1"/>
    <col min="1294" max="1294" width="5.875" style="565" customWidth="1"/>
    <col min="1295" max="1299" width="6" style="565" customWidth="1"/>
    <col min="1300" max="1300" width="2" style="565" customWidth="1"/>
    <col min="1301" max="1303" width="2.125" style="565" customWidth="1"/>
    <col min="1304" max="1310" width="0" style="565" hidden="1" customWidth="1"/>
    <col min="1311" max="1330" width="2.125" style="565" customWidth="1"/>
    <col min="1331" max="1537" width="9" style="565"/>
    <col min="1538" max="1538" width="4.125" style="565" customWidth="1"/>
    <col min="1539" max="1541" width="7.625" style="565" customWidth="1"/>
    <col min="1542" max="1542" width="6.75" style="565" customWidth="1"/>
    <col min="1543" max="1548" width="5.875" style="565" customWidth="1"/>
    <col min="1549" max="1549" width="6" style="565" customWidth="1"/>
    <col min="1550" max="1550" width="5.875" style="565" customWidth="1"/>
    <col min="1551" max="1555" width="6" style="565" customWidth="1"/>
    <col min="1556" max="1556" width="2" style="565" customWidth="1"/>
    <col min="1557" max="1559" width="2.125" style="565" customWidth="1"/>
    <col min="1560" max="1566" width="0" style="565" hidden="1" customWidth="1"/>
    <col min="1567" max="1586" width="2.125" style="565" customWidth="1"/>
    <col min="1587" max="1793" width="9" style="565"/>
    <col min="1794" max="1794" width="4.125" style="565" customWidth="1"/>
    <col min="1795" max="1797" width="7.625" style="565" customWidth="1"/>
    <col min="1798" max="1798" width="6.75" style="565" customWidth="1"/>
    <col min="1799" max="1804" width="5.875" style="565" customWidth="1"/>
    <col min="1805" max="1805" width="6" style="565" customWidth="1"/>
    <col min="1806" max="1806" width="5.875" style="565" customWidth="1"/>
    <col min="1807" max="1811" width="6" style="565" customWidth="1"/>
    <col min="1812" max="1812" width="2" style="565" customWidth="1"/>
    <col min="1813" max="1815" width="2.125" style="565" customWidth="1"/>
    <col min="1816" max="1822" width="0" style="565" hidden="1" customWidth="1"/>
    <col min="1823" max="1842" width="2.125" style="565" customWidth="1"/>
    <col min="1843" max="2049" width="9" style="565"/>
    <col min="2050" max="2050" width="4.125" style="565" customWidth="1"/>
    <col min="2051" max="2053" width="7.625" style="565" customWidth="1"/>
    <col min="2054" max="2054" width="6.75" style="565" customWidth="1"/>
    <col min="2055" max="2060" width="5.875" style="565" customWidth="1"/>
    <col min="2061" max="2061" width="6" style="565" customWidth="1"/>
    <col min="2062" max="2062" width="5.875" style="565" customWidth="1"/>
    <col min="2063" max="2067" width="6" style="565" customWidth="1"/>
    <col min="2068" max="2068" width="2" style="565" customWidth="1"/>
    <col min="2069" max="2071" width="2.125" style="565" customWidth="1"/>
    <col min="2072" max="2078" width="0" style="565" hidden="1" customWidth="1"/>
    <col min="2079" max="2098" width="2.125" style="565" customWidth="1"/>
    <col min="2099" max="2305" width="9" style="565"/>
    <col min="2306" max="2306" width="4.125" style="565" customWidth="1"/>
    <col min="2307" max="2309" width="7.625" style="565" customWidth="1"/>
    <col min="2310" max="2310" width="6.75" style="565" customWidth="1"/>
    <col min="2311" max="2316" width="5.875" style="565" customWidth="1"/>
    <col min="2317" max="2317" width="6" style="565" customWidth="1"/>
    <col min="2318" max="2318" width="5.875" style="565" customWidth="1"/>
    <col min="2319" max="2323" width="6" style="565" customWidth="1"/>
    <col min="2324" max="2324" width="2" style="565" customWidth="1"/>
    <col min="2325" max="2327" width="2.125" style="565" customWidth="1"/>
    <col min="2328" max="2334" width="0" style="565" hidden="1" customWidth="1"/>
    <col min="2335" max="2354" width="2.125" style="565" customWidth="1"/>
    <col min="2355" max="2561" width="9" style="565"/>
    <col min="2562" max="2562" width="4.125" style="565" customWidth="1"/>
    <col min="2563" max="2565" width="7.625" style="565" customWidth="1"/>
    <col min="2566" max="2566" width="6.75" style="565" customWidth="1"/>
    <col min="2567" max="2572" width="5.875" style="565" customWidth="1"/>
    <col min="2573" max="2573" width="6" style="565" customWidth="1"/>
    <col min="2574" max="2574" width="5.875" style="565" customWidth="1"/>
    <col min="2575" max="2579" width="6" style="565" customWidth="1"/>
    <col min="2580" max="2580" width="2" style="565" customWidth="1"/>
    <col min="2581" max="2583" width="2.125" style="565" customWidth="1"/>
    <col min="2584" max="2590" width="0" style="565" hidden="1" customWidth="1"/>
    <col min="2591" max="2610" width="2.125" style="565" customWidth="1"/>
    <col min="2611" max="2817" width="9" style="565"/>
    <col min="2818" max="2818" width="4.125" style="565" customWidth="1"/>
    <col min="2819" max="2821" width="7.625" style="565" customWidth="1"/>
    <col min="2822" max="2822" width="6.75" style="565" customWidth="1"/>
    <col min="2823" max="2828" width="5.875" style="565" customWidth="1"/>
    <col min="2829" max="2829" width="6" style="565" customWidth="1"/>
    <col min="2830" max="2830" width="5.875" style="565" customWidth="1"/>
    <col min="2831" max="2835" width="6" style="565" customWidth="1"/>
    <col min="2836" max="2836" width="2" style="565" customWidth="1"/>
    <col min="2837" max="2839" width="2.125" style="565" customWidth="1"/>
    <col min="2840" max="2846" width="0" style="565" hidden="1" customWidth="1"/>
    <col min="2847" max="2866" width="2.125" style="565" customWidth="1"/>
    <col min="2867" max="3073" width="9" style="565"/>
    <col min="3074" max="3074" width="4.125" style="565" customWidth="1"/>
    <col min="3075" max="3077" width="7.625" style="565" customWidth="1"/>
    <col min="3078" max="3078" width="6.75" style="565" customWidth="1"/>
    <col min="3079" max="3084" width="5.875" style="565" customWidth="1"/>
    <col min="3085" max="3085" width="6" style="565" customWidth="1"/>
    <col min="3086" max="3086" width="5.875" style="565" customWidth="1"/>
    <col min="3087" max="3091" width="6" style="565" customWidth="1"/>
    <col min="3092" max="3092" width="2" style="565" customWidth="1"/>
    <col min="3093" max="3095" width="2.125" style="565" customWidth="1"/>
    <col min="3096" max="3102" width="0" style="565" hidden="1" customWidth="1"/>
    <col min="3103" max="3122" width="2.125" style="565" customWidth="1"/>
    <col min="3123" max="3329" width="9" style="565"/>
    <col min="3330" max="3330" width="4.125" style="565" customWidth="1"/>
    <col min="3331" max="3333" width="7.625" style="565" customWidth="1"/>
    <col min="3334" max="3334" width="6.75" style="565" customWidth="1"/>
    <col min="3335" max="3340" width="5.875" style="565" customWidth="1"/>
    <col min="3341" max="3341" width="6" style="565" customWidth="1"/>
    <col min="3342" max="3342" width="5.875" style="565" customWidth="1"/>
    <col min="3343" max="3347" width="6" style="565" customWidth="1"/>
    <col min="3348" max="3348" width="2" style="565" customWidth="1"/>
    <col min="3349" max="3351" width="2.125" style="565" customWidth="1"/>
    <col min="3352" max="3358" width="0" style="565" hidden="1" customWidth="1"/>
    <col min="3359" max="3378" width="2.125" style="565" customWidth="1"/>
    <col min="3379" max="3585" width="9" style="565"/>
    <col min="3586" max="3586" width="4.125" style="565" customWidth="1"/>
    <col min="3587" max="3589" width="7.625" style="565" customWidth="1"/>
    <col min="3590" max="3590" width="6.75" style="565" customWidth="1"/>
    <col min="3591" max="3596" width="5.875" style="565" customWidth="1"/>
    <col min="3597" max="3597" width="6" style="565" customWidth="1"/>
    <col min="3598" max="3598" width="5.875" style="565" customWidth="1"/>
    <col min="3599" max="3603" width="6" style="565" customWidth="1"/>
    <col min="3604" max="3604" width="2" style="565" customWidth="1"/>
    <col min="3605" max="3607" width="2.125" style="565" customWidth="1"/>
    <col min="3608" max="3614" width="0" style="565" hidden="1" customWidth="1"/>
    <col min="3615" max="3634" width="2.125" style="565" customWidth="1"/>
    <col min="3635" max="3841" width="9" style="565"/>
    <col min="3842" max="3842" width="4.125" style="565" customWidth="1"/>
    <col min="3843" max="3845" width="7.625" style="565" customWidth="1"/>
    <col min="3846" max="3846" width="6.75" style="565" customWidth="1"/>
    <col min="3847" max="3852" width="5.875" style="565" customWidth="1"/>
    <col min="3853" max="3853" width="6" style="565" customWidth="1"/>
    <col min="3854" max="3854" width="5.875" style="565" customWidth="1"/>
    <col min="3855" max="3859" width="6" style="565" customWidth="1"/>
    <col min="3860" max="3860" width="2" style="565" customWidth="1"/>
    <col min="3861" max="3863" width="2.125" style="565" customWidth="1"/>
    <col min="3864" max="3870" width="0" style="565" hidden="1" customWidth="1"/>
    <col min="3871" max="3890" width="2.125" style="565" customWidth="1"/>
    <col min="3891" max="4097" width="9" style="565"/>
    <col min="4098" max="4098" width="4.125" style="565" customWidth="1"/>
    <col min="4099" max="4101" width="7.625" style="565" customWidth="1"/>
    <col min="4102" max="4102" width="6.75" style="565" customWidth="1"/>
    <col min="4103" max="4108" width="5.875" style="565" customWidth="1"/>
    <col min="4109" max="4109" width="6" style="565" customWidth="1"/>
    <col min="4110" max="4110" width="5.875" style="565" customWidth="1"/>
    <col min="4111" max="4115" width="6" style="565" customWidth="1"/>
    <col min="4116" max="4116" width="2" style="565" customWidth="1"/>
    <col min="4117" max="4119" width="2.125" style="565" customWidth="1"/>
    <col min="4120" max="4126" width="0" style="565" hidden="1" customWidth="1"/>
    <col min="4127" max="4146" width="2.125" style="565" customWidth="1"/>
    <col min="4147" max="4353" width="9" style="565"/>
    <col min="4354" max="4354" width="4.125" style="565" customWidth="1"/>
    <col min="4355" max="4357" width="7.625" style="565" customWidth="1"/>
    <col min="4358" max="4358" width="6.75" style="565" customWidth="1"/>
    <col min="4359" max="4364" width="5.875" style="565" customWidth="1"/>
    <col min="4365" max="4365" width="6" style="565" customWidth="1"/>
    <col min="4366" max="4366" width="5.875" style="565" customWidth="1"/>
    <col min="4367" max="4371" width="6" style="565" customWidth="1"/>
    <col min="4372" max="4372" width="2" style="565" customWidth="1"/>
    <col min="4373" max="4375" width="2.125" style="565" customWidth="1"/>
    <col min="4376" max="4382" width="0" style="565" hidden="1" customWidth="1"/>
    <col min="4383" max="4402" width="2.125" style="565" customWidth="1"/>
    <col min="4403" max="4609" width="9" style="565"/>
    <col min="4610" max="4610" width="4.125" style="565" customWidth="1"/>
    <col min="4611" max="4613" width="7.625" style="565" customWidth="1"/>
    <col min="4614" max="4614" width="6.75" style="565" customWidth="1"/>
    <col min="4615" max="4620" width="5.875" style="565" customWidth="1"/>
    <col min="4621" max="4621" width="6" style="565" customWidth="1"/>
    <col min="4622" max="4622" width="5.875" style="565" customWidth="1"/>
    <col min="4623" max="4627" width="6" style="565" customWidth="1"/>
    <col min="4628" max="4628" width="2" style="565" customWidth="1"/>
    <col min="4629" max="4631" width="2.125" style="565" customWidth="1"/>
    <col min="4632" max="4638" width="0" style="565" hidden="1" customWidth="1"/>
    <col min="4639" max="4658" width="2.125" style="565" customWidth="1"/>
    <col min="4659" max="4865" width="9" style="565"/>
    <col min="4866" max="4866" width="4.125" style="565" customWidth="1"/>
    <col min="4867" max="4869" width="7.625" style="565" customWidth="1"/>
    <col min="4870" max="4870" width="6.75" style="565" customWidth="1"/>
    <col min="4871" max="4876" width="5.875" style="565" customWidth="1"/>
    <col min="4877" max="4877" width="6" style="565" customWidth="1"/>
    <col min="4878" max="4878" width="5.875" style="565" customWidth="1"/>
    <col min="4879" max="4883" width="6" style="565" customWidth="1"/>
    <col min="4884" max="4884" width="2" style="565" customWidth="1"/>
    <col min="4885" max="4887" width="2.125" style="565" customWidth="1"/>
    <col min="4888" max="4894" width="0" style="565" hidden="1" customWidth="1"/>
    <col min="4895" max="4914" width="2.125" style="565" customWidth="1"/>
    <col min="4915" max="5121" width="9" style="565"/>
    <col min="5122" max="5122" width="4.125" style="565" customWidth="1"/>
    <col min="5123" max="5125" width="7.625" style="565" customWidth="1"/>
    <col min="5126" max="5126" width="6.75" style="565" customWidth="1"/>
    <col min="5127" max="5132" width="5.875" style="565" customWidth="1"/>
    <col min="5133" max="5133" width="6" style="565" customWidth="1"/>
    <col min="5134" max="5134" width="5.875" style="565" customWidth="1"/>
    <col min="5135" max="5139" width="6" style="565" customWidth="1"/>
    <col min="5140" max="5140" width="2" style="565" customWidth="1"/>
    <col min="5141" max="5143" width="2.125" style="565" customWidth="1"/>
    <col min="5144" max="5150" width="0" style="565" hidden="1" customWidth="1"/>
    <col min="5151" max="5170" width="2.125" style="565" customWidth="1"/>
    <col min="5171" max="5377" width="9" style="565"/>
    <col min="5378" max="5378" width="4.125" style="565" customWidth="1"/>
    <col min="5379" max="5381" width="7.625" style="565" customWidth="1"/>
    <col min="5382" max="5382" width="6.75" style="565" customWidth="1"/>
    <col min="5383" max="5388" width="5.875" style="565" customWidth="1"/>
    <col min="5389" max="5389" width="6" style="565" customWidth="1"/>
    <col min="5390" max="5390" width="5.875" style="565" customWidth="1"/>
    <col min="5391" max="5395" width="6" style="565" customWidth="1"/>
    <col min="5396" max="5396" width="2" style="565" customWidth="1"/>
    <col min="5397" max="5399" width="2.125" style="565" customWidth="1"/>
    <col min="5400" max="5406" width="0" style="565" hidden="1" customWidth="1"/>
    <col min="5407" max="5426" width="2.125" style="565" customWidth="1"/>
    <col min="5427" max="5633" width="9" style="565"/>
    <col min="5634" max="5634" width="4.125" style="565" customWidth="1"/>
    <col min="5635" max="5637" width="7.625" style="565" customWidth="1"/>
    <col min="5638" max="5638" width="6.75" style="565" customWidth="1"/>
    <col min="5639" max="5644" width="5.875" style="565" customWidth="1"/>
    <col min="5645" max="5645" width="6" style="565" customWidth="1"/>
    <col min="5646" max="5646" width="5.875" style="565" customWidth="1"/>
    <col min="5647" max="5651" width="6" style="565" customWidth="1"/>
    <col min="5652" max="5652" width="2" style="565" customWidth="1"/>
    <col min="5653" max="5655" width="2.125" style="565" customWidth="1"/>
    <col min="5656" max="5662" width="0" style="565" hidden="1" customWidth="1"/>
    <col min="5663" max="5682" width="2.125" style="565" customWidth="1"/>
    <col min="5683" max="5889" width="9" style="565"/>
    <col min="5890" max="5890" width="4.125" style="565" customWidth="1"/>
    <col min="5891" max="5893" width="7.625" style="565" customWidth="1"/>
    <col min="5894" max="5894" width="6.75" style="565" customWidth="1"/>
    <col min="5895" max="5900" width="5.875" style="565" customWidth="1"/>
    <col min="5901" max="5901" width="6" style="565" customWidth="1"/>
    <col min="5902" max="5902" width="5.875" style="565" customWidth="1"/>
    <col min="5903" max="5907" width="6" style="565" customWidth="1"/>
    <col min="5908" max="5908" width="2" style="565" customWidth="1"/>
    <col min="5909" max="5911" width="2.125" style="565" customWidth="1"/>
    <col min="5912" max="5918" width="0" style="565" hidden="1" customWidth="1"/>
    <col min="5919" max="5938" width="2.125" style="565" customWidth="1"/>
    <col min="5939" max="6145" width="9" style="565"/>
    <col min="6146" max="6146" width="4.125" style="565" customWidth="1"/>
    <col min="6147" max="6149" width="7.625" style="565" customWidth="1"/>
    <col min="6150" max="6150" width="6.75" style="565" customWidth="1"/>
    <col min="6151" max="6156" width="5.875" style="565" customWidth="1"/>
    <col min="6157" max="6157" width="6" style="565" customWidth="1"/>
    <col min="6158" max="6158" width="5.875" style="565" customWidth="1"/>
    <col min="6159" max="6163" width="6" style="565" customWidth="1"/>
    <col min="6164" max="6164" width="2" style="565" customWidth="1"/>
    <col min="6165" max="6167" width="2.125" style="565" customWidth="1"/>
    <col min="6168" max="6174" width="0" style="565" hidden="1" customWidth="1"/>
    <col min="6175" max="6194" width="2.125" style="565" customWidth="1"/>
    <col min="6195" max="6401" width="9" style="565"/>
    <col min="6402" max="6402" width="4.125" style="565" customWidth="1"/>
    <col min="6403" max="6405" width="7.625" style="565" customWidth="1"/>
    <col min="6406" max="6406" width="6.75" style="565" customWidth="1"/>
    <col min="6407" max="6412" width="5.875" style="565" customWidth="1"/>
    <col min="6413" max="6413" width="6" style="565" customWidth="1"/>
    <col min="6414" max="6414" width="5.875" style="565" customWidth="1"/>
    <col min="6415" max="6419" width="6" style="565" customWidth="1"/>
    <col min="6420" max="6420" width="2" style="565" customWidth="1"/>
    <col min="6421" max="6423" width="2.125" style="565" customWidth="1"/>
    <col min="6424" max="6430" width="0" style="565" hidden="1" customWidth="1"/>
    <col min="6431" max="6450" width="2.125" style="565" customWidth="1"/>
    <col min="6451" max="6657" width="9" style="565"/>
    <col min="6658" max="6658" width="4.125" style="565" customWidth="1"/>
    <col min="6659" max="6661" width="7.625" style="565" customWidth="1"/>
    <col min="6662" max="6662" width="6.75" style="565" customWidth="1"/>
    <col min="6663" max="6668" width="5.875" style="565" customWidth="1"/>
    <col min="6669" max="6669" width="6" style="565" customWidth="1"/>
    <col min="6670" max="6670" width="5.875" style="565" customWidth="1"/>
    <col min="6671" max="6675" width="6" style="565" customWidth="1"/>
    <col min="6676" max="6676" width="2" style="565" customWidth="1"/>
    <col min="6677" max="6679" width="2.125" style="565" customWidth="1"/>
    <col min="6680" max="6686" width="0" style="565" hidden="1" customWidth="1"/>
    <col min="6687" max="6706" width="2.125" style="565" customWidth="1"/>
    <col min="6707" max="6913" width="9" style="565"/>
    <col min="6914" max="6914" width="4.125" style="565" customWidth="1"/>
    <col min="6915" max="6917" width="7.625" style="565" customWidth="1"/>
    <col min="6918" max="6918" width="6.75" style="565" customWidth="1"/>
    <col min="6919" max="6924" width="5.875" style="565" customWidth="1"/>
    <col min="6925" max="6925" width="6" style="565" customWidth="1"/>
    <col min="6926" max="6926" width="5.875" style="565" customWidth="1"/>
    <col min="6927" max="6931" width="6" style="565" customWidth="1"/>
    <col min="6932" max="6932" width="2" style="565" customWidth="1"/>
    <col min="6933" max="6935" width="2.125" style="565" customWidth="1"/>
    <col min="6936" max="6942" width="0" style="565" hidden="1" customWidth="1"/>
    <col min="6943" max="6962" width="2.125" style="565" customWidth="1"/>
    <col min="6963" max="7169" width="9" style="565"/>
    <col min="7170" max="7170" width="4.125" style="565" customWidth="1"/>
    <col min="7171" max="7173" width="7.625" style="565" customWidth="1"/>
    <col min="7174" max="7174" width="6.75" style="565" customWidth="1"/>
    <col min="7175" max="7180" width="5.875" style="565" customWidth="1"/>
    <col min="7181" max="7181" width="6" style="565" customWidth="1"/>
    <col min="7182" max="7182" width="5.875" style="565" customWidth="1"/>
    <col min="7183" max="7187" width="6" style="565" customWidth="1"/>
    <col min="7188" max="7188" width="2" style="565" customWidth="1"/>
    <col min="7189" max="7191" width="2.125" style="565" customWidth="1"/>
    <col min="7192" max="7198" width="0" style="565" hidden="1" customWidth="1"/>
    <col min="7199" max="7218" width="2.125" style="565" customWidth="1"/>
    <col min="7219" max="7425" width="9" style="565"/>
    <col min="7426" max="7426" width="4.125" style="565" customWidth="1"/>
    <col min="7427" max="7429" width="7.625" style="565" customWidth="1"/>
    <col min="7430" max="7430" width="6.75" style="565" customWidth="1"/>
    <col min="7431" max="7436" width="5.875" style="565" customWidth="1"/>
    <col min="7437" max="7437" width="6" style="565" customWidth="1"/>
    <col min="7438" max="7438" width="5.875" style="565" customWidth="1"/>
    <col min="7439" max="7443" width="6" style="565" customWidth="1"/>
    <col min="7444" max="7444" width="2" style="565" customWidth="1"/>
    <col min="7445" max="7447" width="2.125" style="565" customWidth="1"/>
    <col min="7448" max="7454" width="0" style="565" hidden="1" customWidth="1"/>
    <col min="7455" max="7474" width="2.125" style="565" customWidth="1"/>
    <col min="7475" max="7681" width="9" style="565"/>
    <col min="7682" max="7682" width="4.125" style="565" customWidth="1"/>
    <col min="7683" max="7685" width="7.625" style="565" customWidth="1"/>
    <col min="7686" max="7686" width="6.75" style="565" customWidth="1"/>
    <col min="7687" max="7692" width="5.875" style="565" customWidth="1"/>
    <col min="7693" max="7693" width="6" style="565" customWidth="1"/>
    <col min="7694" max="7694" width="5.875" style="565" customWidth="1"/>
    <col min="7695" max="7699" width="6" style="565" customWidth="1"/>
    <col min="7700" max="7700" width="2" style="565" customWidth="1"/>
    <col min="7701" max="7703" width="2.125" style="565" customWidth="1"/>
    <col min="7704" max="7710" width="0" style="565" hidden="1" customWidth="1"/>
    <col min="7711" max="7730" width="2.125" style="565" customWidth="1"/>
    <col min="7731" max="7937" width="9" style="565"/>
    <col min="7938" max="7938" width="4.125" style="565" customWidth="1"/>
    <col min="7939" max="7941" width="7.625" style="565" customWidth="1"/>
    <col min="7942" max="7942" width="6.75" style="565" customWidth="1"/>
    <col min="7943" max="7948" width="5.875" style="565" customWidth="1"/>
    <col min="7949" max="7949" width="6" style="565" customWidth="1"/>
    <col min="7950" max="7950" width="5.875" style="565" customWidth="1"/>
    <col min="7951" max="7955" width="6" style="565" customWidth="1"/>
    <col min="7956" max="7956" width="2" style="565" customWidth="1"/>
    <col min="7957" max="7959" width="2.125" style="565" customWidth="1"/>
    <col min="7960" max="7966" width="0" style="565" hidden="1" customWidth="1"/>
    <col min="7967" max="7986" width="2.125" style="565" customWidth="1"/>
    <col min="7987" max="8193" width="9" style="565"/>
    <col min="8194" max="8194" width="4.125" style="565" customWidth="1"/>
    <col min="8195" max="8197" width="7.625" style="565" customWidth="1"/>
    <col min="8198" max="8198" width="6.75" style="565" customWidth="1"/>
    <col min="8199" max="8204" width="5.875" style="565" customWidth="1"/>
    <col min="8205" max="8205" width="6" style="565" customWidth="1"/>
    <col min="8206" max="8206" width="5.875" style="565" customWidth="1"/>
    <col min="8207" max="8211" width="6" style="565" customWidth="1"/>
    <col min="8212" max="8212" width="2" style="565" customWidth="1"/>
    <col min="8213" max="8215" width="2.125" style="565" customWidth="1"/>
    <col min="8216" max="8222" width="0" style="565" hidden="1" customWidth="1"/>
    <col min="8223" max="8242" width="2.125" style="565" customWidth="1"/>
    <col min="8243" max="8449" width="9" style="565"/>
    <col min="8450" max="8450" width="4.125" style="565" customWidth="1"/>
    <col min="8451" max="8453" width="7.625" style="565" customWidth="1"/>
    <col min="8454" max="8454" width="6.75" style="565" customWidth="1"/>
    <col min="8455" max="8460" width="5.875" style="565" customWidth="1"/>
    <col min="8461" max="8461" width="6" style="565" customWidth="1"/>
    <col min="8462" max="8462" width="5.875" style="565" customWidth="1"/>
    <col min="8463" max="8467" width="6" style="565" customWidth="1"/>
    <col min="8468" max="8468" width="2" style="565" customWidth="1"/>
    <col min="8469" max="8471" width="2.125" style="565" customWidth="1"/>
    <col min="8472" max="8478" width="0" style="565" hidden="1" customWidth="1"/>
    <col min="8479" max="8498" width="2.125" style="565" customWidth="1"/>
    <col min="8499" max="8705" width="9" style="565"/>
    <col min="8706" max="8706" width="4.125" style="565" customWidth="1"/>
    <col min="8707" max="8709" width="7.625" style="565" customWidth="1"/>
    <col min="8710" max="8710" width="6.75" style="565" customWidth="1"/>
    <col min="8711" max="8716" width="5.875" style="565" customWidth="1"/>
    <col min="8717" max="8717" width="6" style="565" customWidth="1"/>
    <col min="8718" max="8718" width="5.875" style="565" customWidth="1"/>
    <col min="8719" max="8723" width="6" style="565" customWidth="1"/>
    <col min="8724" max="8724" width="2" style="565" customWidth="1"/>
    <col min="8725" max="8727" width="2.125" style="565" customWidth="1"/>
    <col min="8728" max="8734" width="0" style="565" hidden="1" customWidth="1"/>
    <col min="8735" max="8754" width="2.125" style="565" customWidth="1"/>
    <col min="8755" max="8961" width="9" style="565"/>
    <col min="8962" max="8962" width="4.125" style="565" customWidth="1"/>
    <col min="8963" max="8965" width="7.625" style="565" customWidth="1"/>
    <col min="8966" max="8966" width="6.75" style="565" customWidth="1"/>
    <col min="8967" max="8972" width="5.875" style="565" customWidth="1"/>
    <col min="8973" max="8973" width="6" style="565" customWidth="1"/>
    <col min="8974" max="8974" width="5.875" style="565" customWidth="1"/>
    <col min="8975" max="8979" width="6" style="565" customWidth="1"/>
    <col min="8980" max="8980" width="2" style="565" customWidth="1"/>
    <col min="8981" max="8983" width="2.125" style="565" customWidth="1"/>
    <col min="8984" max="8990" width="0" style="565" hidden="1" customWidth="1"/>
    <col min="8991" max="9010" width="2.125" style="565" customWidth="1"/>
    <col min="9011" max="9217" width="9" style="565"/>
    <col min="9218" max="9218" width="4.125" style="565" customWidth="1"/>
    <col min="9219" max="9221" width="7.625" style="565" customWidth="1"/>
    <col min="9222" max="9222" width="6.75" style="565" customWidth="1"/>
    <col min="9223" max="9228" width="5.875" style="565" customWidth="1"/>
    <col min="9229" max="9229" width="6" style="565" customWidth="1"/>
    <col min="9230" max="9230" width="5.875" style="565" customWidth="1"/>
    <col min="9231" max="9235" width="6" style="565" customWidth="1"/>
    <col min="9236" max="9236" width="2" style="565" customWidth="1"/>
    <col min="9237" max="9239" width="2.125" style="565" customWidth="1"/>
    <col min="9240" max="9246" width="0" style="565" hidden="1" customWidth="1"/>
    <col min="9247" max="9266" width="2.125" style="565" customWidth="1"/>
    <col min="9267" max="9473" width="9" style="565"/>
    <col min="9474" max="9474" width="4.125" style="565" customWidth="1"/>
    <col min="9475" max="9477" width="7.625" style="565" customWidth="1"/>
    <col min="9478" max="9478" width="6.75" style="565" customWidth="1"/>
    <col min="9479" max="9484" width="5.875" style="565" customWidth="1"/>
    <col min="9485" max="9485" width="6" style="565" customWidth="1"/>
    <col min="9486" max="9486" width="5.875" style="565" customWidth="1"/>
    <col min="9487" max="9491" width="6" style="565" customWidth="1"/>
    <col min="9492" max="9492" width="2" style="565" customWidth="1"/>
    <col min="9493" max="9495" width="2.125" style="565" customWidth="1"/>
    <col min="9496" max="9502" width="0" style="565" hidden="1" customWidth="1"/>
    <col min="9503" max="9522" width="2.125" style="565" customWidth="1"/>
    <col min="9523" max="9729" width="9" style="565"/>
    <col min="9730" max="9730" width="4.125" style="565" customWidth="1"/>
    <col min="9731" max="9733" width="7.625" style="565" customWidth="1"/>
    <col min="9734" max="9734" width="6.75" style="565" customWidth="1"/>
    <col min="9735" max="9740" width="5.875" style="565" customWidth="1"/>
    <col min="9741" max="9741" width="6" style="565" customWidth="1"/>
    <col min="9742" max="9742" width="5.875" style="565" customWidth="1"/>
    <col min="9743" max="9747" width="6" style="565" customWidth="1"/>
    <col min="9748" max="9748" width="2" style="565" customWidth="1"/>
    <col min="9749" max="9751" width="2.125" style="565" customWidth="1"/>
    <col min="9752" max="9758" width="0" style="565" hidden="1" customWidth="1"/>
    <col min="9759" max="9778" width="2.125" style="565" customWidth="1"/>
    <col min="9779" max="9985" width="9" style="565"/>
    <col min="9986" max="9986" width="4.125" style="565" customWidth="1"/>
    <col min="9987" max="9989" width="7.625" style="565" customWidth="1"/>
    <col min="9990" max="9990" width="6.75" style="565" customWidth="1"/>
    <col min="9991" max="9996" width="5.875" style="565" customWidth="1"/>
    <col min="9997" max="9997" width="6" style="565" customWidth="1"/>
    <col min="9998" max="9998" width="5.875" style="565" customWidth="1"/>
    <col min="9999" max="10003" width="6" style="565" customWidth="1"/>
    <col min="10004" max="10004" width="2" style="565" customWidth="1"/>
    <col min="10005" max="10007" width="2.125" style="565" customWidth="1"/>
    <col min="10008" max="10014" width="0" style="565" hidden="1" customWidth="1"/>
    <col min="10015" max="10034" width="2.125" style="565" customWidth="1"/>
    <col min="10035" max="10241" width="9" style="565"/>
    <col min="10242" max="10242" width="4.125" style="565" customWidth="1"/>
    <col min="10243" max="10245" width="7.625" style="565" customWidth="1"/>
    <col min="10246" max="10246" width="6.75" style="565" customWidth="1"/>
    <col min="10247" max="10252" width="5.875" style="565" customWidth="1"/>
    <col min="10253" max="10253" width="6" style="565" customWidth="1"/>
    <col min="10254" max="10254" width="5.875" style="565" customWidth="1"/>
    <col min="10255" max="10259" width="6" style="565" customWidth="1"/>
    <col min="10260" max="10260" width="2" style="565" customWidth="1"/>
    <col min="10261" max="10263" width="2.125" style="565" customWidth="1"/>
    <col min="10264" max="10270" width="0" style="565" hidden="1" customWidth="1"/>
    <col min="10271" max="10290" width="2.125" style="565" customWidth="1"/>
    <col min="10291" max="10497" width="9" style="565"/>
    <col min="10498" max="10498" width="4.125" style="565" customWidth="1"/>
    <col min="10499" max="10501" width="7.625" style="565" customWidth="1"/>
    <col min="10502" max="10502" width="6.75" style="565" customWidth="1"/>
    <col min="10503" max="10508" width="5.875" style="565" customWidth="1"/>
    <col min="10509" max="10509" width="6" style="565" customWidth="1"/>
    <col min="10510" max="10510" width="5.875" style="565" customWidth="1"/>
    <col min="10511" max="10515" width="6" style="565" customWidth="1"/>
    <col min="10516" max="10516" width="2" style="565" customWidth="1"/>
    <col min="10517" max="10519" width="2.125" style="565" customWidth="1"/>
    <col min="10520" max="10526" width="0" style="565" hidden="1" customWidth="1"/>
    <col min="10527" max="10546" width="2.125" style="565" customWidth="1"/>
    <col min="10547" max="10753" width="9" style="565"/>
    <col min="10754" max="10754" width="4.125" style="565" customWidth="1"/>
    <col min="10755" max="10757" width="7.625" style="565" customWidth="1"/>
    <col min="10758" max="10758" width="6.75" style="565" customWidth="1"/>
    <col min="10759" max="10764" width="5.875" style="565" customWidth="1"/>
    <col min="10765" max="10765" width="6" style="565" customWidth="1"/>
    <col min="10766" max="10766" width="5.875" style="565" customWidth="1"/>
    <col min="10767" max="10771" width="6" style="565" customWidth="1"/>
    <col min="10772" max="10772" width="2" style="565" customWidth="1"/>
    <col min="10773" max="10775" width="2.125" style="565" customWidth="1"/>
    <col min="10776" max="10782" width="0" style="565" hidden="1" customWidth="1"/>
    <col min="10783" max="10802" width="2.125" style="565" customWidth="1"/>
    <col min="10803" max="11009" width="9" style="565"/>
    <col min="11010" max="11010" width="4.125" style="565" customWidth="1"/>
    <col min="11011" max="11013" width="7.625" style="565" customWidth="1"/>
    <col min="11014" max="11014" width="6.75" style="565" customWidth="1"/>
    <col min="11015" max="11020" width="5.875" style="565" customWidth="1"/>
    <col min="11021" max="11021" width="6" style="565" customWidth="1"/>
    <col min="11022" max="11022" width="5.875" style="565" customWidth="1"/>
    <col min="11023" max="11027" width="6" style="565" customWidth="1"/>
    <col min="11028" max="11028" width="2" style="565" customWidth="1"/>
    <col min="11029" max="11031" width="2.125" style="565" customWidth="1"/>
    <col min="11032" max="11038" width="0" style="565" hidden="1" customWidth="1"/>
    <col min="11039" max="11058" width="2.125" style="565" customWidth="1"/>
    <col min="11059" max="11265" width="9" style="565"/>
    <col min="11266" max="11266" width="4.125" style="565" customWidth="1"/>
    <col min="11267" max="11269" width="7.625" style="565" customWidth="1"/>
    <col min="11270" max="11270" width="6.75" style="565" customWidth="1"/>
    <col min="11271" max="11276" width="5.875" style="565" customWidth="1"/>
    <col min="11277" max="11277" width="6" style="565" customWidth="1"/>
    <col min="11278" max="11278" width="5.875" style="565" customWidth="1"/>
    <col min="11279" max="11283" width="6" style="565" customWidth="1"/>
    <col min="11284" max="11284" width="2" style="565" customWidth="1"/>
    <col min="11285" max="11287" width="2.125" style="565" customWidth="1"/>
    <col min="11288" max="11294" width="0" style="565" hidden="1" customWidth="1"/>
    <col min="11295" max="11314" width="2.125" style="565" customWidth="1"/>
    <col min="11315" max="11521" width="9" style="565"/>
    <col min="11522" max="11522" width="4.125" style="565" customWidth="1"/>
    <col min="11523" max="11525" width="7.625" style="565" customWidth="1"/>
    <col min="11526" max="11526" width="6.75" style="565" customWidth="1"/>
    <col min="11527" max="11532" width="5.875" style="565" customWidth="1"/>
    <col min="11533" max="11533" width="6" style="565" customWidth="1"/>
    <col min="11534" max="11534" width="5.875" style="565" customWidth="1"/>
    <col min="11535" max="11539" width="6" style="565" customWidth="1"/>
    <col min="11540" max="11540" width="2" style="565" customWidth="1"/>
    <col min="11541" max="11543" width="2.125" style="565" customWidth="1"/>
    <col min="11544" max="11550" width="0" style="565" hidden="1" customWidth="1"/>
    <col min="11551" max="11570" width="2.125" style="565" customWidth="1"/>
    <col min="11571" max="11777" width="9" style="565"/>
    <col min="11778" max="11778" width="4.125" style="565" customWidth="1"/>
    <col min="11779" max="11781" width="7.625" style="565" customWidth="1"/>
    <col min="11782" max="11782" width="6.75" style="565" customWidth="1"/>
    <col min="11783" max="11788" width="5.875" style="565" customWidth="1"/>
    <col min="11789" max="11789" width="6" style="565" customWidth="1"/>
    <col min="11790" max="11790" width="5.875" style="565" customWidth="1"/>
    <col min="11791" max="11795" width="6" style="565" customWidth="1"/>
    <col min="11796" max="11796" width="2" style="565" customWidth="1"/>
    <col min="11797" max="11799" width="2.125" style="565" customWidth="1"/>
    <col min="11800" max="11806" width="0" style="565" hidden="1" customWidth="1"/>
    <col min="11807" max="11826" width="2.125" style="565" customWidth="1"/>
    <col min="11827" max="12033" width="9" style="565"/>
    <col min="12034" max="12034" width="4.125" style="565" customWidth="1"/>
    <col min="12035" max="12037" width="7.625" style="565" customWidth="1"/>
    <col min="12038" max="12038" width="6.75" style="565" customWidth="1"/>
    <col min="12039" max="12044" width="5.875" style="565" customWidth="1"/>
    <col min="12045" max="12045" width="6" style="565" customWidth="1"/>
    <col min="12046" max="12046" width="5.875" style="565" customWidth="1"/>
    <col min="12047" max="12051" width="6" style="565" customWidth="1"/>
    <col min="12052" max="12052" width="2" style="565" customWidth="1"/>
    <col min="12053" max="12055" width="2.125" style="565" customWidth="1"/>
    <col min="12056" max="12062" width="0" style="565" hidden="1" customWidth="1"/>
    <col min="12063" max="12082" width="2.125" style="565" customWidth="1"/>
    <col min="12083" max="12289" width="9" style="565"/>
    <col min="12290" max="12290" width="4.125" style="565" customWidth="1"/>
    <col min="12291" max="12293" width="7.625" style="565" customWidth="1"/>
    <col min="12294" max="12294" width="6.75" style="565" customWidth="1"/>
    <col min="12295" max="12300" width="5.875" style="565" customWidth="1"/>
    <col min="12301" max="12301" width="6" style="565" customWidth="1"/>
    <col min="12302" max="12302" width="5.875" style="565" customWidth="1"/>
    <col min="12303" max="12307" width="6" style="565" customWidth="1"/>
    <col min="12308" max="12308" width="2" style="565" customWidth="1"/>
    <col min="12309" max="12311" width="2.125" style="565" customWidth="1"/>
    <col min="12312" max="12318" width="0" style="565" hidden="1" customWidth="1"/>
    <col min="12319" max="12338" width="2.125" style="565" customWidth="1"/>
    <col min="12339" max="12545" width="9" style="565"/>
    <col min="12546" max="12546" width="4.125" style="565" customWidth="1"/>
    <col min="12547" max="12549" width="7.625" style="565" customWidth="1"/>
    <col min="12550" max="12550" width="6.75" style="565" customWidth="1"/>
    <col min="12551" max="12556" width="5.875" style="565" customWidth="1"/>
    <col min="12557" max="12557" width="6" style="565" customWidth="1"/>
    <col min="12558" max="12558" width="5.875" style="565" customWidth="1"/>
    <col min="12559" max="12563" width="6" style="565" customWidth="1"/>
    <col min="12564" max="12564" width="2" style="565" customWidth="1"/>
    <col min="12565" max="12567" width="2.125" style="565" customWidth="1"/>
    <col min="12568" max="12574" width="0" style="565" hidden="1" customWidth="1"/>
    <col min="12575" max="12594" width="2.125" style="565" customWidth="1"/>
    <col min="12595" max="12801" width="9" style="565"/>
    <col min="12802" max="12802" width="4.125" style="565" customWidth="1"/>
    <col min="12803" max="12805" width="7.625" style="565" customWidth="1"/>
    <col min="12806" max="12806" width="6.75" style="565" customWidth="1"/>
    <col min="12807" max="12812" width="5.875" style="565" customWidth="1"/>
    <col min="12813" max="12813" width="6" style="565" customWidth="1"/>
    <col min="12814" max="12814" width="5.875" style="565" customWidth="1"/>
    <col min="12815" max="12819" width="6" style="565" customWidth="1"/>
    <col min="12820" max="12820" width="2" style="565" customWidth="1"/>
    <col min="12821" max="12823" width="2.125" style="565" customWidth="1"/>
    <col min="12824" max="12830" width="0" style="565" hidden="1" customWidth="1"/>
    <col min="12831" max="12850" width="2.125" style="565" customWidth="1"/>
    <col min="12851" max="13057" width="9" style="565"/>
    <col min="13058" max="13058" width="4.125" style="565" customWidth="1"/>
    <col min="13059" max="13061" width="7.625" style="565" customWidth="1"/>
    <col min="13062" max="13062" width="6.75" style="565" customWidth="1"/>
    <col min="13063" max="13068" width="5.875" style="565" customWidth="1"/>
    <col min="13069" max="13069" width="6" style="565" customWidth="1"/>
    <col min="13070" max="13070" width="5.875" style="565" customWidth="1"/>
    <col min="13071" max="13075" width="6" style="565" customWidth="1"/>
    <col min="13076" max="13076" width="2" style="565" customWidth="1"/>
    <col min="13077" max="13079" width="2.125" style="565" customWidth="1"/>
    <col min="13080" max="13086" width="0" style="565" hidden="1" customWidth="1"/>
    <col min="13087" max="13106" width="2.125" style="565" customWidth="1"/>
    <col min="13107" max="13313" width="9" style="565"/>
    <col min="13314" max="13314" width="4.125" style="565" customWidth="1"/>
    <col min="13315" max="13317" width="7.625" style="565" customWidth="1"/>
    <col min="13318" max="13318" width="6.75" style="565" customWidth="1"/>
    <col min="13319" max="13324" width="5.875" style="565" customWidth="1"/>
    <col min="13325" max="13325" width="6" style="565" customWidth="1"/>
    <col min="13326" max="13326" width="5.875" style="565" customWidth="1"/>
    <col min="13327" max="13331" width="6" style="565" customWidth="1"/>
    <col min="13332" max="13332" width="2" style="565" customWidth="1"/>
    <col min="13333" max="13335" width="2.125" style="565" customWidth="1"/>
    <col min="13336" max="13342" width="0" style="565" hidden="1" customWidth="1"/>
    <col min="13343" max="13362" width="2.125" style="565" customWidth="1"/>
    <col min="13363" max="13569" width="9" style="565"/>
    <col min="13570" max="13570" width="4.125" style="565" customWidth="1"/>
    <col min="13571" max="13573" width="7.625" style="565" customWidth="1"/>
    <col min="13574" max="13574" width="6.75" style="565" customWidth="1"/>
    <col min="13575" max="13580" width="5.875" style="565" customWidth="1"/>
    <col min="13581" max="13581" width="6" style="565" customWidth="1"/>
    <col min="13582" max="13582" width="5.875" style="565" customWidth="1"/>
    <col min="13583" max="13587" width="6" style="565" customWidth="1"/>
    <col min="13588" max="13588" width="2" style="565" customWidth="1"/>
    <col min="13589" max="13591" width="2.125" style="565" customWidth="1"/>
    <col min="13592" max="13598" width="0" style="565" hidden="1" customWidth="1"/>
    <col min="13599" max="13618" width="2.125" style="565" customWidth="1"/>
    <col min="13619" max="13825" width="9" style="565"/>
    <col min="13826" max="13826" width="4.125" style="565" customWidth="1"/>
    <col min="13827" max="13829" width="7.625" style="565" customWidth="1"/>
    <col min="13830" max="13830" width="6.75" style="565" customWidth="1"/>
    <col min="13831" max="13836" width="5.875" style="565" customWidth="1"/>
    <col min="13837" max="13837" width="6" style="565" customWidth="1"/>
    <col min="13838" max="13838" width="5.875" style="565" customWidth="1"/>
    <col min="13839" max="13843" width="6" style="565" customWidth="1"/>
    <col min="13844" max="13844" width="2" style="565" customWidth="1"/>
    <col min="13845" max="13847" width="2.125" style="565" customWidth="1"/>
    <col min="13848" max="13854" width="0" style="565" hidden="1" customWidth="1"/>
    <col min="13855" max="13874" width="2.125" style="565" customWidth="1"/>
    <col min="13875" max="14081" width="9" style="565"/>
    <col min="14082" max="14082" width="4.125" style="565" customWidth="1"/>
    <col min="14083" max="14085" width="7.625" style="565" customWidth="1"/>
    <col min="14086" max="14086" width="6.75" style="565" customWidth="1"/>
    <col min="14087" max="14092" width="5.875" style="565" customWidth="1"/>
    <col min="14093" max="14093" width="6" style="565" customWidth="1"/>
    <col min="14094" max="14094" width="5.875" style="565" customWidth="1"/>
    <col min="14095" max="14099" width="6" style="565" customWidth="1"/>
    <col min="14100" max="14100" width="2" style="565" customWidth="1"/>
    <col min="14101" max="14103" width="2.125" style="565" customWidth="1"/>
    <col min="14104" max="14110" width="0" style="565" hidden="1" customWidth="1"/>
    <col min="14111" max="14130" width="2.125" style="565" customWidth="1"/>
    <col min="14131" max="14337" width="9" style="565"/>
    <col min="14338" max="14338" width="4.125" style="565" customWidth="1"/>
    <col min="14339" max="14341" width="7.625" style="565" customWidth="1"/>
    <col min="14342" max="14342" width="6.75" style="565" customWidth="1"/>
    <col min="14343" max="14348" width="5.875" style="565" customWidth="1"/>
    <col min="14349" max="14349" width="6" style="565" customWidth="1"/>
    <col min="14350" max="14350" width="5.875" style="565" customWidth="1"/>
    <col min="14351" max="14355" width="6" style="565" customWidth="1"/>
    <col min="14356" max="14356" width="2" style="565" customWidth="1"/>
    <col min="14357" max="14359" width="2.125" style="565" customWidth="1"/>
    <col min="14360" max="14366" width="0" style="565" hidden="1" customWidth="1"/>
    <col min="14367" max="14386" width="2.125" style="565" customWidth="1"/>
    <col min="14387" max="14593" width="9" style="565"/>
    <col min="14594" max="14594" width="4.125" style="565" customWidth="1"/>
    <col min="14595" max="14597" width="7.625" style="565" customWidth="1"/>
    <col min="14598" max="14598" width="6.75" style="565" customWidth="1"/>
    <col min="14599" max="14604" width="5.875" style="565" customWidth="1"/>
    <col min="14605" max="14605" width="6" style="565" customWidth="1"/>
    <col min="14606" max="14606" width="5.875" style="565" customWidth="1"/>
    <col min="14607" max="14611" width="6" style="565" customWidth="1"/>
    <col min="14612" max="14612" width="2" style="565" customWidth="1"/>
    <col min="14613" max="14615" width="2.125" style="565" customWidth="1"/>
    <col min="14616" max="14622" width="0" style="565" hidden="1" customWidth="1"/>
    <col min="14623" max="14642" width="2.125" style="565" customWidth="1"/>
    <col min="14643" max="14849" width="9" style="565"/>
    <col min="14850" max="14850" width="4.125" style="565" customWidth="1"/>
    <col min="14851" max="14853" width="7.625" style="565" customWidth="1"/>
    <col min="14854" max="14854" width="6.75" style="565" customWidth="1"/>
    <col min="14855" max="14860" width="5.875" style="565" customWidth="1"/>
    <col min="14861" max="14861" width="6" style="565" customWidth="1"/>
    <col min="14862" max="14862" width="5.875" style="565" customWidth="1"/>
    <col min="14863" max="14867" width="6" style="565" customWidth="1"/>
    <col min="14868" max="14868" width="2" style="565" customWidth="1"/>
    <col min="14869" max="14871" width="2.125" style="565" customWidth="1"/>
    <col min="14872" max="14878" width="0" style="565" hidden="1" customWidth="1"/>
    <col min="14879" max="14898" width="2.125" style="565" customWidth="1"/>
    <col min="14899" max="15105" width="9" style="565"/>
    <col min="15106" max="15106" width="4.125" style="565" customWidth="1"/>
    <col min="15107" max="15109" width="7.625" style="565" customWidth="1"/>
    <col min="15110" max="15110" width="6.75" style="565" customWidth="1"/>
    <col min="15111" max="15116" width="5.875" style="565" customWidth="1"/>
    <col min="15117" max="15117" width="6" style="565" customWidth="1"/>
    <col min="15118" max="15118" width="5.875" style="565" customWidth="1"/>
    <col min="15119" max="15123" width="6" style="565" customWidth="1"/>
    <col min="15124" max="15124" width="2" style="565" customWidth="1"/>
    <col min="15125" max="15127" width="2.125" style="565" customWidth="1"/>
    <col min="15128" max="15134" width="0" style="565" hidden="1" customWidth="1"/>
    <col min="15135" max="15154" width="2.125" style="565" customWidth="1"/>
    <col min="15155" max="15361" width="9" style="565"/>
    <col min="15362" max="15362" width="4.125" style="565" customWidth="1"/>
    <col min="15363" max="15365" width="7.625" style="565" customWidth="1"/>
    <col min="15366" max="15366" width="6.75" style="565" customWidth="1"/>
    <col min="15367" max="15372" width="5.875" style="565" customWidth="1"/>
    <col min="15373" max="15373" width="6" style="565" customWidth="1"/>
    <col min="15374" max="15374" width="5.875" style="565" customWidth="1"/>
    <col min="15375" max="15379" width="6" style="565" customWidth="1"/>
    <col min="15380" max="15380" width="2" style="565" customWidth="1"/>
    <col min="15381" max="15383" width="2.125" style="565" customWidth="1"/>
    <col min="15384" max="15390" width="0" style="565" hidden="1" customWidth="1"/>
    <col min="15391" max="15410" width="2.125" style="565" customWidth="1"/>
    <col min="15411" max="15617" width="9" style="565"/>
    <col min="15618" max="15618" width="4.125" style="565" customWidth="1"/>
    <col min="15619" max="15621" width="7.625" style="565" customWidth="1"/>
    <col min="15622" max="15622" width="6.75" style="565" customWidth="1"/>
    <col min="15623" max="15628" width="5.875" style="565" customWidth="1"/>
    <col min="15629" max="15629" width="6" style="565" customWidth="1"/>
    <col min="15630" max="15630" width="5.875" style="565" customWidth="1"/>
    <col min="15631" max="15635" width="6" style="565" customWidth="1"/>
    <col min="15636" max="15636" width="2" style="565" customWidth="1"/>
    <col min="15637" max="15639" width="2.125" style="565" customWidth="1"/>
    <col min="15640" max="15646" width="0" style="565" hidden="1" customWidth="1"/>
    <col min="15647" max="15666" width="2.125" style="565" customWidth="1"/>
    <col min="15667" max="15873" width="9" style="565"/>
    <col min="15874" max="15874" width="4.125" style="565" customWidth="1"/>
    <col min="15875" max="15877" width="7.625" style="565" customWidth="1"/>
    <col min="15878" max="15878" width="6.75" style="565" customWidth="1"/>
    <col min="15879" max="15884" width="5.875" style="565" customWidth="1"/>
    <col min="15885" max="15885" width="6" style="565" customWidth="1"/>
    <col min="15886" max="15886" width="5.875" style="565" customWidth="1"/>
    <col min="15887" max="15891" width="6" style="565" customWidth="1"/>
    <col min="15892" max="15892" width="2" style="565" customWidth="1"/>
    <col min="15893" max="15895" width="2.125" style="565" customWidth="1"/>
    <col min="15896" max="15902" width="0" style="565" hidden="1" customWidth="1"/>
    <col min="15903" max="15922" width="2.125" style="565" customWidth="1"/>
    <col min="15923" max="16129" width="9" style="565"/>
    <col min="16130" max="16130" width="4.125" style="565" customWidth="1"/>
    <col min="16131" max="16133" width="7.625" style="565" customWidth="1"/>
    <col min="16134" max="16134" width="6.75" style="565" customWidth="1"/>
    <col min="16135" max="16140" width="5.875" style="565" customWidth="1"/>
    <col min="16141" max="16141" width="6" style="565" customWidth="1"/>
    <col min="16142" max="16142" width="5.875" style="565" customWidth="1"/>
    <col min="16143" max="16147" width="6" style="565" customWidth="1"/>
    <col min="16148" max="16148" width="2" style="565" customWidth="1"/>
    <col min="16149" max="16151" width="2.125" style="565" customWidth="1"/>
    <col min="16152" max="16158" width="0" style="565" hidden="1" customWidth="1"/>
    <col min="16159" max="16178" width="2.125" style="565" customWidth="1"/>
    <col min="16179" max="16384" width="9" style="565"/>
  </cols>
  <sheetData>
    <row r="1" spans="2:26" ht="12.95" customHeight="1">
      <c r="B1" s="1392" t="s">
        <v>698</v>
      </c>
      <c r="C1" s="1392"/>
      <c r="D1" s="1392"/>
      <c r="E1" s="1392"/>
      <c r="O1" s="1393"/>
      <c r="P1" s="1394"/>
      <c r="R1" s="1396"/>
    </row>
    <row r="2" spans="2:26" ht="13.5" customHeight="1">
      <c r="B2" s="1392"/>
      <c r="C2" s="1392"/>
      <c r="D2" s="1392"/>
      <c r="E2" s="1392"/>
      <c r="F2" s="566"/>
      <c r="G2" s="566"/>
      <c r="H2" s="566"/>
      <c r="I2" s="566"/>
      <c r="J2" s="566"/>
      <c r="K2" s="566"/>
      <c r="L2" s="566"/>
      <c r="M2" s="566"/>
      <c r="N2" s="566"/>
      <c r="O2" s="1393"/>
      <c r="P2" s="1395"/>
      <c r="R2" s="1396"/>
    </row>
    <row r="3" spans="2:26" ht="26.25" thickBot="1">
      <c r="F3" s="566"/>
      <c r="G3" s="1397" t="s">
        <v>723</v>
      </c>
      <c r="H3" s="1397"/>
      <c r="I3" s="1397"/>
      <c r="J3" s="1397"/>
      <c r="K3" s="1397"/>
      <c r="L3" s="1397"/>
      <c r="M3" s="1397"/>
      <c r="N3" s="566"/>
      <c r="R3" s="567"/>
    </row>
    <row r="4" spans="2:26" ht="18" customHeight="1" thickTop="1">
      <c r="B4" s="568"/>
      <c r="O4" s="569"/>
      <c r="P4" s="1398" t="s">
        <v>699</v>
      </c>
      <c r="Q4" s="1399"/>
      <c r="R4" s="1399"/>
      <c r="S4" s="1400"/>
    </row>
    <row r="5" spans="2:26" ht="18" customHeight="1">
      <c r="B5" s="568"/>
      <c r="O5" s="569"/>
      <c r="P5" s="1406" t="s">
        <v>700</v>
      </c>
      <c r="Q5" s="1407"/>
      <c r="R5" s="1407" t="s">
        <v>701</v>
      </c>
      <c r="S5" s="1408"/>
    </row>
    <row r="6" spans="2:26" ht="17.100000000000001" customHeight="1" thickBot="1">
      <c r="B6" s="570"/>
      <c r="J6" s="567"/>
      <c r="L6" s="569"/>
      <c r="M6" s="569"/>
      <c r="N6" s="569"/>
      <c r="O6" s="569"/>
      <c r="P6" s="1409"/>
      <c r="Q6" s="1410"/>
      <c r="R6" s="1409"/>
      <c r="S6" s="1410"/>
    </row>
    <row r="7" spans="2:26" ht="17.100000000000001" customHeight="1" thickTop="1">
      <c r="B7" s="1415">
        <f>入力シート!N8</f>
        <v>2021</v>
      </c>
      <c r="C7" s="1416"/>
      <c r="D7" s="1419" t="s">
        <v>547</v>
      </c>
      <c r="E7" s="1416">
        <f>入力シート!P8</f>
        <v>1</v>
      </c>
      <c r="F7" s="1416"/>
      <c r="G7" s="1421" t="s">
        <v>548</v>
      </c>
      <c r="I7" s="571"/>
      <c r="J7" s="572"/>
      <c r="L7" s="569"/>
      <c r="M7" s="569"/>
      <c r="N7" s="569"/>
      <c r="O7" s="569"/>
      <c r="P7" s="1411"/>
      <c r="Q7" s="1412"/>
      <c r="R7" s="1411"/>
      <c r="S7" s="1412"/>
    </row>
    <row r="8" spans="2:26" ht="17.100000000000001" customHeight="1" thickBot="1">
      <c r="B8" s="1417"/>
      <c r="C8" s="1418"/>
      <c r="D8" s="1420"/>
      <c r="E8" s="1418"/>
      <c r="F8" s="1418"/>
      <c r="G8" s="1422"/>
      <c r="I8" s="571"/>
      <c r="J8" s="606"/>
      <c r="L8" s="569"/>
      <c r="M8" s="569"/>
      <c r="N8" s="569"/>
      <c r="O8" s="569"/>
      <c r="P8" s="1413"/>
      <c r="Q8" s="1414"/>
      <c r="R8" s="1413"/>
      <c r="S8" s="1414"/>
    </row>
    <row r="9" spans="2:26" ht="9.9499999999999993" customHeight="1" thickTop="1" thickBot="1">
      <c r="K9" s="573"/>
      <c r="L9" s="573"/>
      <c r="M9" s="573"/>
      <c r="N9" s="573"/>
    </row>
    <row r="10" spans="2:26" ht="18" customHeight="1">
      <c r="B10" s="1388" t="s">
        <v>702</v>
      </c>
      <c r="C10" s="1389"/>
      <c r="D10" s="1389"/>
      <c r="E10" s="1389"/>
      <c r="F10" s="1389"/>
      <c r="G10" s="1389"/>
      <c r="H10" s="1389"/>
      <c r="I10" s="1389"/>
      <c r="J10" s="1390"/>
      <c r="K10" s="1391" t="s">
        <v>569</v>
      </c>
      <c r="L10" s="1389"/>
      <c r="M10" s="1390"/>
      <c r="N10" s="1391" t="s">
        <v>703</v>
      </c>
      <c r="O10" s="1389"/>
      <c r="P10" s="1389"/>
      <c r="Q10" s="1389"/>
      <c r="R10" s="1389"/>
      <c r="S10" s="1401"/>
    </row>
    <row r="11" spans="2:26" ht="24" customHeight="1" thickBot="1">
      <c r="B11" s="1402" t="str">
        <f>入力シート!D6</f>
        <v>フォレストソフト株式会社</v>
      </c>
      <c r="C11" s="1403"/>
      <c r="D11" s="1403"/>
      <c r="E11" s="1403"/>
      <c r="F11" s="1403"/>
      <c r="G11" s="1403"/>
      <c r="H11" s="1403"/>
      <c r="I11" s="1403"/>
      <c r="J11" s="1403"/>
      <c r="K11" s="1404">
        <f>入力シート!D7</f>
        <v>83500059</v>
      </c>
      <c r="L11" s="1404"/>
      <c r="M11" s="1404"/>
      <c r="N11" s="1404" t="str">
        <f>入力シート!D8</f>
        <v>李 学強</v>
      </c>
      <c r="O11" s="1404"/>
      <c r="P11" s="1404"/>
      <c r="Q11" s="1404"/>
      <c r="R11" s="1404"/>
      <c r="S11" s="1405"/>
    </row>
    <row r="12" spans="2:26" ht="9.9499999999999993" customHeight="1" outlineLevel="1" thickBot="1">
      <c r="B12" s="570"/>
      <c r="C12" s="570"/>
      <c r="D12" s="570"/>
      <c r="E12" s="570"/>
      <c r="F12" s="570"/>
      <c r="G12" s="570"/>
      <c r="H12" s="570"/>
      <c r="I12" s="570"/>
      <c r="J12" s="570"/>
      <c r="K12" s="570"/>
      <c r="L12" s="570"/>
      <c r="M12" s="570"/>
      <c r="N12" s="570"/>
      <c r="O12" s="570"/>
      <c r="P12" s="570"/>
      <c r="Q12" s="570"/>
      <c r="R12" s="570"/>
      <c r="S12" s="570"/>
    </row>
    <row r="13" spans="2:26" ht="30" customHeight="1" outlineLevel="1" thickBot="1">
      <c r="B13" s="1379" t="s">
        <v>735</v>
      </c>
      <c r="C13" s="1380"/>
      <c r="D13" s="1380"/>
      <c r="E13" s="1380"/>
      <c r="F13" s="1380"/>
      <c r="G13" s="1381"/>
      <c r="H13"/>
      <c r="I13"/>
      <c r="J13"/>
      <c r="K13" s="605"/>
      <c r="L13" s="605"/>
      <c r="M13" s="605"/>
      <c r="N13" s="605"/>
      <c r="O13" s="605"/>
      <c r="P13" s="605"/>
      <c r="Q13" s="605"/>
      <c r="R13" s="605"/>
      <c r="S13" s="605"/>
    </row>
    <row r="14" spans="2:26" ht="30" customHeight="1" outlineLevel="1" thickBot="1">
      <c r="B14" s="1382" t="s">
        <v>720</v>
      </c>
      <c r="C14" s="1383"/>
      <c r="D14" s="1384" t="s">
        <v>724</v>
      </c>
      <c r="E14" s="1385"/>
      <c r="F14" s="1386" t="s">
        <v>725</v>
      </c>
      <c r="G14" s="1387"/>
      <c r="H14"/>
      <c r="I14" s="605"/>
      <c r="J14" s="605"/>
      <c r="K14" s="605"/>
      <c r="L14" s="605"/>
      <c r="M14" s="605"/>
      <c r="N14" s="605"/>
      <c r="O14" s="605"/>
      <c r="P14" s="605"/>
      <c r="Q14" s="605"/>
      <c r="Z14" s="587"/>
    </row>
    <row r="15" spans="2:26" ht="30" customHeight="1" outlineLevel="1">
      <c r="B15" s="1357"/>
      <c r="C15" s="1358"/>
      <c r="D15" s="1359"/>
      <c r="E15" s="1360"/>
      <c r="F15" s="1361" t="str">
        <f t="shared" ref="F15:F24" si="0">IF(B15="","",IF(SUM($S$30:$S$129)=0,"",SUMIF($K$30:$S$129,B15,$S$30:$S$129)))</f>
        <v/>
      </c>
      <c r="G15" s="1362"/>
      <c r="H15"/>
      <c r="J15" s="605"/>
      <c r="K15" s="605"/>
      <c r="L15" s="605"/>
      <c r="M15" s="605"/>
      <c r="N15" s="605"/>
      <c r="O15" s="605"/>
      <c r="P15" s="605"/>
      <c r="Q15" s="605"/>
      <c r="X15" s="588">
        <f t="shared" ref="X15:X24" si="1">$B15</f>
        <v>0</v>
      </c>
      <c r="Y15" s="589">
        <f>$D15</f>
        <v>0</v>
      </c>
      <c r="Z15" s="590" t="str">
        <f t="shared" ref="Z15:Z24" si="2">$F15</f>
        <v/>
      </c>
    </row>
    <row r="16" spans="2:26" ht="30" customHeight="1" outlineLevel="1">
      <c r="B16" s="1357"/>
      <c r="C16" s="1358"/>
      <c r="D16" s="1359" t="str">
        <f t="shared" ref="D16:D24" si="3">IF(B16="","",IF(SUM($R$30:$R$129)=0,"",SUMIF($K$30:$L$129,B16,$R$30:$R$129)))</f>
        <v/>
      </c>
      <c r="E16" s="1360"/>
      <c r="F16" s="1361" t="str">
        <f t="shared" si="0"/>
        <v/>
      </c>
      <c r="G16" s="1362"/>
      <c r="H16"/>
      <c r="I16"/>
      <c r="J16"/>
      <c r="K16"/>
      <c r="L16"/>
      <c r="M16"/>
      <c r="N16"/>
      <c r="O16"/>
      <c r="P16"/>
      <c r="Q16"/>
      <c r="R16"/>
      <c r="S16"/>
      <c r="X16" s="591">
        <f t="shared" si="1"/>
        <v>0</v>
      </c>
      <c r="Y16" s="592">
        <f t="shared" ref="Y16:Y23" si="4">$E16</f>
        <v>0</v>
      </c>
      <c r="Z16" s="593" t="str">
        <f t="shared" si="2"/>
        <v/>
      </c>
    </row>
    <row r="17" spans="1:30" ht="30" customHeight="1" outlineLevel="1">
      <c r="B17" s="1357"/>
      <c r="C17" s="1358"/>
      <c r="D17" s="1359" t="str">
        <f t="shared" si="3"/>
        <v/>
      </c>
      <c r="E17" s="1360"/>
      <c r="F17" s="1361" t="str">
        <f t="shared" si="0"/>
        <v/>
      </c>
      <c r="G17" s="1362"/>
      <c r="H17"/>
      <c r="I17"/>
      <c r="J17"/>
      <c r="K17"/>
      <c r="L17"/>
      <c r="M17"/>
      <c r="N17"/>
      <c r="O17"/>
      <c r="P17"/>
      <c r="Q17"/>
      <c r="R17"/>
      <c r="S17"/>
      <c r="X17" s="591">
        <f t="shared" si="1"/>
        <v>0</v>
      </c>
      <c r="Y17" s="592">
        <f t="shared" si="4"/>
        <v>0</v>
      </c>
      <c r="Z17" s="593" t="str">
        <f t="shared" si="2"/>
        <v/>
      </c>
    </row>
    <row r="18" spans="1:30" ht="30" customHeight="1" outlineLevel="1">
      <c r="B18" s="1357"/>
      <c r="C18" s="1358"/>
      <c r="D18" s="1359" t="str">
        <f t="shared" si="3"/>
        <v/>
      </c>
      <c r="E18" s="1360"/>
      <c r="F18" s="1361" t="str">
        <f t="shared" si="0"/>
        <v/>
      </c>
      <c r="G18" s="1362"/>
      <c r="H18"/>
      <c r="I18"/>
      <c r="J18"/>
      <c r="K18"/>
      <c r="L18"/>
      <c r="M18"/>
      <c r="N18"/>
      <c r="O18"/>
      <c r="P18"/>
      <c r="Q18"/>
      <c r="R18"/>
      <c r="S18"/>
      <c r="X18" s="591">
        <f t="shared" si="1"/>
        <v>0</v>
      </c>
      <c r="Y18" s="592">
        <f t="shared" si="4"/>
        <v>0</v>
      </c>
      <c r="Z18" s="593" t="str">
        <f t="shared" si="2"/>
        <v/>
      </c>
    </row>
    <row r="19" spans="1:30" ht="30" customHeight="1" outlineLevel="1">
      <c r="B19" s="1357"/>
      <c r="C19" s="1358"/>
      <c r="D19" s="1359" t="str">
        <f t="shared" si="3"/>
        <v/>
      </c>
      <c r="E19" s="1360"/>
      <c r="F19" s="1361" t="str">
        <f t="shared" si="0"/>
        <v/>
      </c>
      <c r="G19" s="1362"/>
      <c r="H19"/>
      <c r="I19"/>
      <c r="J19"/>
      <c r="K19"/>
      <c r="L19"/>
      <c r="M19"/>
      <c r="N19"/>
      <c r="O19"/>
      <c r="P19"/>
      <c r="Q19"/>
      <c r="R19"/>
      <c r="S19"/>
      <c r="X19" s="591">
        <f t="shared" si="1"/>
        <v>0</v>
      </c>
      <c r="Y19" s="594">
        <f t="shared" si="4"/>
        <v>0</v>
      </c>
      <c r="Z19" s="593" t="str">
        <f t="shared" si="2"/>
        <v/>
      </c>
    </row>
    <row r="20" spans="1:30" ht="30" customHeight="1" outlineLevel="1" thickBot="1">
      <c r="B20" s="1357"/>
      <c r="C20" s="1358"/>
      <c r="D20" s="1359" t="str">
        <f t="shared" si="3"/>
        <v/>
      </c>
      <c r="E20" s="1360"/>
      <c r="F20" s="1361" t="str">
        <f t="shared" si="0"/>
        <v/>
      </c>
      <c r="G20" s="1362"/>
      <c r="H20"/>
      <c r="I20" s="607" t="s">
        <v>537</v>
      </c>
      <c r="J20"/>
      <c r="K20"/>
      <c r="L20"/>
      <c r="M20"/>
      <c r="N20"/>
      <c r="O20"/>
      <c r="P20"/>
      <c r="Q20"/>
      <c r="R20"/>
      <c r="S20"/>
      <c r="X20" s="591">
        <f t="shared" si="1"/>
        <v>0</v>
      </c>
      <c r="Y20" s="594">
        <f t="shared" si="4"/>
        <v>0</v>
      </c>
      <c r="Z20" s="593" t="str">
        <f t="shared" si="2"/>
        <v/>
      </c>
    </row>
    <row r="21" spans="1:30" ht="30" customHeight="1" outlineLevel="1">
      <c r="B21" s="1357"/>
      <c r="C21" s="1358"/>
      <c r="D21" s="1359" t="str">
        <f t="shared" si="3"/>
        <v/>
      </c>
      <c r="E21" s="1360"/>
      <c r="F21" s="1361" t="str">
        <f t="shared" si="0"/>
        <v/>
      </c>
      <c r="G21" s="1362"/>
      <c r="H21"/>
      <c r="I21" s="1371" t="s">
        <v>726</v>
      </c>
      <c r="J21" s="1372"/>
      <c r="K21" s="1373" t="s">
        <v>772</v>
      </c>
      <c r="L21" s="1374"/>
      <c r="M21" s="1374"/>
      <c r="N21" s="1374"/>
      <c r="O21" s="1374"/>
      <c r="P21" s="1374"/>
      <c r="Q21" s="1374"/>
      <c r="R21" s="1374"/>
      <c r="S21" s="1375"/>
      <c r="X21" s="591">
        <f t="shared" si="1"/>
        <v>0</v>
      </c>
      <c r="Y21" s="594">
        <f t="shared" si="4"/>
        <v>0</v>
      </c>
      <c r="Z21" s="593" t="str">
        <f t="shared" si="2"/>
        <v/>
      </c>
    </row>
    <row r="22" spans="1:30" ht="30" customHeight="1" outlineLevel="1">
      <c r="B22" s="1357"/>
      <c r="C22" s="1358"/>
      <c r="D22" s="1359" t="str">
        <f t="shared" si="3"/>
        <v/>
      </c>
      <c r="E22" s="1360"/>
      <c r="F22" s="1361" t="str">
        <f t="shared" si="0"/>
        <v/>
      </c>
      <c r="G22" s="1362"/>
      <c r="H22"/>
      <c r="I22" s="1363" t="s">
        <v>727</v>
      </c>
      <c r="J22" s="1364"/>
      <c r="K22" s="1376">
        <f>MAX(入力シート!C13:C43)</f>
        <v>44227</v>
      </c>
      <c r="L22" s="1377"/>
      <c r="M22" s="1377"/>
      <c r="N22" s="1377"/>
      <c r="O22" s="1377"/>
      <c r="P22" s="1377"/>
      <c r="Q22" s="1377"/>
      <c r="R22" s="1377"/>
      <c r="S22" s="1378"/>
      <c r="X22" s="591">
        <f t="shared" si="1"/>
        <v>0</v>
      </c>
      <c r="Y22" s="592">
        <f t="shared" si="4"/>
        <v>0</v>
      </c>
      <c r="Z22" s="593" t="str">
        <f t="shared" si="2"/>
        <v/>
      </c>
    </row>
    <row r="23" spans="1:30" ht="30" customHeight="1" outlineLevel="1">
      <c r="B23" s="1357"/>
      <c r="C23" s="1358"/>
      <c r="D23" s="1359" t="str">
        <f t="shared" si="3"/>
        <v/>
      </c>
      <c r="E23" s="1360"/>
      <c r="F23" s="1361" t="str">
        <f t="shared" si="0"/>
        <v/>
      </c>
      <c r="G23" s="1362"/>
      <c r="H23"/>
      <c r="I23" s="1363" t="s">
        <v>728</v>
      </c>
      <c r="J23" s="1364"/>
      <c r="K23" s="1365" t="str">
        <f>所属</f>
        <v>法人ソリューション事業本部　第二法人ソリューション事業部　TERASOLUNA担当</v>
      </c>
      <c r="L23" s="1366"/>
      <c r="M23" s="1366"/>
      <c r="N23" s="1366"/>
      <c r="O23" s="1366"/>
      <c r="P23" s="1366"/>
      <c r="Q23" s="1366"/>
      <c r="R23" s="1366"/>
      <c r="S23" s="1367"/>
      <c r="X23" s="595">
        <f t="shared" si="1"/>
        <v>0</v>
      </c>
      <c r="Y23" s="596">
        <f t="shared" si="4"/>
        <v>0</v>
      </c>
      <c r="Z23" s="597" t="str">
        <f t="shared" si="2"/>
        <v/>
      </c>
      <c r="AA23" s="598"/>
      <c r="AB23" s="587"/>
    </row>
    <row r="24" spans="1:30" ht="30" customHeight="1" outlineLevel="1" thickBot="1">
      <c r="B24" s="1357"/>
      <c r="C24" s="1358"/>
      <c r="D24" s="1359" t="str">
        <f t="shared" si="3"/>
        <v/>
      </c>
      <c r="E24" s="1360"/>
      <c r="F24" s="1361" t="str">
        <f t="shared" si="0"/>
        <v/>
      </c>
      <c r="G24" s="1362"/>
      <c r="H24"/>
      <c r="I24" s="1363" t="s">
        <v>729</v>
      </c>
      <c r="J24" s="1364"/>
      <c r="K24" s="1368" t="str">
        <f>役職</f>
        <v>プロジェクトリーダ</v>
      </c>
      <c r="L24" s="1369"/>
      <c r="M24" s="1369"/>
      <c r="N24" s="1369"/>
      <c r="O24" s="1369"/>
      <c r="P24" s="1369"/>
      <c r="Q24" s="1369"/>
      <c r="R24" s="1369"/>
      <c r="S24" s="1370"/>
      <c r="X24" s="595">
        <f t="shared" si="1"/>
        <v>0</v>
      </c>
      <c r="Y24" s="596" t="str">
        <f>$D24</f>
        <v/>
      </c>
      <c r="Z24" s="597" t="str">
        <f t="shared" si="2"/>
        <v/>
      </c>
      <c r="AA24" s="598">
        <f>SUM(Y15:Y24)</f>
        <v>0</v>
      </c>
      <c r="AB24" s="587">
        <f>SUM(Z15:Z24)</f>
        <v>0</v>
      </c>
    </row>
    <row r="25" spans="1:30" ht="30" customHeight="1" outlineLevel="1" thickBot="1">
      <c r="B25" s="1333" t="s">
        <v>721</v>
      </c>
      <c r="C25" s="1334"/>
      <c r="D25" s="1335" t="str">
        <f>IF(SUM($D$15:$D$24)=0,"",IF(SUM($D$15:$D$24)=SUM($R$30:$R$129),SUM($R$30:$R$129),"作番不一致"))</f>
        <v/>
      </c>
      <c r="E25" s="1336"/>
      <c r="F25" s="1337" t="str">
        <f>IF(SUM($F$15:$F$24)=0,"",IF(SUM($F$15:$F$24)=SUM($S$30:$S$129),SUM($S$30:$S$129),"作番不一致"))</f>
        <v/>
      </c>
      <c r="G25" s="1338"/>
      <c r="H25"/>
      <c r="I25" s="1339" t="s">
        <v>540</v>
      </c>
      <c r="J25" s="1340"/>
      <c r="K25" s="1341" t="str">
        <f>担当氏名</f>
        <v>守屋　省志</v>
      </c>
      <c r="L25" s="1342"/>
      <c r="M25" s="1342"/>
      <c r="N25" s="1342"/>
      <c r="O25" s="1342"/>
      <c r="P25" s="1342"/>
      <c r="Q25" s="1342"/>
      <c r="R25" s="1342"/>
      <c r="S25" s="1343"/>
      <c r="X25" s="588" t="e">
        <f>#REF!</f>
        <v>#REF!</v>
      </c>
      <c r="Y25" s="589" t="e">
        <f>#REF!</f>
        <v>#REF!</v>
      </c>
      <c r="Z25" s="590" t="e">
        <f>#REF!</f>
        <v>#REF!</v>
      </c>
    </row>
    <row r="26" spans="1:30" ht="9.75" customHeight="1">
      <c r="K26" s="573"/>
      <c r="L26" s="573"/>
      <c r="M26" s="573"/>
      <c r="N26" s="573"/>
      <c r="Z26" s="591" t="e">
        <f>#REF!</f>
        <v>#REF!</v>
      </c>
      <c r="AA26" s="592" t="e">
        <f>#REF!</f>
        <v>#REF!</v>
      </c>
      <c r="AB26" s="593" t="e">
        <f>#REF!</f>
        <v>#REF!</v>
      </c>
    </row>
    <row r="27" spans="1:30" ht="19.5" customHeight="1" thickBot="1">
      <c r="K27" s="573"/>
      <c r="L27" s="573"/>
      <c r="M27" s="573"/>
      <c r="N27" s="573"/>
      <c r="R27" s="753" t="str">
        <f>CONCATENATE(K11,"_",N11)</f>
        <v>83500059_李 学強</v>
      </c>
      <c r="Z27" s="750"/>
      <c r="AA27" s="751"/>
      <c r="AB27" s="752"/>
    </row>
    <row r="28" spans="1:30" ht="13.5" customHeight="1">
      <c r="B28" s="1344" t="s">
        <v>736</v>
      </c>
      <c r="C28" s="1346" t="s">
        <v>704</v>
      </c>
      <c r="D28" s="1347"/>
      <c r="E28" s="1347"/>
      <c r="F28" s="1348"/>
      <c r="G28" s="1346" t="s">
        <v>705</v>
      </c>
      <c r="H28" s="1349"/>
      <c r="I28" s="1349"/>
      <c r="J28" s="1350"/>
      <c r="K28" s="1346" t="s">
        <v>737</v>
      </c>
      <c r="L28" s="1350"/>
      <c r="M28" s="1354" t="s">
        <v>706</v>
      </c>
      <c r="N28" s="1355"/>
      <c r="O28" s="1355"/>
      <c r="P28" s="1355"/>
      <c r="Q28" s="1355"/>
      <c r="R28" s="1356"/>
      <c r="S28" s="608" t="s">
        <v>707</v>
      </c>
      <c r="T28"/>
    </row>
    <row r="29" spans="1:30" ht="13.5" customHeight="1">
      <c r="B29" s="1345"/>
      <c r="C29" s="609" t="s">
        <v>708</v>
      </c>
      <c r="D29" s="610" t="s">
        <v>709</v>
      </c>
      <c r="E29" s="611" t="s">
        <v>710</v>
      </c>
      <c r="F29" s="612" t="s">
        <v>711</v>
      </c>
      <c r="G29" s="1351"/>
      <c r="H29" s="1352"/>
      <c r="I29" s="1352"/>
      <c r="J29" s="1353"/>
      <c r="K29" s="1351"/>
      <c r="L29" s="1353"/>
      <c r="M29" s="1329" t="s">
        <v>712</v>
      </c>
      <c r="N29" s="1330"/>
      <c r="O29" s="1331" t="s">
        <v>738</v>
      </c>
      <c r="P29" s="1332"/>
      <c r="Q29" s="613" t="s">
        <v>713</v>
      </c>
      <c r="R29" s="613" t="s">
        <v>714</v>
      </c>
      <c r="S29" s="614" t="s">
        <v>715</v>
      </c>
      <c r="T29"/>
    </row>
    <row r="30" spans="1:30" ht="24" customHeight="1">
      <c r="A30" s="615">
        <f>ROW()-29</f>
        <v>1</v>
      </c>
      <c r="B30" s="816"/>
      <c r="C30" s="575"/>
      <c r="D30" s="576"/>
      <c r="E30" s="577"/>
      <c r="F30" s="578"/>
      <c r="G30" s="1319" t="s">
        <v>799</v>
      </c>
      <c r="H30" s="1320"/>
      <c r="I30" s="1320"/>
      <c r="J30" s="1321"/>
      <c r="K30" s="1322"/>
      <c r="L30" s="1323"/>
      <c r="M30" s="579"/>
      <c r="N30" s="715"/>
      <c r="O30" s="579"/>
      <c r="P30" s="580"/>
      <c r="Q30" s="581"/>
      <c r="R30" s="616" t="str">
        <f t="shared" ref="R30:R49" si="5">IF(B30="","",SUM(N30:Q30))</f>
        <v/>
      </c>
      <c r="S30" s="617"/>
      <c r="T30"/>
      <c r="AA30" s="565" t="s">
        <v>716</v>
      </c>
      <c r="AB30" s="565" t="s">
        <v>739</v>
      </c>
      <c r="AD30" s="565" t="s">
        <v>739</v>
      </c>
    </row>
    <row r="31" spans="1:30" ht="24" customHeight="1">
      <c r="A31" s="615">
        <f t="shared" ref="A31:A94" si="6">ROW()-29</f>
        <v>2</v>
      </c>
      <c r="B31" s="574"/>
      <c r="C31" s="575"/>
      <c r="D31" s="576"/>
      <c r="E31" s="577"/>
      <c r="F31" s="578"/>
      <c r="G31" s="1319"/>
      <c r="H31" s="1320"/>
      <c r="I31" s="1320"/>
      <c r="J31" s="1321"/>
      <c r="K31" s="1322"/>
      <c r="L31" s="1323"/>
      <c r="M31" s="579"/>
      <c r="N31" s="715"/>
      <c r="O31" s="579"/>
      <c r="P31" s="580"/>
      <c r="Q31" s="581"/>
      <c r="R31" s="616" t="str">
        <f t="shared" si="5"/>
        <v/>
      </c>
      <c r="S31" s="617"/>
      <c r="T31"/>
      <c r="AA31" s="565" t="s">
        <v>717</v>
      </c>
      <c r="AB31" s="565" t="s">
        <v>718</v>
      </c>
      <c r="AD31" s="565" t="s">
        <v>719</v>
      </c>
    </row>
    <row r="32" spans="1:30" ht="24" customHeight="1">
      <c r="A32" s="615">
        <f t="shared" si="6"/>
        <v>3</v>
      </c>
      <c r="B32" s="574"/>
      <c r="C32" s="575"/>
      <c r="D32" s="576"/>
      <c r="E32" s="577"/>
      <c r="F32" s="578"/>
      <c r="G32" s="1319"/>
      <c r="H32" s="1320"/>
      <c r="I32" s="1320"/>
      <c r="J32" s="1321"/>
      <c r="K32" s="1322"/>
      <c r="L32" s="1323"/>
      <c r="M32" s="579"/>
      <c r="N32" s="715"/>
      <c r="O32" s="579"/>
      <c r="P32" s="580"/>
      <c r="Q32" s="581"/>
      <c r="R32" s="616" t="str">
        <f t="shared" si="5"/>
        <v/>
      </c>
      <c r="S32" s="617"/>
      <c r="T32"/>
    </row>
    <row r="33" spans="1:20" ht="24" customHeight="1">
      <c r="A33" s="615">
        <f t="shared" si="6"/>
        <v>4</v>
      </c>
      <c r="B33" s="574"/>
      <c r="C33" s="575"/>
      <c r="D33" s="576"/>
      <c r="E33" s="577"/>
      <c r="F33" s="578"/>
      <c r="G33" s="1319"/>
      <c r="H33" s="1320"/>
      <c r="I33" s="1320"/>
      <c r="J33" s="1321"/>
      <c r="K33" s="1322"/>
      <c r="L33" s="1323"/>
      <c r="M33" s="579"/>
      <c r="N33" s="715"/>
      <c r="O33" s="579"/>
      <c r="P33" s="580"/>
      <c r="Q33" s="581"/>
      <c r="R33" s="616" t="str">
        <f t="shared" si="5"/>
        <v/>
      </c>
      <c r="S33" s="617"/>
      <c r="T33"/>
    </row>
    <row r="34" spans="1:20" ht="24" customHeight="1">
      <c r="A34" s="615">
        <f t="shared" si="6"/>
        <v>5</v>
      </c>
      <c r="B34" s="574"/>
      <c r="C34" s="575"/>
      <c r="D34" s="576"/>
      <c r="E34" s="577"/>
      <c r="F34" s="578"/>
      <c r="G34" s="1319"/>
      <c r="H34" s="1320"/>
      <c r="I34" s="1320"/>
      <c r="J34" s="1321"/>
      <c r="K34" s="1322"/>
      <c r="L34" s="1323"/>
      <c r="M34" s="579"/>
      <c r="N34" s="715"/>
      <c r="O34" s="579"/>
      <c r="P34" s="580"/>
      <c r="Q34" s="581"/>
      <c r="R34" s="616" t="str">
        <f t="shared" si="5"/>
        <v/>
      </c>
      <c r="S34" s="617"/>
      <c r="T34"/>
    </row>
    <row r="35" spans="1:20" ht="24" customHeight="1">
      <c r="A35" s="615">
        <f t="shared" si="6"/>
        <v>6</v>
      </c>
      <c r="B35" s="574"/>
      <c r="C35" s="575"/>
      <c r="D35" s="576"/>
      <c r="E35" s="577"/>
      <c r="F35" s="578"/>
      <c r="G35" s="1319"/>
      <c r="H35" s="1320"/>
      <c r="I35" s="1320"/>
      <c r="J35" s="1321"/>
      <c r="K35" s="1322"/>
      <c r="L35" s="1323"/>
      <c r="M35" s="579"/>
      <c r="N35" s="715"/>
      <c r="O35" s="579"/>
      <c r="P35" s="580"/>
      <c r="Q35" s="581"/>
      <c r="R35" s="616" t="str">
        <f t="shared" si="5"/>
        <v/>
      </c>
      <c r="S35" s="617"/>
      <c r="T35"/>
    </row>
    <row r="36" spans="1:20" ht="24" customHeight="1">
      <c r="A36" s="615">
        <f t="shared" si="6"/>
        <v>7</v>
      </c>
      <c r="B36" s="574"/>
      <c r="C36" s="575"/>
      <c r="D36" s="576"/>
      <c r="E36" s="577"/>
      <c r="F36" s="578"/>
      <c r="G36" s="1319"/>
      <c r="H36" s="1320"/>
      <c r="I36" s="1320"/>
      <c r="J36" s="1321"/>
      <c r="K36" s="1322"/>
      <c r="L36" s="1323"/>
      <c r="M36" s="579"/>
      <c r="N36" s="715"/>
      <c r="O36" s="579"/>
      <c r="P36" s="580"/>
      <c r="Q36" s="581"/>
      <c r="R36" s="616" t="str">
        <f t="shared" si="5"/>
        <v/>
      </c>
      <c r="S36" s="617"/>
      <c r="T36"/>
    </row>
    <row r="37" spans="1:20" ht="24" customHeight="1">
      <c r="A37" s="615">
        <f t="shared" si="6"/>
        <v>8</v>
      </c>
      <c r="B37" s="574"/>
      <c r="C37" s="575"/>
      <c r="D37" s="576"/>
      <c r="E37" s="577"/>
      <c r="F37" s="578"/>
      <c r="G37" s="1319"/>
      <c r="H37" s="1320"/>
      <c r="I37" s="1320"/>
      <c r="J37" s="1321"/>
      <c r="K37" s="1322"/>
      <c r="L37" s="1323"/>
      <c r="M37" s="579"/>
      <c r="N37" s="715"/>
      <c r="O37" s="579"/>
      <c r="P37" s="580"/>
      <c r="Q37" s="581"/>
      <c r="R37" s="616" t="str">
        <f t="shared" si="5"/>
        <v/>
      </c>
      <c r="S37" s="617"/>
      <c r="T37"/>
    </row>
    <row r="38" spans="1:20" ht="24" customHeight="1">
      <c r="A38" s="615">
        <f t="shared" si="6"/>
        <v>9</v>
      </c>
      <c r="B38" s="574"/>
      <c r="C38" s="575"/>
      <c r="D38" s="576"/>
      <c r="E38" s="577"/>
      <c r="F38" s="578"/>
      <c r="G38" s="1319"/>
      <c r="H38" s="1320"/>
      <c r="I38" s="1320"/>
      <c r="J38" s="1321"/>
      <c r="K38" s="1322"/>
      <c r="L38" s="1323"/>
      <c r="M38" s="579"/>
      <c r="N38" s="715"/>
      <c r="O38" s="579"/>
      <c r="P38" s="580"/>
      <c r="Q38" s="581"/>
      <c r="R38" s="616" t="str">
        <f t="shared" si="5"/>
        <v/>
      </c>
      <c r="S38" s="617"/>
      <c r="T38"/>
    </row>
    <row r="39" spans="1:20" ht="24" customHeight="1">
      <c r="A39" s="615">
        <f t="shared" si="6"/>
        <v>10</v>
      </c>
      <c r="B39" s="574"/>
      <c r="C39" s="575"/>
      <c r="D39" s="576"/>
      <c r="E39" s="577"/>
      <c r="F39" s="578"/>
      <c r="G39" s="1319"/>
      <c r="H39" s="1320"/>
      <c r="I39" s="1320"/>
      <c r="J39" s="1321"/>
      <c r="K39" s="1322"/>
      <c r="L39" s="1323"/>
      <c r="M39" s="579"/>
      <c r="N39" s="715"/>
      <c r="O39" s="579"/>
      <c r="P39" s="580"/>
      <c r="Q39" s="581"/>
      <c r="R39" s="616" t="str">
        <f t="shared" si="5"/>
        <v/>
      </c>
      <c r="S39" s="617"/>
      <c r="T39"/>
    </row>
    <row r="40" spans="1:20" ht="24" customHeight="1">
      <c r="A40" s="615">
        <f t="shared" si="6"/>
        <v>11</v>
      </c>
      <c r="B40" s="574"/>
      <c r="C40" s="575"/>
      <c r="D40" s="576"/>
      <c r="E40" s="577"/>
      <c r="F40" s="578"/>
      <c r="G40" s="1319"/>
      <c r="H40" s="1320"/>
      <c r="I40" s="1320"/>
      <c r="J40" s="1321"/>
      <c r="K40" s="1322"/>
      <c r="L40" s="1323"/>
      <c r="M40" s="579"/>
      <c r="N40" s="715"/>
      <c r="O40" s="579"/>
      <c r="P40" s="580"/>
      <c r="Q40" s="581"/>
      <c r="R40" s="616" t="str">
        <f t="shared" si="5"/>
        <v/>
      </c>
      <c r="S40" s="617"/>
      <c r="T40"/>
    </row>
    <row r="41" spans="1:20" ht="24" customHeight="1">
      <c r="A41" s="615">
        <f t="shared" si="6"/>
        <v>12</v>
      </c>
      <c r="B41" s="574"/>
      <c r="C41" s="575"/>
      <c r="D41" s="576"/>
      <c r="E41" s="577"/>
      <c r="F41" s="578"/>
      <c r="G41" s="1319"/>
      <c r="H41" s="1320"/>
      <c r="I41" s="1320"/>
      <c r="J41" s="1321"/>
      <c r="K41" s="1322"/>
      <c r="L41" s="1323"/>
      <c r="M41" s="579"/>
      <c r="N41" s="715"/>
      <c r="O41" s="579"/>
      <c r="P41" s="580"/>
      <c r="Q41" s="581"/>
      <c r="R41" s="616" t="str">
        <f t="shared" si="5"/>
        <v/>
      </c>
      <c r="S41" s="618"/>
      <c r="T41"/>
    </row>
    <row r="42" spans="1:20" ht="24" customHeight="1">
      <c r="A42" s="615">
        <f t="shared" si="6"/>
        <v>13</v>
      </c>
      <c r="B42" s="574"/>
      <c r="C42" s="575"/>
      <c r="D42" s="576"/>
      <c r="E42" s="577"/>
      <c r="F42" s="578"/>
      <c r="G42" s="1319"/>
      <c r="H42" s="1320"/>
      <c r="I42" s="1320"/>
      <c r="J42" s="1321"/>
      <c r="K42" s="1322"/>
      <c r="L42" s="1323"/>
      <c r="M42" s="579"/>
      <c r="N42" s="715"/>
      <c r="O42" s="579"/>
      <c r="P42" s="580"/>
      <c r="Q42" s="581"/>
      <c r="R42" s="616" t="str">
        <f t="shared" si="5"/>
        <v/>
      </c>
      <c r="S42" s="618"/>
      <c r="T42"/>
    </row>
    <row r="43" spans="1:20" ht="24" customHeight="1">
      <c r="A43" s="615">
        <f t="shared" si="6"/>
        <v>14</v>
      </c>
      <c r="B43" s="574"/>
      <c r="C43" s="582"/>
      <c r="D43" s="584"/>
      <c r="E43" s="583"/>
      <c r="F43" s="578"/>
      <c r="G43" s="1319"/>
      <c r="H43" s="1320"/>
      <c r="I43" s="1320"/>
      <c r="J43" s="1321"/>
      <c r="K43" s="1322"/>
      <c r="L43" s="1323"/>
      <c r="M43" s="579"/>
      <c r="N43" s="715"/>
      <c r="O43" s="579"/>
      <c r="P43" s="580"/>
      <c r="Q43" s="581"/>
      <c r="R43" s="616" t="str">
        <f t="shared" si="5"/>
        <v/>
      </c>
      <c r="S43" s="618"/>
      <c r="T43"/>
    </row>
    <row r="44" spans="1:20" ht="24" customHeight="1">
      <c r="A44" s="615">
        <f t="shared" si="6"/>
        <v>15</v>
      </c>
      <c r="B44" s="574"/>
      <c r="C44" s="582"/>
      <c r="D44" s="584"/>
      <c r="E44" s="583"/>
      <c r="F44" s="578"/>
      <c r="G44" s="1319"/>
      <c r="H44" s="1320"/>
      <c r="I44" s="1320"/>
      <c r="J44" s="1321"/>
      <c r="K44" s="1322"/>
      <c r="L44" s="1323"/>
      <c r="M44" s="579"/>
      <c r="N44" s="715"/>
      <c r="O44" s="579"/>
      <c r="P44" s="580"/>
      <c r="Q44" s="581"/>
      <c r="R44" s="616" t="str">
        <f t="shared" si="5"/>
        <v/>
      </c>
      <c r="S44" s="618"/>
      <c r="T44"/>
    </row>
    <row r="45" spans="1:20" ht="24" customHeight="1">
      <c r="A45" s="615">
        <f t="shared" si="6"/>
        <v>16</v>
      </c>
      <c r="B45" s="574"/>
      <c r="C45" s="575"/>
      <c r="D45" s="576"/>
      <c r="E45" s="577"/>
      <c r="F45" s="578"/>
      <c r="G45" s="1319"/>
      <c r="H45" s="1320"/>
      <c r="I45" s="1320"/>
      <c r="J45" s="1321"/>
      <c r="K45" s="1322"/>
      <c r="L45" s="1323"/>
      <c r="M45" s="579"/>
      <c r="N45" s="715"/>
      <c r="O45" s="579"/>
      <c r="P45" s="580"/>
      <c r="Q45" s="581"/>
      <c r="R45" s="616" t="str">
        <f t="shared" si="5"/>
        <v/>
      </c>
      <c r="S45" s="618"/>
      <c r="T45"/>
    </row>
    <row r="46" spans="1:20" ht="24" customHeight="1">
      <c r="A46" s="615">
        <f t="shared" si="6"/>
        <v>17</v>
      </c>
      <c r="B46" s="574"/>
      <c r="C46" s="582"/>
      <c r="D46" s="584"/>
      <c r="E46" s="583"/>
      <c r="F46" s="578"/>
      <c r="G46" s="1319"/>
      <c r="H46" s="1320"/>
      <c r="I46" s="1320"/>
      <c r="J46" s="1321"/>
      <c r="K46" s="1322"/>
      <c r="L46" s="1323"/>
      <c r="M46" s="579"/>
      <c r="N46" s="715"/>
      <c r="O46" s="579"/>
      <c r="P46" s="580"/>
      <c r="Q46" s="581"/>
      <c r="R46" s="616" t="str">
        <f t="shared" si="5"/>
        <v/>
      </c>
      <c r="S46" s="618"/>
      <c r="T46"/>
    </row>
    <row r="47" spans="1:20" ht="24" customHeight="1">
      <c r="A47" s="615">
        <f t="shared" si="6"/>
        <v>18</v>
      </c>
      <c r="B47" s="574"/>
      <c r="C47" s="582"/>
      <c r="D47" s="584"/>
      <c r="E47" s="583"/>
      <c r="F47" s="578"/>
      <c r="G47" s="1319"/>
      <c r="H47" s="1320"/>
      <c r="I47" s="1320"/>
      <c r="J47" s="1321"/>
      <c r="K47" s="1322"/>
      <c r="L47" s="1323"/>
      <c r="M47" s="579"/>
      <c r="N47" s="715"/>
      <c r="O47" s="579"/>
      <c r="P47" s="580"/>
      <c r="Q47" s="581"/>
      <c r="R47" s="616" t="str">
        <f t="shared" si="5"/>
        <v/>
      </c>
      <c r="S47" s="618"/>
      <c r="T47"/>
    </row>
    <row r="48" spans="1:20" ht="24" customHeight="1">
      <c r="A48" s="615">
        <f t="shared" si="6"/>
        <v>19</v>
      </c>
      <c r="B48" s="574"/>
      <c r="C48" s="582"/>
      <c r="D48" s="584"/>
      <c r="E48" s="583"/>
      <c r="F48" s="578"/>
      <c r="G48" s="1319"/>
      <c r="H48" s="1320"/>
      <c r="I48" s="1320"/>
      <c r="J48" s="1321"/>
      <c r="K48" s="1322"/>
      <c r="L48" s="1323"/>
      <c r="M48" s="579"/>
      <c r="N48" s="715"/>
      <c r="O48" s="579"/>
      <c r="P48" s="580"/>
      <c r="Q48" s="581"/>
      <c r="R48" s="616" t="str">
        <f t="shared" si="5"/>
        <v/>
      </c>
      <c r="S48" s="618"/>
      <c r="T48"/>
    </row>
    <row r="49" spans="1:20" ht="24" customHeight="1">
      <c r="A49" s="615">
        <f t="shared" si="6"/>
        <v>20</v>
      </c>
      <c r="B49" s="574"/>
      <c r="C49" s="575"/>
      <c r="D49" s="576"/>
      <c r="E49" s="577"/>
      <c r="F49" s="578"/>
      <c r="G49" s="1319"/>
      <c r="H49" s="1320"/>
      <c r="I49" s="1320"/>
      <c r="J49" s="1321"/>
      <c r="K49" s="1322"/>
      <c r="L49" s="1323"/>
      <c r="M49" s="579"/>
      <c r="N49" s="715"/>
      <c r="O49" s="579"/>
      <c r="P49" s="580"/>
      <c r="Q49" s="581"/>
      <c r="R49" s="616" t="str">
        <f t="shared" si="5"/>
        <v/>
      </c>
      <c r="S49" s="617"/>
      <c r="T49"/>
    </row>
    <row r="50" spans="1:20" ht="24" customHeight="1">
      <c r="A50" s="615">
        <f t="shared" si="6"/>
        <v>21</v>
      </c>
      <c r="B50" s="574"/>
      <c r="C50" s="575"/>
      <c r="D50" s="576"/>
      <c r="E50" s="577"/>
      <c r="F50" s="578"/>
      <c r="G50" s="1319"/>
      <c r="H50" s="1320"/>
      <c r="I50" s="1320"/>
      <c r="J50" s="1321"/>
      <c r="K50" s="1322"/>
      <c r="L50" s="1323"/>
      <c r="M50" s="579"/>
      <c r="N50" s="715"/>
      <c r="O50" s="579"/>
      <c r="P50" s="580"/>
      <c r="Q50" s="581"/>
      <c r="R50" s="616" t="str">
        <f t="shared" ref="R50:R113" si="7">IF(B50="","",SUM(N50:Q50))</f>
        <v/>
      </c>
      <c r="S50" s="617"/>
      <c r="T50"/>
    </row>
    <row r="51" spans="1:20" ht="24" customHeight="1">
      <c r="A51" s="615">
        <f t="shared" si="6"/>
        <v>22</v>
      </c>
      <c r="B51" s="574"/>
      <c r="C51" s="575"/>
      <c r="D51" s="576"/>
      <c r="E51" s="577"/>
      <c r="F51" s="578"/>
      <c r="G51" s="1319"/>
      <c r="H51" s="1320"/>
      <c r="I51" s="1320"/>
      <c r="J51" s="1321"/>
      <c r="K51" s="1322"/>
      <c r="L51" s="1323"/>
      <c r="M51" s="579"/>
      <c r="N51" s="715"/>
      <c r="O51" s="579"/>
      <c r="P51" s="580"/>
      <c r="Q51" s="581"/>
      <c r="R51" s="616" t="str">
        <f t="shared" si="7"/>
        <v/>
      </c>
      <c r="S51" s="617"/>
      <c r="T51"/>
    </row>
    <row r="52" spans="1:20" ht="24" customHeight="1">
      <c r="A52" s="615">
        <f t="shared" si="6"/>
        <v>23</v>
      </c>
      <c r="B52" s="574"/>
      <c r="C52" s="575"/>
      <c r="D52" s="576"/>
      <c r="E52" s="577"/>
      <c r="F52" s="578"/>
      <c r="G52" s="1319"/>
      <c r="H52" s="1320"/>
      <c r="I52" s="1320"/>
      <c r="J52" s="1321"/>
      <c r="K52" s="1322"/>
      <c r="L52" s="1323"/>
      <c r="M52" s="579"/>
      <c r="N52" s="715"/>
      <c r="O52" s="579"/>
      <c r="P52" s="580"/>
      <c r="Q52" s="581"/>
      <c r="R52" s="616" t="str">
        <f t="shared" si="7"/>
        <v/>
      </c>
      <c r="S52" s="617"/>
      <c r="T52"/>
    </row>
    <row r="53" spans="1:20" ht="24" customHeight="1">
      <c r="A53" s="615">
        <f t="shared" si="6"/>
        <v>24</v>
      </c>
      <c r="B53" s="574"/>
      <c r="C53" s="575"/>
      <c r="D53" s="576"/>
      <c r="E53" s="577"/>
      <c r="F53" s="578"/>
      <c r="G53" s="1319"/>
      <c r="H53" s="1320"/>
      <c r="I53" s="1320"/>
      <c r="J53" s="1321"/>
      <c r="K53" s="1322"/>
      <c r="L53" s="1323"/>
      <c r="M53" s="579"/>
      <c r="N53" s="715"/>
      <c r="O53" s="579"/>
      <c r="P53" s="580"/>
      <c r="Q53" s="581"/>
      <c r="R53" s="616" t="str">
        <f t="shared" si="7"/>
        <v/>
      </c>
      <c r="S53" s="617"/>
      <c r="T53"/>
    </row>
    <row r="54" spans="1:20" ht="24" customHeight="1">
      <c r="A54" s="615">
        <f t="shared" si="6"/>
        <v>25</v>
      </c>
      <c r="B54" s="574"/>
      <c r="C54" s="575"/>
      <c r="D54" s="576"/>
      <c r="E54" s="577"/>
      <c r="F54" s="578"/>
      <c r="G54" s="1319"/>
      <c r="H54" s="1320"/>
      <c r="I54" s="1320"/>
      <c r="J54" s="1321"/>
      <c r="K54" s="1322"/>
      <c r="L54" s="1323"/>
      <c r="M54" s="579"/>
      <c r="N54" s="715"/>
      <c r="O54" s="579"/>
      <c r="P54" s="580"/>
      <c r="Q54" s="581"/>
      <c r="R54" s="616" t="str">
        <f t="shared" si="7"/>
        <v/>
      </c>
      <c r="S54" s="617"/>
      <c r="T54"/>
    </row>
    <row r="55" spans="1:20" ht="24" customHeight="1">
      <c r="A55" s="615">
        <f t="shared" si="6"/>
        <v>26</v>
      </c>
      <c r="B55" s="574"/>
      <c r="C55" s="575"/>
      <c r="D55" s="576"/>
      <c r="E55" s="577"/>
      <c r="F55" s="578"/>
      <c r="G55" s="1319"/>
      <c r="H55" s="1320"/>
      <c r="I55" s="1320"/>
      <c r="J55" s="1321"/>
      <c r="K55" s="1322"/>
      <c r="L55" s="1323"/>
      <c r="M55" s="579"/>
      <c r="N55" s="715"/>
      <c r="O55" s="579"/>
      <c r="P55" s="580"/>
      <c r="Q55" s="581"/>
      <c r="R55" s="616" t="str">
        <f t="shared" si="7"/>
        <v/>
      </c>
      <c r="S55" s="617"/>
      <c r="T55"/>
    </row>
    <row r="56" spans="1:20" ht="24" customHeight="1">
      <c r="A56" s="615">
        <f t="shared" si="6"/>
        <v>27</v>
      </c>
      <c r="B56" s="574"/>
      <c r="C56" s="575"/>
      <c r="D56" s="576"/>
      <c r="E56" s="577"/>
      <c r="F56" s="578"/>
      <c r="G56" s="1319"/>
      <c r="H56" s="1320"/>
      <c r="I56" s="1320"/>
      <c r="J56" s="1321"/>
      <c r="K56" s="1322"/>
      <c r="L56" s="1323"/>
      <c r="M56" s="579"/>
      <c r="N56" s="715"/>
      <c r="O56" s="579"/>
      <c r="P56" s="580"/>
      <c r="Q56" s="581"/>
      <c r="R56" s="616" t="str">
        <f t="shared" si="7"/>
        <v/>
      </c>
      <c r="S56" s="617"/>
      <c r="T56"/>
    </row>
    <row r="57" spans="1:20" ht="24" customHeight="1">
      <c r="A57" s="615">
        <f t="shared" si="6"/>
        <v>28</v>
      </c>
      <c r="B57" s="574"/>
      <c r="C57" s="575"/>
      <c r="D57" s="576"/>
      <c r="E57" s="577"/>
      <c r="F57" s="578"/>
      <c r="G57" s="1319"/>
      <c r="H57" s="1320"/>
      <c r="I57" s="1320"/>
      <c r="J57" s="1321"/>
      <c r="K57" s="1322"/>
      <c r="L57" s="1323"/>
      <c r="M57" s="579"/>
      <c r="N57" s="715"/>
      <c r="O57" s="579"/>
      <c r="P57" s="580"/>
      <c r="Q57" s="581"/>
      <c r="R57" s="616" t="str">
        <f t="shared" si="7"/>
        <v/>
      </c>
      <c r="S57" s="617"/>
      <c r="T57"/>
    </row>
    <row r="58" spans="1:20" ht="24" customHeight="1">
      <c r="A58" s="615">
        <f t="shared" si="6"/>
        <v>29</v>
      </c>
      <c r="B58" s="574"/>
      <c r="C58" s="575"/>
      <c r="D58" s="576"/>
      <c r="E58" s="577"/>
      <c r="F58" s="578"/>
      <c r="G58" s="1319"/>
      <c r="H58" s="1320"/>
      <c r="I58" s="1320"/>
      <c r="J58" s="1321"/>
      <c r="K58" s="1322"/>
      <c r="L58" s="1323"/>
      <c r="M58" s="579"/>
      <c r="N58" s="715"/>
      <c r="O58" s="579"/>
      <c r="P58" s="580"/>
      <c r="Q58" s="581"/>
      <c r="R58" s="616" t="str">
        <f t="shared" si="7"/>
        <v/>
      </c>
      <c r="S58" s="617"/>
      <c r="T58"/>
    </row>
    <row r="59" spans="1:20" ht="24" customHeight="1">
      <c r="A59" s="615">
        <f t="shared" si="6"/>
        <v>30</v>
      </c>
      <c r="B59" s="574"/>
      <c r="C59" s="575"/>
      <c r="D59" s="576"/>
      <c r="E59" s="577"/>
      <c r="F59" s="578"/>
      <c r="G59" s="1319"/>
      <c r="H59" s="1320"/>
      <c r="I59" s="1320"/>
      <c r="J59" s="1321"/>
      <c r="K59" s="1322"/>
      <c r="L59" s="1323"/>
      <c r="M59" s="579"/>
      <c r="N59" s="715"/>
      <c r="O59" s="579"/>
      <c r="P59" s="580"/>
      <c r="Q59" s="581"/>
      <c r="R59" s="616" t="str">
        <f t="shared" si="7"/>
        <v/>
      </c>
      <c r="S59" s="617"/>
      <c r="T59"/>
    </row>
    <row r="60" spans="1:20" ht="24" customHeight="1">
      <c r="A60" s="615">
        <f t="shared" si="6"/>
        <v>31</v>
      </c>
      <c r="B60" s="574"/>
      <c r="C60" s="575"/>
      <c r="D60" s="576"/>
      <c r="E60" s="577"/>
      <c r="F60" s="578"/>
      <c r="G60" s="1319"/>
      <c r="H60" s="1320"/>
      <c r="I60" s="1320"/>
      <c r="J60" s="1321"/>
      <c r="K60" s="1322"/>
      <c r="L60" s="1323"/>
      <c r="M60" s="579"/>
      <c r="N60" s="715"/>
      <c r="O60" s="579"/>
      <c r="P60" s="580"/>
      <c r="Q60" s="581"/>
      <c r="R60" s="616" t="str">
        <f t="shared" si="7"/>
        <v/>
      </c>
      <c r="S60" s="617"/>
      <c r="T60"/>
    </row>
    <row r="61" spans="1:20" ht="24" customHeight="1">
      <c r="A61" s="615">
        <f t="shared" si="6"/>
        <v>32</v>
      </c>
      <c r="B61" s="574"/>
      <c r="C61" s="575"/>
      <c r="D61" s="576"/>
      <c r="E61" s="577"/>
      <c r="F61" s="578"/>
      <c r="G61" s="1319"/>
      <c r="H61" s="1320"/>
      <c r="I61" s="1320"/>
      <c r="J61" s="1321"/>
      <c r="K61" s="1322"/>
      <c r="L61" s="1323"/>
      <c r="M61" s="579"/>
      <c r="N61" s="715"/>
      <c r="O61" s="579"/>
      <c r="P61" s="580"/>
      <c r="Q61" s="581"/>
      <c r="R61" s="616" t="str">
        <f t="shared" si="7"/>
        <v/>
      </c>
      <c r="S61" s="617"/>
      <c r="T61"/>
    </row>
    <row r="62" spans="1:20" ht="24" customHeight="1">
      <c r="A62" s="615">
        <f t="shared" si="6"/>
        <v>33</v>
      </c>
      <c r="B62" s="574"/>
      <c r="C62" s="575"/>
      <c r="D62" s="576"/>
      <c r="E62" s="577"/>
      <c r="F62" s="578"/>
      <c r="G62" s="1319"/>
      <c r="H62" s="1320"/>
      <c r="I62" s="1320"/>
      <c r="J62" s="1321"/>
      <c r="K62" s="1322"/>
      <c r="L62" s="1323"/>
      <c r="M62" s="579"/>
      <c r="N62" s="715"/>
      <c r="O62" s="579"/>
      <c r="P62" s="580"/>
      <c r="Q62" s="581"/>
      <c r="R62" s="616" t="str">
        <f t="shared" si="7"/>
        <v/>
      </c>
      <c r="S62" s="617"/>
      <c r="T62"/>
    </row>
    <row r="63" spans="1:20" ht="24" customHeight="1">
      <c r="A63" s="615">
        <f t="shared" si="6"/>
        <v>34</v>
      </c>
      <c r="B63" s="574"/>
      <c r="C63" s="575"/>
      <c r="D63" s="576"/>
      <c r="E63" s="577"/>
      <c r="F63" s="578"/>
      <c r="G63" s="1319"/>
      <c r="H63" s="1320"/>
      <c r="I63" s="1320"/>
      <c r="J63" s="1321"/>
      <c r="K63" s="1322"/>
      <c r="L63" s="1323"/>
      <c r="M63" s="579"/>
      <c r="N63" s="715"/>
      <c r="O63" s="579"/>
      <c r="P63" s="580"/>
      <c r="Q63" s="581"/>
      <c r="R63" s="616" t="str">
        <f t="shared" si="7"/>
        <v/>
      </c>
      <c r="S63" s="617"/>
      <c r="T63"/>
    </row>
    <row r="64" spans="1:20" ht="24" customHeight="1">
      <c r="A64" s="615">
        <f t="shared" si="6"/>
        <v>35</v>
      </c>
      <c r="B64" s="574"/>
      <c r="C64" s="575"/>
      <c r="D64" s="576"/>
      <c r="E64" s="577"/>
      <c r="F64" s="578"/>
      <c r="G64" s="1319"/>
      <c r="H64" s="1320"/>
      <c r="I64" s="1320"/>
      <c r="J64" s="1321"/>
      <c r="K64" s="1322"/>
      <c r="L64" s="1323"/>
      <c r="M64" s="579"/>
      <c r="N64" s="715"/>
      <c r="O64" s="579"/>
      <c r="P64" s="580"/>
      <c r="Q64" s="581"/>
      <c r="R64" s="616" t="str">
        <f t="shared" si="7"/>
        <v/>
      </c>
      <c r="S64" s="617"/>
      <c r="T64"/>
    </row>
    <row r="65" spans="1:20" ht="24" customHeight="1">
      <c r="A65" s="615">
        <f t="shared" si="6"/>
        <v>36</v>
      </c>
      <c r="B65" s="574"/>
      <c r="C65" s="575"/>
      <c r="D65" s="576"/>
      <c r="E65" s="577"/>
      <c r="F65" s="578"/>
      <c r="G65" s="1319"/>
      <c r="H65" s="1320"/>
      <c r="I65" s="1320"/>
      <c r="J65" s="1321"/>
      <c r="K65" s="1322"/>
      <c r="L65" s="1323"/>
      <c r="M65" s="579"/>
      <c r="N65" s="715"/>
      <c r="O65" s="579"/>
      <c r="P65" s="580"/>
      <c r="Q65" s="581"/>
      <c r="R65" s="616" t="str">
        <f t="shared" si="7"/>
        <v/>
      </c>
      <c r="S65" s="617"/>
      <c r="T65"/>
    </row>
    <row r="66" spans="1:20" ht="24" customHeight="1">
      <c r="A66" s="615">
        <f t="shared" si="6"/>
        <v>37</v>
      </c>
      <c r="B66" s="574"/>
      <c r="C66" s="575"/>
      <c r="D66" s="576"/>
      <c r="E66" s="577"/>
      <c r="F66" s="578"/>
      <c r="G66" s="1319"/>
      <c r="H66" s="1320"/>
      <c r="I66" s="1320"/>
      <c r="J66" s="1321"/>
      <c r="K66" s="1322"/>
      <c r="L66" s="1323"/>
      <c r="M66" s="579"/>
      <c r="N66" s="715"/>
      <c r="O66" s="579"/>
      <c r="P66" s="580"/>
      <c r="Q66" s="581"/>
      <c r="R66" s="616" t="str">
        <f t="shared" si="7"/>
        <v/>
      </c>
      <c r="S66" s="617"/>
      <c r="T66"/>
    </row>
    <row r="67" spans="1:20" ht="24" customHeight="1">
      <c r="A67" s="615">
        <f t="shared" si="6"/>
        <v>38</v>
      </c>
      <c r="B67" s="574"/>
      <c r="C67" s="575"/>
      <c r="D67" s="576"/>
      <c r="E67" s="577"/>
      <c r="F67" s="578"/>
      <c r="G67" s="1319"/>
      <c r="H67" s="1320"/>
      <c r="I67" s="1320"/>
      <c r="J67" s="1321"/>
      <c r="K67" s="1322"/>
      <c r="L67" s="1323"/>
      <c r="M67" s="579"/>
      <c r="N67" s="715"/>
      <c r="O67" s="579"/>
      <c r="P67" s="580"/>
      <c r="Q67" s="581"/>
      <c r="R67" s="616" t="str">
        <f t="shared" si="7"/>
        <v/>
      </c>
      <c r="S67" s="617"/>
      <c r="T67"/>
    </row>
    <row r="68" spans="1:20" ht="24" customHeight="1">
      <c r="A68" s="615">
        <f t="shared" si="6"/>
        <v>39</v>
      </c>
      <c r="B68" s="574"/>
      <c r="C68" s="575"/>
      <c r="D68" s="576"/>
      <c r="E68" s="577"/>
      <c r="F68" s="578"/>
      <c r="G68" s="1319"/>
      <c r="H68" s="1320"/>
      <c r="I68" s="1320"/>
      <c r="J68" s="1321"/>
      <c r="K68" s="1322"/>
      <c r="L68" s="1323"/>
      <c r="M68" s="579"/>
      <c r="N68" s="715"/>
      <c r="O68" s="579"/>
      <c r="P68" s="580"/>
      <c r="Q68" s="581"/>
      <c r="R68" s="616" t="str">
        <f t="shared" si="7"/>
        <v/>
      </c>
      <c r="S68" s="617"/>
      <c r="T68"/>
    </row>
    <row r="69" spans="1:20" ht="24" customHeight="1">
      <c r="A69" s="615">
        <f t="shared" si="6"/>
        <v>40</v>
      </c>
      <c r="B69" s="574"/>
      <c r="C69" s="575"/>
      <c r="D69" s="576"/>
      <c r="E69" s="577"/>
      <c r="F69" s="578"/>
      <c r="G69" s="1319"/>
      <c r="H69" s="1320"/>
      <c r="I69" s="1320"/>
      <c r="J69" s="1321"/>
      <c r="K69" s="1322"/>
      <c r="L69" s="1323"/>
      <c r="M69" s="579"/>
      <c r="N69" s="715"/>
      <c r="O69" s="579"/>
      <c r="P69" s="580"/>
      <c r="Q69" s="581"/>
      <c r="R69" s="616" t="str">
        <f t="shared" si="7"/>
        <v/>
      </c>
      <c r="S69" s="617"/>
      <c r="T69"/>
    </row>
    <row r="70" spans="1:20" ht="24" customHeight="1">
      <c r="A70" s="615">
        <f t="shared" si="6"/>
        <v>41</v>
      </c>
      <c r="B70" s="574"/>
      <c r="C70" s="575"/>
      <c r="D70" s="576"/>
      <c r="E70" s="577"/>
      <c r="F70" s="578"/>
      <c r="G70" s="1319"/>
      <c r="H70" s="1320"/>
      <c r="I70" s="1320"/>
      <c r="J70" s="1321"/>
      <c r="K70" s="1322"/>
      <c r="L70" s="1323"/>
      <c r="M70" s="579"/>
      <c r="N70" s="715"/>
      <c r="O70" s="579"/>
      <c r="P70" s="580"/>
      <c r="Q70" s="581"/>
      <c r="R70" s="616" t="str">
        <f t="shared" si="7"/>
        <v/>
      </c>
      <c r="S70" s="617"/>
      <c r="T70"/>
    </row>
    <row r="71" spans="1:20" ht="24" customHeight="1">
      <c r="A71" s="615">
        <f t="shared" si="6"/>
        <v>42</v>
      </c>
      <c r="B71" s="574"/>
      <c r="C71" s="575"/>
      <c r="D71" s="576"/>
      <c r="E71" s="577"/>
      <c r="F71" s="578"/>
      <c r="G71" s="1319"/>
      <c r="H71" s="1320"/>
      <c r="I71" s="1320"/>
      <c r="J71" s="1321"/>
      <c r="K71" s="1322"/>
      <c r="L71" s="1323"/>
      <c r="M71" s="579"/>
      <c r="N71" s="715"/>
      <c r="O71" s="579"/>
      <c r="P71" s="580"/>
      <c r="Q71" s="581"/>
      <c r="R71" s="616" t="str">
        <f t="shared" si="7"/>
        <v/>
      </c>
      <c r="S71" s="617"/>
      <c r="T71"/>
    </row>
    <row r="72" spans="1:20" ht="24" customHeight="1">
      <c r="A72" s="615">
        <f t="shared" si="6"/>
        <v>43</v>
      </c>
      <c r="B72" s="574"/>
      <c r="C72" s="575"/>
      <c r="D72" s="576"/>
      <c r="E72" s="577"/>
      <c r="F72" s="578"/>
      <c r="G72" s="1319"/>
      <c r="H72" s="1320"/>
      <c r="I72" s="1320"/>
      <c r="J72" s="1321"/>
      <c r="K72" s="1322"/>
      <c r="L72" s="1323"/>
      <c r="M72" s="579"/>
      <c r="N72" s="715"/>
      <c r="O72" s="579"/>
      <c r="P72" s="580"/>
      <c r="Q72" s="581"/>
      <c r="R72" s="616" t="str">
        <f t="shared" si="7"/>
        <v/>
      </c>
      <c r="S72" s="617"/>
      <c r="T72"/>
    </row>
    <row r="73" spans="1:20" ht="24" customHeight="1">
      <c r="A73" s="615">
        <f t="shared" si="6"/>
        <v>44</v>
      </c>
      <c r="B73" s="574"/>
      <c r="C73" s="575"/>
      <c r="D73" s="576"/>
      <c r="E73" s="577"/>
      <c r="F73" s="578"/>
      <c r="G73" s="1319"/>
      <c r="H73" s="1320"/>
      <c r="I73" s="1320"/>
      <c r="J73" s="1321"/>
      <c r="K73" s="1322"/>
      <c r="L73" s="1323"/>
      <c r="M73" s="579"/>
      <c r="N73" s="715"/>
      <c r="O73" s="579"/>
      <c r="P73" s="580"/>
      <c r="Q73" s="581"/>
      <c r="R73" s="616" t="str">
        <f t="shared" si="7"/>
        <v/>
      </c>
      <c r="S73" s="617"/>
      <c r="T73"/>
    </row>
    <row r="74" spans="1:20" ht="24" customHeight="1">
      <c r="A74" s="615">
        <f t="shared" si="6"/>
        <v>45</v>
      </c>
      <c r="B74" s="574"/>
      <c r="C74" s="575"/>
      <c r="D74" s="576"/>
      <c r="E74" s="577"/>
      <c r="F74" s="578"/>
      <c r="G74" s="1319"/>
      <c r="H74" s="1320"/>
      <c r="I74" s="1320"/>
      <c r="J74" s="1321"/>
      <c r="K74" s="1322"/>
      <c r="L74" s="1323"/>
      <c r="M74" s="579"/>
      <c r="N74" s="715"/>
      <c r="O74" s="579"/>
      <c r="P74" s="580"/>
      <c r="Q74" s="581"/>
      <c r="R74" s="616" t="str">
        <f t="shared" si="7"/>
        <v/>
      </c>
      <c r="S74" s="617"/>
      <c r="T74"/>
    </row>
    <row r="75" spans="1:20" ht="24" customHeight="1">
      <c r="A75" s="615">
        <f t="shared" si="6"/>
        <v>46</v>
      </c>
      <c r="B75" s="574"/>
      <c r="C75" s="575"/>
      <c r="D75" s="576"/>
      <c r="E75" s="577"/>
      <c r="F75" s="578"/>
      <c r="G75" s="1319"/>
      <c r="H75" s="1320"/>
      <c r="I75" s="1320"/>
      <c r="J75" s="1321"/>
      <c r="K75" s="1322"/>
      <c r="L75" s="1323"/>
      <c r="M75" s="579"/>
      <c r="N75" s="715"/>
      <c r="O75" s="579"/>
      <c r="P75" s="580"/>
      <c r="Q75" s="581"/>
      <c r="R75" s="616" t="str">
        <f t="shared" si="7"/>
        <v/>
      </c>
      <c r="S75" s="617"/>
      <c r="T75"/>
    </row>
    <row r="76" spans="1:20" ht="24" customHeight="1">
      <c r="A76" s="615">
        <f t="shared" si="6"/>
        <v>47</v>
      </c>
      <c r="B76" s="574"/>
      <c r="C76" s="575"/>
      <c r="D76" s="576"/>
      <c r="E76" s="577"/>
      <c r="F76" s="578"/>
      <c r="G76" s="1319"/>
      <c r="H76" s="1320"/>
      <c r="I76" s="1320"/>
      <c r="J76" s="1321"/>
      <c r="K76" s="1322"/>
      <c r="L76" s="1323"/>
      <c r="M76" s="579"/>
      <c r="N76" s="715"/>
      <c r="O76" s="579"/>
      <c r="P76" s="580"/>
      <c r="Q76" s="581"/>
      <c r="R76" s="616" t="str">
        <f t="shared" si="7"/>
        <v/>
      </c>
      <c r="S76" s="617"/>
      <c r="T76"/>
    </row>
    <row r="77" spans="1:20" ht="24" customHeight="1">
      <c r="A77" s="615">
        <f t="shared" si="6"/>
        <v>48</v>
      </c>
      <c r="B77" s="574"/>
      <c r="C77" s="575"/>
      <c r="D77" s="576"/>
      <c r="E77" s="577"/>
      <c r="F77" s="578"/>
      <c r="G77" s="1319"/>
      <c r="H77" s="1320"/>
      <c r="I77" s="1320"/>
      <c r="J77" s="1321"/>
      <c r="K77" s="1322"/>
      <c r="L77" s="1323"/>
      <c r="M77" s="579"/>
      <c r="N77" s="715"/>
      <c r="O77" s="579"/>
      <c r="P77" s="580"/>
      <c r="Q77" s="581"/>
      <c r="R77" s="616" t="str">
        <f t="shared" si="7"/>
        <v/>
      </c>
      <c r="S77" s="617"/>
      <c r="T77"/>
    </row>
    <row r="78" spans="1:20" ht="24" customHeight="1">
      <c r="A78" s="615">
        <f t="shared" si="6"/>
        <v>49</v>
      </c>
      <c r="B78" s="574"/>
      <c r="C78" s="575"/>
      <c r="D78" s="576"/>
      <c r="E78" s="577"/>
      <c r="F78" s="578"/>
      <c r="G78" s="1319"/>
      <c r="H78" s="1320"/>
      <c r="I78" s="1320"/>
      <c r="J78" s="1321"/>
      <c r="K78" s="1322"/>
      <c r="L78" s="1323"/>
      <c r="M78" s="579"/>
      <c r="N78" s="715"/>
      <c r="O78" s="579"/>
      <c r="P78" s="580"/>
      <c r="Q78" s="581"/>
      <c r="R78" s="616" t="str">
        <f t="shared" si="7"/>
        <v/>
      </c>
      <c r="S78" s="617"/>
      <c r="T78"/>
    </row>
    <row r="79" spans="1:20" ht="24" customHeight="1">
      <c r="A79" s="615">
        <f t="shared" si="6"/>
        <v>50</v>
      </c>
      <c r="B79" s="574"/>
      <c r="C79" s="575"/>
      <c r="D79" s="576"/>
      <c r="E79" s="577"/>
      <c r="F79" s="578"/>
      <c r="G79" s="1319"/>
      <c r="H79" s="1320"/>
      <c r="I79" s="1320"/>
      <c r="J79" s="1321"/>
      <c r="K79" s="1322"/>
      <c r="L79" s="1323"/>
      <c r="M79" s="579"/>
      <c r="N79" s="715"/>
      <c r="O79" s="579"/>
      <c r="P79" s="580"/>
      <c r="Q79" s="581"/>
      <c r="R79" s="616" t="str">
        <f t="shared" si="7"/>
        <v/>
      </c>
      <c r="S79" s="617"/>
      <c r="T79"/>
    </row>
    <row r="80" spans="1:20" ht="24" customHeight="1">
      <c r="A80" s="615">
        <f t="shared" si="6"/>
        <v>51</v>
      </c>
      <c r="B80" s="574"/>
      <c r="C80" s="575"/>
      <c r="D80" s="576"/>
      <c r="E80" s="577"/>
      <c r="F80" s="578"/>
      <c r="G80" s="1319"/>
      <c r="H80" s="1320"/>
      <c r="I80" s="1320"/>
      <c r="J80" s="1321"/>
      <c r="K80" s="1322"/>
      <c r="L80" s="1323"/>
      <c r="M80" s="579"/>
      <c r="N80" s="715"/>
      <c r="O80" s="579"/>
      <c r="P80" s="580"/>
      <c r="Q80" s="581"/>
      <c r="R80" s="616" t="str">
        <f t="shared" si="7"/>
        <v/>
      </c>
      <c r="S80" s="617"/>
      <c r="T80"/>
    </row>
    <row r="81" spans="1:20" ht="24" customHeight="1">
      <c r="A81" s="615">
        <f t="shared" si="6"/>
        <v>52</v>
      </c>
      <c r="B81" s="574"/>
      <c r="C81" s="575"/>
      <c r="D81" s="576"/>
      <c r="E81" s="577"/>
      <c r="F81" s="578"/>
      <c r="G81" s="1319"/>
      <c r="H81" s="1320"/>
      <c r="I81" s="1320"/>
      <c r="J81" s="1321"/>
      <c r="K81" s="1322"/>
      <c r="L81" s="1323"/>
      <c r="M81" s="579"/>
      <c r="N81" s="715"/>
      <c r="O81" s="579"/>
      <c r="P81" s="580"/>
      <c r="Q81" s="581"/>
      <c r="R81" s="616" t="str">
        <f t="shared" si="7"/>
        <v/>
      </c>
      <c r="S81" s="617"/>
      <c r="T81"/>
    </row>
    <row r="82" spans="1:20" ht="24" customHeight="1">
      <c r="A82" s="615">
        <f t="shared" si="6"/>
        <v>53</v>
      </c>
      <c r="B82" s="574"/>
      <c r="C82" s="575"/>
      <c r="D82" s="576"/>
      <c r="E82" s="577"/>
      <c r="F82" s="578"/>
      <c r="G82" s="1319"/>
      <c r="H82" s="1320"/>
      <c r="I82" s="1320"/>
      <c r="J82" s="1321"/>
      <c r="K82" s="1322"/>
      <c r="L82" s="1323"/>
      <c r="M82" s="579"/>
      <c r="N82" s="715"/>
      <c r="O82" s="579"/>
      <c r="P82" s="580"/>
      <c r="Q82" s="581"/>
      <c r="R82" s="616" t="str">
        <f t="shared" si="7"/>
        <v/>
      </c>
      <c r="S82" s="617"/>
      <c r="T82"/>
    </row>
    <row r="83" spans="1:20" ht="24" customHeight="1">
      <c r="A83" s="615">
        <f t="shared" si="6"/>
        <v>54</v>
      </c>
      <c r="B83" s="574"/>
      <c r="C83" s="575"/>
      <c r="D83" s="576"/>
      <c r="E83" s="577"/>
      <c r="F83" s="578"/>
      <c r="G83" s="1319"/>
      <c r="H83" s="1320"/>
      <c r="I83" s="1320"/>
      <c r="J83" s="1321"/>
      <c r="K83" s="1322"/>
      <c r="L83" s="1323"/>
      <c r="M83" s="579"/>
      <c r="N83" s="715"/>
      <c r="O83" s="579"/>
      <c r="P83" s="580"/>
      <c r="Q83" s="581"/>
      <c r="R83" s="616" t="str">
        <f t="shared" si="7"/>
        <v/>
      </c>
      <c r="S83" s="617"/>
      <c r="T83"/>
    </row>
    <row r="84" spans="1:20" ht="24" customHeight="1">
      <c r="A84" s="615">
        <f t="shared" si="6"/>
        <v>55</v>
      </c>
      <c r="B84" s="574"/>
      <c r="C84" s="575"/>
      <c r="D84" s="576"/>
      <c r="E84" s="577"/>
      <c r="F84" s="578"/>
      <c r="G84" s="1319"/>
      <c r="H84" s="1320"/>
      <c r="I84" s="1320"/>
      <c r="J84" s="1321"/>
      <c r="K84" s="1322"/>
      <c r="L84" s="1323"/>
      <c r="M84" s="579"/>
      <c r="N84" s="715"/>
      <c r="O84" s="579"/>
      <c r="P84" s="580"/>
      <c r="Q84" s="581"/>
      <c r="R84" s="616" t="str">
        <f t="shared" si="7"/>
        <v/>
      </c>
      <c r="S84" s="617"/>
      <c r="T84"/>
    </row>
    <row r="85" spans="1:20" ht="24" customHeight="1">
      <c r="A85" s="615">
        <f t="shared" si="6"/>
        <v>56</v>
      </c>
      <c r="B85" s="574"/>
      <c r="C85" s="575"/>
      <c r="D85" s="576"/>
      <c r="E85" s="577"/>
      <c r="F85" s="578"/>
      <c r="G85" s="1319"/>
      <c r="H85" s="1320"/>
      <c r="I85" s="1320"/>
      <c r="J85" s="1321"/>
      <c r="K85" s="1322"/>
      <c r="L85" s="1323"/>
      <c r="M85" s="579"/>
      <c r="N85" s="715"/>
      <c r="O85" s="579"/>
      <c r="P85" s="580"/>
      <c r="Q85" s="581"/>
      <c r="R85" s="616" t="str">
        <f t="shared" si="7"/>
        <v/>
      </c>
      <c r="S85" s="617"/>
      <c r="T85"/>
    </row>
    <row r="86" spans="1:20" ht="24" customHeight="1">
      <c r="A86" s="615">
        <f t="shared" si="6"/>
        <v>57</v>
      </c>
      <c r="B86" s="574"/>
      <c r="C86" s="575"/>
      <c r="D86" s="576"/>
      <c r="E86" s="577"/>
      <c r="F86" s="578"/>
      <c r="G86" s="1319"/>
      <c r="H86" s="1320"/>
      <c r="I86" s="1320"/>
      <c r="J86" s="1321"/>
      <c r="K86" s="1322"/>
      <c r="L86" s="1323"/>
      <c r="M86" s="579"/>
      <c r="N86" s="715"/>
      <c r="O86" s="579"/>
      <c r="P86" s="580"/>
      <c r="Q86" s="581"/>
      <c r="R86" s="616" t="str">
        <f t="shared" si="7"/>
        <v/>
      </c>
      <c r="S86" s="617"/>
      <c r="T86"/>
    </row>
    <row r="87" spans="1:20" ht="24" customHeight="1">
      <c r="A87" s="615">
        <f t="shared" si="6"/>
        <v>58</v>
      </c>
      <c r="B87" s="574"/>
      <c r="C87" s="575"/>
      <c r="D87" s="576"/>
      <c r="E87" s="577"/>
      <c r="F87" s="578"/>
      <c r="G87" s="1319"/>
      <c r="H87" s="1320"/>
      <c r="I87" s="1320"/>
      <c r="J87" s="1321"/>
      <c r="K87" s="1322"/>
      <c r="L87" s="1323"/>
      <c r="M87" s="579"/>
      <c r="N87" s="715"/>
      <c r="O87" s="579"/>
      <c r="P87" s="580"/>
      <c r="Q87" s="581"/>
      <c r="R87" s="616" t="str">
        <f t="shared" si="7"/>
        <v/>
      </c>
      <c r="S87" s="617"/>
      <c r="T87"/>
    </row>
    <row r="88" spans="1:20" ht="24" customHeight="1">
      <c r="A88" s="615">
        <f t="shared" si="6"/>
        <v>59</v>
      </c>
      <c r="B88" s="574"/>
      <c r="C88" s="575"/>
      <c r="D88" s="576"/>
      <c r="E88" s="577"/>
      <c r="F88" s="578"/>
      <c r="G88" s="1319"/>
      <c r="H88" s="1320"/>
      <c r="I88" s="1320"/>
      <c r="J88" s="1321"/>
      <c r="K88" s="1322"/>
      <c r="L88" s="1323"/>
      <c r="M88" s="579"/>
      <c r="N88" s="715"/>
      <c r="O88" s="579"/>
      <c r="P88" s="580"/>
      <c r="Q88" s="581"/>
      <c r="R88" s="616" t="str">
        <f t="shared" si="7"/>
        <v/>
      </c>
      <c r="S88" s="617"/>
      <c r="T88"/>
    </row>
    <row r="89" spans="1:20" ht="24" customHeight="1">
      <c r="A89" s="615">
        <f t="shared" si="6"/>
        <v>60</v>
      </c>
      <c r="B89" s="574"/>
      <c r="C89" s="575"/>
      <c r="D89" s="576"/>
      <c r="E89" s="577"/>
      <c r="F89" s="578"/>
      <c r="G89" s="1319"/>
      <c r="H89" s="1320"/>
      <c r="I89" s="1320"/>
      <c r="J89" s="1321"/>
      <c r="K89" s="1322"/>
      <c r="L89" s="1323"/>
      <c r="M89" s="579"/>
      <c r="N89" s="715"/>
      <c r="O89" s="579"/>
      <c r="P89" s="580"/>
      <c r="Q89" s="581"/>
      <c r="R89" s="616" t="str">
        <f t="shared" si="7"/>
        <v/>
      </c>
      <c r="S89" s="617"/>
      <c r="T89"/>
    </row>
    <row r="90" spans="1:20" ht="24" customHeight="1">
      <c r="A90" s="615">
        <f t="shared" si="6"/>
        <v>61</v>
      </c>
      <c r="B90" s="574"/>
      <c r="C90" s="575"/>
      <c r="D90" s="576"/>
      <c r="E90" s="577"/>
      <c r="F90" s="578"/>
      <c r="G90" s="1319"/>
      <c r="H90" s="1320"/>
      <c r="I90" s="1320"/>
      <c r="J90" s="1321"/>
      <c r="K90" s="1322"/>
      <c r="L90" s="1323"/>
      <c r="M90" s="579"/>
      <c r="N90" s="715"/>
      <c r="O90" s="579"/>
      <c r="P90" s="580"/>
      <c r="Q90" s="581"/>
      <c r="R90" s="616" t="str">
        <f t="shared" si="7"/>
        <v/>
      </c>
      <c r="S90" s="617"/>
      <c r="T90"/>
    </row>
    <row r="91" spans="1:20" ht="24" customHeight="1">
      <c r="A91" s="615">
        <f t="shared" si="6"/>
        <v>62</v>
      </c>
      <c r="B91" s="574"/>
      <c r="C91" s="575"/>
      <c r="D91" s="576"/>
      <c r="E91" s="577"/>
      <c r="F91" s="578"/>
      <c r="G91" s="1319"/>
      <c r="H91" s="1320"/>
      <c r="I91" s="1320"/>
      <c r="J91" s="1321"/>
      <c r="K91" s="1322"/>
      <c r="L91" s="1323"/>
      <c r="M91" s="579"/>
      <c r="N91" s="715"/>
      <c r="O91" s="579"/>
      <c r="P91" s="580"/>
      <c r="Q91" s="581"/>
      <c r="R91" s="616" t="str">
        <f t="shared" si="7"/>
        <v/>
      </c>
      <c r="S91" s="617"/>
      <c r="T91"/>
    </row>
    <row r="92" spans="1:20" ht="24" customHeight="1">
      <c r="A92" s="615">
        <f t="shared" si="6"/>
        <v>63</v>
      </c>
      <c r="B92" s="574"/>
      <c r="C92" s="575"/>
      <c r="D92" s="576"/>
      <c r="E92" s="577"/>
      <c r="F92" s="578"/>
      <c r="G92" s="1319"/>
      <c r="H92" s="1320"/>
      <c r="I92" s="1320"/>
      <c r="J92" s="1321"/>
      <c r="K92" s="1322"/>
      <c r="L92" s="1323"/>
      <c r="M92" s="579"/>
      <c r="N92" s="715"/>
      <c r="O92" s="579"/>
      <c r="P92" s="580"/>
      <c r="Q92" s="581"/>
      <c r="R92" s="616" t="str">
        <f t="shared" si="7"/>
        <v/>
      </c>
      <c r="S92" s="617"/>
      <c r="T92"/>
    </row>
    <row r="93" spans="1:20" ht="24" customHeight="1">
      <c r="A93" s="615">
        <f t="shared" si="6"/>
        <v>64</v>
      </c>
      <c r="B93" s="574"/>
      <c r="C93" s="575"/>
      <c r="D93" s="576"/>
      <c r="E93" s="577"/>
      <c r="F93" s="578"/>
      <c r="G93" s="1319"/>
      <c r="H93" s="1320"/>
      <c r="I93" s="1320"/>
      <c r="J93" s="1321"/>
      <c r="K93" s="1322"/>
      <c r="L93" s="1323"/>
      <c r="M93" s="579"/>
      <c r="N93" s="715"/>
      <c r="O93" s="579"/>
      <c r="P93" s="580"/>
      <c r="Q93" s="581"/>
      <c r="R93" s="616" t="str">
        <f t="shared" si="7"/>
        <v/>
      </c>
      <c r="S93" s="617"/>
      <c r="T93"/>
    </row>
    <row r="94" spans="1:20" ht="24" customHeight="1">
      <c r="A94" s="615">
        <f t="shared" si="6"/>
        <v>65</v>
      </c>
      <c r="B94" s="574"/>
      <c r="C94" s="575"/>
      <c r="D94" s="576"/>
      <c r="E94" s="577"/>
      <c r="F94" s="578"/>
      <c r="G94" s="1319"/>
      <c r="H94" s="1320"/>
      <c r="I94" s="1320"/>
      <c r="J94" s="1321"/>
      <c r="K94" s="1322"/>
      <c r="L94" s="1323"/>
      <c r="M94" s="579"/>
      <c r="N94" s="715"/>
      <c r="O94" s="579"/>
      <c r="P94" s="580"/>
      <c r="Q94" s="581"/>
      <c r="R94" s="616" t="str">
        <f t="shared" si="7"/>
        <v/>
      </c>
      <c r="S94" s="617"/>
      <c r="T94"/>
    </row>
    <row r="95" spans="1:20" ht="24" customHeight="1">
      <c r="A95" s="615">
        <f t="shared" ref="A95:A129" si="8">ROW()-29</f>
        <v>66</v>
      </c>
      <c r="B95" s="574"/>
      <c r="C95" s="575"/>
      <c r="D95" s="576"/>
      <c r="E95" s="577"/>
      <c r="F95" s="578"/>
      <c r="G95" s="1319"/>
      <c r="H95" s="1320"/>
      <c r="I95" s="1320"/>
      <c r="J95" s="1321"/>
      <c r="K95" s="1322"/>
      <c r="L95" s="1323"/>
      <c r="M95" s="579"/>
      <c r="N95" s="715"/>
      <c r="O95" s="579"/>
      <c r="P95" s="580"/>
      <c r="Q95" s="581"/>
      <c r="R95" s="616" t="str">
        <f t="shared" si="7"/>
        <v/>
      </c>
      <c r="S95" s="617"/>
      <c r="T95"/>
    </row>
    <row r="96" spans="1:20" ht="24" customHeight="1">
      <c r="A96" s="615">
        <f t="shared" si="8"/>
        <v>67</v>
      </c>
      <c r="B96" s="574"/>
      <c r="C96" s="575"/>
      <c r="D96" s="576"/>
      <c r="E96" s="577"/>
      <c r="F96" s="578"/>
      <c r="G96" s="1319"/>
      <c r="H96" s="1320"/>
      <c r="I96" s="1320"/>
      <c r="J96" s="1321"/>
      <c r="K96" s="1322"/>
      <c r="L96" s="1323"/>
      <c r="M96" s="579"/>
      <c r="N96" s="715"/>
      <c r="O96" s="579"/>
      <c r="P96" s="580"/>
      <c r="Q96" s="581"/>
      <c r="R96" s="616" t="str">
        <f t="shared" si="7"/>
        <v/>
      </c>
      <c r="S96" s="617"/>
      <c r="T96"/>
    </row>
    <row r="97" spans="1:20" ht="24" customHeight="1">
      <c r="A97" s="615">
        <f t="shared" si="8"/>
        <v>68</v>
      </c>
      <c r="B97" s="574"/>
      <c r="C97" s="575"/>
      <c r="D97" s="576"/>
      <c r="E97" s="577"/>
      <c r="F97" s="578"/>
      <c r="G97" s="1319"/>
      <c r="H97" s="1320"/>
      <c r="I97" s="1320"/>
      <c r="J97" s="1321"/>
      <c r="K97" s="1322"/>
      <c r="L97" s="1323"/>
      <c r="M97" s="579"/>
      <c r="N97" s="715"/>
      <c r="O97" s="579"/>
      <c r="P97" s="580"/>
      <c r="Q97" s="581"/>
      <c r="R97" s="616" t="str">
        <f t="shared" si="7"/>
        <v/>
      </c>
      <c r="S97" s="617"/>
      <c r="T97"/>
    </row>
    <row r="98" spans="1:20" ht="24" customHeight="1">
      <c r="A98" s="615">
        <f t="shared" si="8"/>
        <v>69</v>
      </c>
      <c r="B98" s="574"/>
      <c r="C98" s="575"/>
      <c r="D98" s="576"/>
      <c r="E98" s="577"/>
      <c r="F98" s="578"/>
      <c r="G98" s="1319"/>
      <c r="H98" s="1320"/>
      <c r="I98" s="1320"/>
      <c r="J98" s="1321"/>
      <c r="K98" s="1322"/>
      <c r="L98" s="1323"/>
      <c r="M98" s="579"/>
      <c r="N98" s="715"/>
      <c r="O98" s="579"/>
      <c r="P98" s="580"/>
      <c r="Q98" s="581"/>
      <c r="R98" s="616" t="str">
        <f t="shared" si="7"/>
        <v/>
      </c>
      <c r="S98" s="617"/>
      <c r="T98"/>
    </row>
    <row r="99" spans="1:20" ht="24" customHeight="1">
      <c r="A99" s="615">
        <f t="shared" si="8"/>
        <v>70</v>
      </c>
      <c r="B99" s="574"/>
      <c r="C99" s="575"/>
      <c r="D99" s="576"/>
      <c r="E99" s="577"/>
      <c r="F99" s="578"/>
      <c r="G99" s="1319"/>
      <c r="H99" s="1320"/>
      <c r="I99" s="1320"/>
      <c r="J99" s="1321"/>
      <c r="K99" s="1322"/>
      <c r="L99" s="1323"/>
      <c r="M99" s="579"/>
      <c r="N99" s="715"/>
      <c r="O99" s="579"/>
      <c r="P99" s="580"/>
      <c r="Q99" s="581"/>
      <c r="R99" s="616" t="str">
        <f t="shared" si="7"/>
        <v/>
      </c>
      <c r="S99" s="617"/>
      <c r="T99"/>
    </row>
    <row r="100" spans="1:20" ht="24" customHeight="1">
      <c r="A100" s="615">
        <f t="shared" si="8"/>
        <v>71</v>
      </c>
      <c r="B100" s="574"/>
      <c r="C100" s="575"/>
      <c r="D100" s="576"/>
      <c r="E100" s="577"/>
      <c r="F100" s="578"/>
      <c r="G100" s="1319"/>
      <c r="H100" s="1320"/>
      <c r="I100" s="1320"/>
      <c r="J100" s="1321"/>
      <c r="K100" s="1322"/>
      <c r="L100" s="1323"/>
      <c r="M100" s="579"/>
      <c r="N100" s="715"/>
      <c r="O100" s="579"/>
      <c r="P100" s="580"/>
      <c r="Q100" s="581"/>
      <c r="R100" s="616" t="str">
        <f t="shared" si="7"/>
        <v/>
      </c>
      <c r="S100" s="617"/>
      <c r="T100"/>
    </row>
    <row r="101" spans="1:20" ht="24" customHeight="1">
      <c r="A101" s="615">
        <f t="shared" si="8"/>
        <v>72</v>
      </c>
      <c r="B101" s="574"/>
      <c r="C101" s="575"/>
      <c r="D101" s="576"/>
      <c r="E101" s="577"/>
      <c r="F101" s="578"/>
      <c r="G101" s="1319"/>
      <c r="H101" s="1320"/>
      <c r="I101" s="1320"/>
      <c r="J101" s="1321"/>
      <c r="K101" s="1322"/>
      <c r="L101" s="1323"/>
      <c r="M101" s="579"/>
      <c r="N101" s="715"/>
      <c r="O101" s="579"/>
      <c r="P101" s="580"/>
      <c r="Q101" s="581"/>
      <c r="R101" s="616" t="str">
        <f t="shared" si="7"/>
        <v/>
      </c>
      <c r="S101" s="617"/>
      <c r="T101"/>
    </row>
    <row r="102" spans="1:20" ht="24" customHeight="1">
      <c r="A102" s="615">
        <f t="shared" si="8"/>
        <v>73</v>
      </c>
      <c r="B102" s="574"/>
      <c r="C102" s="575"/>
      <c r="D102" s="576"/>
      <c r="E102" s="577"/>
      <c r="F102" s="578"/>
      <c r="G102" s="1319"/>
      <c r="H102" s="1320"/>
      <c r="I102" s="1320"/>
      <c r="J102" s="1321"/>
      <c r="K102" s="1322"/>
      <c r="L102" s="1323"/>
      <c r="M102" s="579"/>
      <c r="N102" s="715"/>
      <c r="O102" s="579"/>
      <c r="P102" s="580"/>
      <c r="Q102" s="581"/>
      <c r="R102" s="616" t="str">
        <f t="shared" si="7"/>
        <v/>
      </c>
      <c r="S102" s="617"/>
      <c r="T102"/>
    </row>
    <row r="103" spans="1:20" ht="24" customHeight="1">
      <c r="A103" s="615">
        <f t="shared" si="8"/>
        <v>74</v>
      </c>
      <c r="B103" s="574"/>
      <c r="C103" s="575"/>
      <c r="D103" s="576"/>
      <c r="E103" s="577"/>
      <c r="F103" s="578"/>
      <c r="G103" s="1319"/>
      <c r="H103" s="1320"/>
      <c r="I103" s="1320"/>
      <c r="J103" s="1321"/>
      <c r="K103" s="1322"/>
      <c r="L103" s="1323"/>
      <c r="M103" s="579"/>
      <c r="N103" s="715"/>
      <c r="O103" s="579"/>
      <c r="P103" s="580"/>
      <c r="Q103" s="581"/>
      <c r="R103" s="616" t="str">
        <f t="shared" si="7"/>
        <v/>
      </c>
      <c r="S103" s="617"/>
      <c r="T103"/>
    </row>
    <row r="104" spans="1:20" ht="24" customHeight="1">
      <c r="A104" s="615">
        <f t="shared" si="8"/>
        <v>75</v>
      </c>
      <c r="B104" s="574"/>
      <c r="C104" s="575"/>
      <c r="D104" s="576"/>
      <c r="E104" s="577"/>
      <c r="F104" s="578"/>
      <c r="G104" s="1319"/>
      <c r="H104" s="1320"/>
      <c r="I104" s="1320"/>
      <c r="J104" s="1321"/>
      <c r="K104" s="1322"/>
      <c r="L104" s="1323"/>
      <c r="M104" s="579"/>
      <c r="N104" s="715"/>
      <c r="O104" s="579"/>
      <c r="P104" s="580"/>
      <c r="Q104" s="581"/>
      <c r="R104" s="616" t="str">
        <f t="shared" si="7"/>
        <v/>
      </c>
      <c r="S104" s="617"/>
      <c r="T104"/>
    </row>
    <row r="105" spans="1:20" ht="24" customHeight="1">
      <c r="A105" s="615">
        <f t="shared" si="8"/>
        <v>76</v>
      </c>
      <c r="B105" s="574"/>
      <c r="C105" s="575"/>
      <c r="D105" s="576"/>
      <c r="E105" s="577"/>
      <c r="F105" s="578"/>
      <c r="G105" s="1319"/>
      <c r="H105" s="1320"/>
      <c r="I105" s="1320"/>
      <c r="J105" s="1321"/>
      <c r="K105" s="1322"/>
      <c r="L105" s="1323"/>
      <c r="M105" s="579"/>
      <c r="N105" s="715"/>
      <c r="O105" s="579"/>
      <c r="P105" s="580"/>
      <c r="Q105" s="581"/>
      <c r="R105" s="616" t="str">
        <f t="shared" si="7"/>
        <v/>
      </c>
      <c r="S105" s="617"/>
      <c r="T105"/>
    </row>
    <row r="106" spans="1:20" ht="24" customHeight="1">
      <c r="A106" s="615">
        <f t="shared" si="8"/>
        <v>77</v>
      </c>
      <c r="B106" s="574"/>
      <c r="C106" s="575"/>
      <c r="D106" s="576"/>
      <c r="E106" s="577"/>
      <c r="F106" s="578"/>
      <c r="G106" s="1319"/>
      <c r="H106" s="1320"/>
      <c r="I106" s="1320"/>
      <c r="J106" s="1321"/>
      <c r="K106" s="1322"/>
      <c r="L106" s="1323"/>
      <c r="M106" s="579"/>
      <c r="N106" s="715"/>
      <c r="O106" s="579"/>
      <c r="P106" s="580"/>
      <c r="Q106" s="581"/>
      <c r="R106" s="616" t="str">
        <f t="shared" si="7"/>
        <v/>
      </c>
      <c r="S106" s="617"/>
      <c r="T106"/>
    </row>
    <row r="107" spans="1:20" ht="24" customHeight="1">
      <c r="A107" s="615">
        <f t="shared" si="8"/>
        <v>78</v>
      </c>
      <c r="B107" s="574"/>
      <c r="C107" s="575"/>
      <c r="D107" s="576"/>
      <c r="E107" s="577"/>
      <c r="F107" s="578"/>
      <c r="G107" s="1319"/>
      <c r="H107" s="1320"/>
      <c r="I107" s="1320"/>
      <c r="J107" s="1321"/>
      <c r="K107" s="1322"/>
      <c r="L107" s="1323"/>
      <c r="M107" s="579"/>
      <c r="N107" s="715"/>
      <c r="O107" s="579"/>
      <c r="P107" s="580"/>
      <c r="Q107" s="581"/>
      <c r="R107" s="616" t="str">
        <f t="shared" si="7"/>
        <v/>
      </c>
      <c r="S107" s="617"/>
      <c r="T107"/>
    </row>
    <row r="108" spans="1:20" ht="24" customHeight="1">
      <c r="A108" s="615">
        <f t="shared" si="8"/>
        <v>79</v>
      </c>
      <c r="B108" s="574"/>
      <c r="C108" s="575"/>
      <c r="D108" s="576"/>
      <c r="E108" s="577"/>
      <c r="F108" s="578"/>
      <c r="G108" s="1319"/>
      <c r="H108" s="1320"/>
      <c r="I108" s="1320"/>
      <c r="J108" s="1321"/>
      <c r="K108" s="1322"/>
      <c r="L108" s="1323"/>
      <c r="M108" s="579"/>
      <c r="N108" s="715"/>
      <c r="O108" s="579"/>
      <c r="P108" s="580"/>
      <c r="Q108" s="581"/>
      <c r="R108" s="616" t="str">
        <f t="shared" si="7"/>
        <v/>
      </c>
      <c r="S108" s="617"/>
      <c r="T108"/>
    </row>
    <row r="109" spans="1:20" ht="24" customHeight="1">
      <c r="A109" s="615">
        <f t="shared" si="8"/>
        <v>80</v>
      </c>
      <c r="B109" s="574"/>
      <c r="C109" s="575"/>
      <c r="D109" s="576"/>
      <c r="E109" s="577"/>
      <c r="F109" s="578"/>
      <c r="G109" s="1319"/>
      <c r="H109" s="1320"/>
      <c r="I109" s="1320"/>
      <c r="J109" s="1321"/>
      <c r="K109" s="1322"/>
      <c r="L109" s="1323"/>
      <c r="M109" s="579"/>
      <c r="N109" s="715"/>
      <c r="O109" s="579"/>
      <c r="P109" s="580"/>
      <c r="Q109" s="581"/>
      <c r="R109" s="616" t="str">
        <f t="shared" si="7"/>
        <v/>
      </c>
      <c r="S109" s="617"/>
      <c r="T109"/>
    </row>
    <row r="110" spans="1:20" ht="24" customHeight="1">
      <c r="A110" s="615">
        <f t="shared" si="8"/>
        <v>81</v>
      </c>
      <c r="B110" s="574"/>
      <c r="C110" s="575"/>
      <c r="D110" s="576"/>
      <c r="E110" s="577"/>
      <c r="F110" s="578"/>
      <c r="G110" s="1319"/>
      <c r="H110" s="1320"/>
      <c r="I110" s="1320"/>
      <c r="J110" s="1321"/>
      <c r="K110" s="1322"/>
      <c r="L110" s="1323"/>
      <c r="M110" s="579"/>
      <c r="N110" s="715"/>
      <c r="O110" s="579"/>
      <c r="P110" s="580"/>
      <c r="Q110" s="581"/>
      <c r="R110" s="616" t="str">
        <f t="shared" si="7"/>
        <v/>
      </c>
      <c r="S110" s="617"/>
      <c r="T110"/>
    </row>
    <row r="111" spans="1:20" ht="24" customHeight="1">
      <c r="A111" s="615">
        <f t="shared" si="8"/>
        <v>82</v>
      </c>
      <c r="B111" s="574"/>
      <c r="C111" s="575"/>
      <c r="D111" s="576"/>
      <c r="E111" s="577"/>
      <c r="F111" s="578"/>
      <c r="G111" s="1319"/>
      <c r="H111" s="1320"/>
      <c r="I111" s="1320"/>
      <c r="J111" s="1321"/>
      <c r="K111" s="1322"/>
      <c r="L111" s="1323"/>
      <c r="M111" s="579"/>
      <c r="N111" s="715"/>
      <c r="O111" s="579"/>
      <c r="P111" s="580"/>
      <c r="Q111" s="581"/>
      <c r="R111" s="616" t="str">
        <f t="shared" si="7"/>
        <v/>
      </c>
      <c r="S111" s="617"/>
      <c r="T111"/>
    </row>
    <row r="112" spans="1:20" ht="24" customHeight="1">
      <c r="A112" s="615">
        <f t="shared" si="8"/>
        <v>83</v>
      </c>
      <c r="B112" s="574"/>
      <c r="C112" s="575"/>
      <c r="D112" s="576"/>
      <c r="E112" s="577"/>
      <c r="F112" s="578"/>
      <c r="G112" s="1319"/>
      <c r="H112" s="1320"/>
      <c r="I112" s="1320"/>
      <c r="J112" s="1321"/>
      <c r="K112" s="1322"/>
      <c r="L112" s="1323"/>
      <c r="M112" s="579"/>
      <c r="N112" s="715"/>
      <c r="O112" s="579"/>
      <c r="P112" s="580"/>
      <c r="Q112" s="581"/>
      <c r="R112" s="616" t="str">
        <f t="shared" si="7"/>
        <v/>
      </c>
      <c r="S112" s="617"/>
      <c r="T112"/>
    </row>
    <row r="113" spans="1:20" ht="24" customHeight="1">
      <c r="A113" s="615">
        <f t="shared" si="8"/>
        <v>84</v>
      </c>
      <c r="B113" s="574"/>
      <c r="C113" s="575"/>
      <c r="D113" s="576"/>
      <c r="E113" s="577"/>
      <c r="F113" s="578"/>
      <c r="G113" s="1319"/>
      <c r="H113" s="1320"/>
      <c r="I113" s="1320"/>
      <c r="J113" s="1321"/>
      <c r="K113" s="1322"/>
      <c r="L113" s="1323"/>
      <c r="M113" s="579"/>
      <c r="N113" s="715"/>
      <c r="O113" s="579"/>
      <c r="P113" s="580"/>
      <c r="Q113" s="581"/>
      <c r="R113" s="616" t="str">
        <f t="shared" si="7"/>
        <v/>
      </c>
      <c r="S113" s="617"/>
      <c r="T113"/>
    </row>
    <row r="114" spans="1:20" ht="24" customHeight="1">
      <c r="A114" s="615">
        <f t="shared" si="8"/>
        <v>85</v>
      </c>
      <c r="B114" s="574"/>
      <c r="C114" s="575"/>
      <c r="D114" s="576"/>
      <c r="E114" s="577"/>
      <c r="F114" s="578"/>
      <c r="G114" s="1319"/>
      <c r="H114" s="1320"/>
      <c r="I114" s="1320"/>
      <c r="J114" s="1321"/>
      <c r="K114" s="1322"/>
      <c r="L114" s="1323"/>
      <c r="M114" s="579"/>
      <c r="N114" s="715"/>
      <c r="O114" s="579"/>
      <c r="P114" s="580"/>
      <c r="Q114" s="581"/>
      <c r="R114" s="616" t="str">
        <f t="shared" ref="R114:R128" si="9">IF(B114="","",SUM(N114:Q114))</f>
        <v/>
      </c>
      <c r="S114" s="617"/>
      <c r="T114"/>
    </row>
    <row r="115" spans="1:20" ht="24" customHeight="1">
      <c r="A115" s="615">
        <f t="shared" si="8"/>
        <v>86</v>
      </c>
      <c r="B115" s="574"/>
      <c r="C115" s="575"/>
      <c r="D115" s="576"/>
      <c r="E115" s="577"/>
      <c r="F115" s="578"/>
      <c r="G115" s="1319"/>
      <c r="H115" s="1320"/>
      <c r="I115" s="1320"/>
      <c r="J115" s="1321"/>
      <c r="K115" s="1322"/>
      <c r="L115" s="1323"/>
      <c r="M115" s="579"/>
      <c r="N115" s="715"/>
      <c r="O115" s="579"/>
      <c r="P115" s="580"/>
      <c r="Q115" s="581"/>
      <c r="R115" s="616" t="str">
        <f t="shared" si="9"/>
        <v/>
      </c>
      <c r="S115" s="617"/>
      <c r="T115"/>
    </row>
    <row r="116" spans="1:20" ht="24" customHeight="1">
      <c r="A116" s="615">
        <f t="shared" si="8"/>
        <v>87</v>
      </c>
      <c r="B116" s="574"/>
      <c r="C116" s="575"/>
      <c r="D116" s="576"/>
      <c r="E116" s="577"/>
      <c r="F116" s="578"/>
      <c r="G116" s="1319"/>
      <c r="H116" s="1320"/>
      <c r="I116" s="1320"/>
      <c r="J116" s="1321"/>
      <c r="K116" s="1322"/>
      <c r="L116" s="1323"/>
      <c r="M116" s="579"/>
      <c r="N116" s="715"/>
      <c r="O116" s="579"/>
      <c r="P116" s="580"/>
      <c r="Q116" s="581"/>
      <c r="R116" s="616" t="str">
        <f t="shared" si="9"/>
        <v/>
      </c>
      <c r="S116" s="617"/>
      <c r="T116"/>
    </row>
    <row r="117" spans="1:20" ht="24" customHeight="1">
      <c r="A117" s="615">
        <f t="shared" si="8"/>
        <v>88</v>
      </c>
      <c r="B117" s="574"/>
      <c r="C117" s="575"/>
      <c r="D117" s="576"/>
      <c r="E117" s="577"/>
      <c r="F117" s="578"/>
      <c r="G117" s="1319"/>
      <c r="H117" s="1320"/>
      <c r="I117" s="1320"/>
      <c r="J117" s="1321"/>
      <c r="K117" s="1322"/>
      <c r="L117" s="1323"/>
      <c r="M117" s="579"/>
      <c r="N117" s="715"/>
      <c r="O117" s="579"/>
      <c r="P117" s="580"/>
      <c r="Q117" s="581"/>
      <c r="R117" s="616" t="str">
        <f t="shared" si="9"/>
        <v/>
      </c>
      <c r="S117" s="617"/>
      <c r="T117"/>
    </row>
    <row r="118" spans="1:20" ht="24" customHeight="1">
      <c r="A118" s="615">
        <f t="shared" si="8"/>
        <v>89</v>
      </c>
      <c r="B118" s="574"/>
      <c r="C118" s="575"/>
      <c r="D118" s="576"/>
      <c r="E118" s="577"/>
      <c r="F118" s="578"/>
      <c r="G118" s="1319"/>
      <c r="H118" s="1320"/>
      <c r="I118" s="1320"/>
      <c r="J118" s="1321"/>
      <c r="K118" s="1322"/>
      <c r="L118" s="1323"/>
      <c r="M118" s="579"/>
      <c r="N118" s="715"/>
      <c r="O118" s="579"/>
      <c r="P118" s="580"/>
      <c r="Q118" s="581"/>
      <c r="R118" s="616" t="str">
        <f t="shared" si="9"/>
        <v/>
      </c>
      <c r="S118" s="617"/>
      <c r="T118"/>
    </row>
    <row r="119" spans="1:20" ht="24" customHeight="1">
      <c r="A119" s="615">
        <f t="shared" si="8"/>
        <v>90</v>
      </c>
      <c r="B119" s="574"/>
      <c r="C119" s="575"/>
      <c r="D119" s="576"/>
      <c r="E119" s="577"/>
      <c r="F119" s="578"/>
      <c r="G119" s="1319"/>
      <c r="H119" s="1320"/>
      <c r="I119" s="1320"/>
      <c r="J119" s="1321"/>
      <c r="K119" s="1322"/>
      <c r="L119" s="1323"/>
      <c r="M119" s="579"/>
      <c r="N119" s="715"/>
      <c r="O119" s="579"/>
      <c r="P119" s="580"/>
      <c r="Q119" s="581"/>
      <c r="R119" s="616" t="str">
        <f t="shared" si="9"/>
        <v/>
      </c>
      <c r="S119" s="617"/>
      <c r="T119"/>
    </row>
    <row r="120" spans="1:20" ht="24" customHeight="1">
      <c r="A120" s="615">
        <f t="shared" si="8"/>
        <v>91</v>
      </c>
      <c r="B120" s="574"/>
      <c r="C120" s="575"/>
      <c r="D120" s="576"/>
      <c r="E120" s="577"/>
      <c r="F120" s="578"/>
      <c r="G120" s="1319"/>
      <c r="H120" s="1320"/>
      <c r="I120" s="1320"/>
      <c r="J120" s="1321"/>
      <c r="K120" s="1322"/>
      <c r="L120" s="1323"/>
      <c r="M120" s="579"/>
      <c r="N120" s="715"/>
      <c r="O120" s="579"/>
      <c r="P120" s="580"/>
      <c r="Q120" s="581"/>
      <c r="R120" s="616" t="str">
        <f t="shared" si="9"/>
        <v/>
      </c>
      <c r="S120" s="617"/>
      <c r="T120"/>
    </row>
    <row r="121" spans="1:20" ht="24" customHeight="1">
      <c r="A121" s="615">
        <f t="shared" si="8"/>
        <v>92</v>
      </c>
      <c r="B121" s="574"/>
      <c r="C121" s="575"/>
      <c r="D121" s="576"/>
      <c r="E121" s="577"/>
      <c r="F121" s="578"/>
      <c r="G121" s="1319"/>
      <c r="H121" s="1320"/>
      <c r="I121" s="1320"/>
      <c r="J121" s="1321"/>
      <c r="K121" s="1322"/>
      <c r="L121" s="1323"/>
      <c r="M121" s="579"/>
      <c r="N121" s="715"/>
      <c r="O121" s="579"/>
      <c r="P121" s="580"/>
      <c r="Q121" s="581"/>
      <c r="R121" s="616" t="str">
        <f t="shared" si="9"/>
        <v/>
      </c>
      <c r="S121" s="617"/>
      <c r="T121"/>
    </row>
    <row r="122" spans="1:20" ht="24" customHeight="1">
      <c r="A122" s="615">
        <f t="shared" si="8"/>
        <v>93</v>
      </c>
      <c r="B122" s="574"/>
      <c r="C122" s="575"/>
      <c r="D122" s="576"/>
      <c r="E122" s="577"/>
      <c r="F122" s="578"/>
      <c r="G122" s="1319"/>
      <c r="H122" s="1320"/>
      <c r="I122" s="1320"/>
      <c r="J122" s="1321"/>
      <c r="K122" s="1322"/>
      <c r="L122" s="1323"/>
      <c r="M122" s="579"/>
      <c r="N122" s="715"/>
      <c r="O122" s="579"/>
      <c r="P122" s="580"/>
      <c r="Q122" s="581"/>
      <c r="R122" s="616" t="str">
        <f t="shared" si="9"/>
        <v/>
      </c>
      <c r="S122" s="617"/>
      <c r="T122"/>
    </row>
    <row r="123" spans="1:20" ht="24" customHeight="1">
      <c r="A123" s="615">
        <f t="shared" si="8"/>
        <v>94</v>
      </c>
      <c r="B123" s="574"/>
      <c r="C123" s="575"/>
      <c r="D123" s="576"/>
      <c r="E123" s="577"/>
      <c r="F123" s="578"/>
      <c r="G123" s="1319"/>
      <c r="H123" s="1320"/>
      <c r="I123" s="1320"/>
      <c r="J123" s="1321"/>
      <c r="K123" s="1322"/>
      <c r="L123" s="1323"/>
      <c r="M123" s="579"/>
      <c r="N123" s="715"/>
      <c r="O123" s="579"/>
      <c r="P123" s="580"/>
      <c r="Q123" s="581"/>
      <c r="R123" s="616" t="str">
        <f t="shared" si="9"/>
        <v/>
      </c>
      <c r="S123" s="617"/>
      <c r="T123"/>
    </row>
    <row r="124" spans="1:20" ht="24" customHeight="1">
      <c r="A124" s="615">
        <f t="shared" si="8"/>
        <v>95</v>
      </c>
      <c r="B124" s="574"/>
      <c r="C124" s="575"/>
      <c r="D124" s="576"/>
      <c r="E124" s="577"/>
      <c r="F124" s="578"/>
      <c r="G124" s="1319"/>
      <c r="H124" s="1320"/>
      <c r="I124" s="1320"/>
      <c r="J124" s="1321"/>
      <c r="K124" s="1322"/>
      <c r="L124" s="1323"/>
      <c r="M124" s="579"/>
      <c r="N124" s="715"/>
      <c r="O124" s="579"/>
      <c r="P124" s="580"/>
      <c r="Q124" s="581"/>
      <c r="R124" s="616" t="str">
        <f t="shared" si="9"/>
        <v/>
      </c>
      <c r="S124" s="617"/>
      <c r="T124"/>
    </row>
    <row r="125" spans="1:20" ht="24" customHeight="1">
      <c r="A125" s="615">
        <f t="shared" si="8"/>
        <v>96</v>
      </c>
      <c r="B125" s="574"/>
      <c r="C125" s="575"/>
      <c r="D125" s="576"/>
      <c r="E125" s="577"/>
      <c r="F125" s="578"/>
      <c r="G125" s="1319"/>
      <c r="H125" s="1320"/>
      <c r="I125" s="1320"/>
      <c r="J125" s="1321"/>
      <c r="K125" s="1322"/>
      <c r="L125" s="1323"/>
      <c r="M125" s="579"/>
      <c r="N125" s="715"/>
      <c r="O125" s="579"/>
      <c r="P125" s="580"/>
      <c r="Q125" s="581"/>
      <c r="R125" s="616" t="str">
        <f t="shared" si="9"/>
        <v/>
      </c>
      <c r="S125" s="617"/>
      <c r="T125"/>
    </row>
    <row r="126" spans="1:20" ht="24" customHeight="1">
      <c r="A126" s="615">
        <f t="shared" si="8"/>
        <v>97</v>
      </c>
      <c r="B126" s="574"/>
      <c r="C126" s="575"/>
      <c r="D126" s="576"/>
      <c r="E126" s="577"/>
      <c r="F126" s="578"/>
      <c r="G126" s="1319"/>
      <c r="H126" s="1320"/>
      <c r="I126" s="1320"/>
      <c r="J126" s="1321"/>
      <c r="K126" s="1322"/>
      <c r="L126" s="1323"/>
      <c r="M126" s="579"/>
      <c r="N126" s="715"/>
      <c r="O126" s="579"/>
      <c r="P126" s="580"/>
      <c r="Q126" s="581"/>
      <c r="R126" s="616" t="str">
        <f t="shared" si="9"/>
        <v/>
      </c>
      <c r="S126" s="617"/>
      <c r="T126"/>
    </row>
    <row r="127" spans="1:20" ht="24" customHeight="1">
      <c r="A127" s="615">
        <f t="shared" si="8"/>
        <v>98</v>
      </c>
      <c r="B127" s="574"/>
      <c r="C127" s="575"/>
      <c r="D127" s="576"/>
      <c r="E127" s="577"/>
      <c r="F127" s="578"/>
      <c r="G127" s="1319"/>
      <c r="H127" s="1320"/>
      <c r="I127" s="1320"/>
      <c r="J127" s="1321"/>
      <c r="K127" s="1322"/>
      <c r="L127" s="1323"/>
      <c r="M127" s="579"/>
      <c r="N127" s="715"/>
      <c r="O127" s="579"/>
      <c r="P127" s="580"/>
      <c r="Q127" s="581"/>
      <c r="R127" s="616" t="str">
        <f t="shared" si="9"/>
        <v/>
      </c>
      <c r="S127" s="617"/>
      <c r="T127"/>
    </row>
    <row r="128" spans="1:20" ht="24" customHeight="1">
      <c r="A128" s="615">
        <f t="shared" si="8"/>
        <v>99</v>
      </c>
      <c r="B128" s="574"/>
      <c r="C128" s="575"/>
      <c r="D128" s="576"/>
      <c r="E128" s="577"/>
      <c r="F128" s="578"/>
      <c r="G128" s="1319"/>
      <c r="H128" s="1320"/>
      <c r="I128" s="1320"/>
      <c r="J128" s="1321"/>
      <c r="K128" s="1322"/>
      <c r="L128" s="1323"/>
      <c r="M128" s="579"/>
      <c r="N128" s="715"/>
      <c r="O128" s="579"/>
      <c r="P128" s="580"/>
      <c r="Q128" s="581"/>
      <c r="R128" s="616" t="str">
        <f t="shared" si="9"/>
        <v/>
      </c>
      <c r="S128" s="617"/>
      <c r="T128"/>
    </row>
    <row r="129" spans="1:20" ht="24" customHeight="1" thickBot="1">
      <c r="A129" s="615">
        <f t="shared" si="8"/>
        <v>100</v>
      </c>
      <c r="B129" s="600"/>
      <c r="C129" s="601"/>
      <c r="D129" s="602"/>
      <c r="E129" s="603"/>
      <c r="F129" s="604"/>
      <c r="G129" s="1324"/>
      <c r="H129" s="1325"/>
      <c r="I129" s="1325"/>
      <c r="J129" s="1326"/>
      <c r="K129" s="1327"/>
      <c r="L129" s="1328"/>
      <c r="M129" s="599"/>
      <c r="N129" s="716"/>
      <c r="O129" s="599"/>
      <c r="P129" s="585"/>
      <c r="Q129" s="586"/>
      <c r="R129" s="619" t="str">
        <f>IF(B129="","",SUM(N129:Q129))</f>
        <v/>
      </c>
      <c r="S129" s="620"/>
      <c r="T129"/>
    </row>
  </sheetData>
  <mergeCells count="274">
    <mergeCell ref="B1:E2"/>
    <mergeCell ref="O1:O2"/>
    <mergeCell ref="P1:P2"/>
    <mergeCell ref="R1:R2"/>
    <mergeCell ref="G3:M3"/>
    <mergeCell ref="P4:S4"/>
    <mergeCell ref="N10:S10"/>
    <mergeCell ref="B11:J11"/>
    <mergeCell ref="K11:M11"/>
    <mergeCell ref="N11:S11"/>
    <mergeCell ref="P5:Q5"/>
    <mergeCell ref="R5:S5"/>
    <mergeCell ref="P6:Q8"/>
    <mergeCell ref="R6:S8"/>
    <mergeCell ref="B7:C8"/>
    <mergeCell ref="D7:D8"/>
    <mergeCell ref="E7:F8"/>
    <mergeCell ref="G7:G8"/>
    <mergeCell ref="B13:G13"/>
    <mergeCell ref="B14:C14"/>
    <mergeCell ref="D14:E14"/>
    <mergeCell ref="F14:G14"/>
    <mergeCell ref="B15:C15"/>
    <mergeCell ref="D15:E15"/>
    <mergeCell ref="F15:G15"/>
    <mergeCell ref="B10:J10"/>
    <mergeCell ref="K10:M10"/>
    <mergeCell ref="B18:C18"/>
    <mergeCell ref="D18:E18"/>
    <mergeCell ref="F18:G18"/>
    <mergeCell ref="B19:C19"/>
    <mergeCell ref="D19:E19"/>
    <mergeCell ref="F19:G19"/>
    <mergeCell ref="B16:C16"/>
    <mergeCell ref="D16:E16"/>
    <mergeCell ref="F16:G16"/>
    <mergeCell ref="B17:C17"/>
    <mergeCell ref="D17:E17"/>
    <mergeCell ref="F17:G17"/>
    <mergeCell ref="I21:J21"/>
    <mergeCell ref="K21:S21"/>
    <mergeCell ref="B22:C22"/>
    <mergeCell ref="D22:E22"/>
    <mergeCell ref="F22:G22"/>
    <mergeCell ref="I22:J22"/>
    <mergeCell ref="K22:S22"/>
    <mergeCell ref="B20:C20"/>
    <mergeCell ref="D20:E20"/>
    <mergeCell ref="F20:G20"/>
    <mergeCell ref="B21:C21"/>
    <mergeCell ref="D21:E21"/>
    <mergeCell ref="F21:G21"/>
    <mergeCell ref="B23:C23"/>
    <mergeCell ref="D23:E23"/>
    <mergeCell ref="F23:G23"/>
    <mergeCell ref="I23:J23"/>
    <mergeCell ref="K23:S23"/>
    <mergeCell ref="B24:C24"/>
    <mergeCell ref="D24:E24"/>
    <mergeCell ref="F24:G24"/>
    <mergeCell ref="I24:J24"/>
    <mergeCell ref="K24:S24"/>
    <mergeCell ref="B25:C25"/>
    <mergeCell ref="D25:E25"/>
    <mergeCell ref="F25:G25"/>
    <mergeCell ref="I25:J25"/>
    <mergeCell ref="K25:S25"/>
    <mergeCell ref="B28:B29"/>
    <mergeCell ref="C28:F28"/>
    <mergeCell ref="G28:J29"/>
    <mergeCell ref="K28:L29"/>
    <mergeCell ref="M28:R28"/>
    <mergeCell ref="G32:J32"/>
    <mergeCell ref="K32:L32"/>
    <mergeCell ref="G33:J33"/>
    <mergeCell ref="K33:L33"/>
    <mergeCell ref="G34:J34"/>
    <mergeCell ref="K34:L34"/>
    <mergeCell ref="M29:N29"/>
    <mergeCell ref="O29:P29"/>
    <mergeCell ref="G30:J30"/>
    <mergeCell ref="K30:L30"/>
    <mergeCell ref="G31:J31"/>
    <mergeCell ref="K31:L31"/>
    <mergeCell ref="G38:J38"/>
    <mergeCell ref="K38:L38"/>
    <mergeCell ref="G39:J39"/>
    <mergeCell ref="K39:L39"/>
    <mergeCell ref="G40:J40"/>
    <mergeCell ref="K40:L40"/>
    <mergeCell ref="G35:J35"/>
    <mergeCell ref="K35:L35"/>
    <mergeCell ref="G36:J36"/>
    <mergeCell ref="K36:L36"/>
    <mergeCell ref="G37:J37"/>
    <mergeCell ref="K37:L37"/>
    <mergeCell ref="G44:J44"/>
    <mergeCell ref="K44:L44"/>
    <mergeCell ref="G45:J45"/>
    <mergeCell ref="K45:L45"/>
    <mergeCell ref="G46:J46"/>
    <mergeCell ref="K46:L46"/>
    <mergeCell ref="G41:J41"/>
    <mergeCell ref="K41:L41"/>
    <mergeCell ref="G42:J42"/>
    <mergeCell ref="K42:L42"/>
    <mergeCell ref="G43:J43"/>
    <mergeCell ref="K43:L43"/>
    <mergeCell ref="G50:J50"/>
    <mergeCell ref="K50:L50"/>
    <mergeCell ref="G51:J51"/>
    <mergeCell ref="K51:L51"/>
    <mergeCell ref="G52:J52"/>
    <mergeCell ref="K52:L52"/>
    <mergeCell ref="G47:J47"/>
    <mergeCell ref="K47:L47"/>
    <mergeCell ref="G48:J48"/>
    <mergeCell ref="K48:L48"/>
    <mergeCell ref="G49:J49"/>
    <mergeCell ref="K49:L49"/>
    <mergeCell ref="G56:J56"/>
    <mergeCell ref="K56:L56"/>
    <mergeCell ref="G57:J57"/>
    <mergeCell ref="K57:L57"/>
    <mergeCell ref="G58:J58"/>
    <mergeCell ref="K58:L58"/>
    <mergeCell ref="G53:J53"/>
    <mergeCell ref="K53:L53"/>
    <mergeCell ref="G54:J54"/>
    <mergeCell ref="K54:L54"/>
    <mergeCell ref="G55:J55"/>
    <mergeCell ref="K55:L55"/>
    <mergeCell ref="G62:J62"/>
    <mergeCell ref="K62:L62"/>
    <mergeCell ref="G63:J63"/>
    <mergeCell ref="K63:L63"/>
    <mergeCell ref="G64:J64"/>
    <mergeCell ref="K64:L64"/>
    <mergeCell ref="G59:J59"/>
    <mergeCell ref="K59:L59"/>
    <mergeCell ref="G60:J60"/>
    <mergeCell ref="K60:L60"/>
    <mergeCell ref="G61:J61"/>
    <mergeCell ref="K61:L61"/>
    <mergeCell ref="G68:J68"/>
    <mergeCell ref="K68:L68"/>
    <mergeCell ref="G69:J69"/>
    <mergeCell ref="K69:L69"/>
    <mergeCell ref="G70:J70"/>
    <mergeCell ref="K70:L70"/>
    <mergeCell ref="G65:J65"/>
    <mergeCell ref="K65:L65"/>
    <mergeCell ref="G66:J66"/>
    <mergeCell ref="K66:L66"/>
    <mergeCell ref="G67:J67"/>
    <mergeCell ref="K67:L67"/>
    <mergeCell ref="G74:J74"/>
    <mergeCell ref="K74:L74"/>
    <mergeCell ref="G75:J75"/>
    <mergeCell ref="K75:L75"/>
    <mergeCell ref="G76:J76"/>
    <mergeCell ref="K76:L76"/>
    <mergeCell ref="G71:J71"/>
    <mergeCell ref="K71:L71"/>
    <mergeCell ref="G72:J72"/>
    <mergeCell ref="K72:L72"/>
    <mergeCell ref="G73:J73"/>
    <mergeCell ref="K73:L73"/>
    <mergeCell ref="G80:J80"/>
    <mergeCell ref="K80:L80"/>
    <mergeCell ref="G81:J81"/>
    <mergeCell ref="K81:L81"/>
    <mergeCell ref="G82:J82"/>
    <mergeCell ref="K82:L82"/>
    <mergeCell ref="G77:J77"/>
    <mergeCell ref="K77:L77"/>
    <mergeCell ref="G78:J78"/>
    <mergeCell ref="K78:L78"/>
    <mergeCell ref="G79:J79"/>
    <mergeCell ref="K79:L79"/>
    <mergeCell ref="G86:J86"/>
    <mergeCell ref="K86:L86"/>
    <mergeCell ref="G87:J87"/>
    <mergeCell ref="K87:L87"/>
    <mergeCell ref="G88:J88"/>
    <mergeCell ref="K88:L88"/>
    <mergeCell ref="G83:J83"/>
    <mergeCell ref="K83:L83"/>
    <mergeCell ref="G84:J84"/>
    <mergeCell ref="K84:L84"/>
    <mergeCell ref="G85:J85"/>
    <mergeCell ref="K85:L85"/>
    <mergeCell ref="G92:J92"/>
    <mergeCell ref="K92:L92"/>
    <mergeCell ref="G93:J93"/>
    <mergeCell ref="K93:L93"/>
    <mergeCell ref="G94:J94"/>
    <mergeCell ref="K94:L94"/>
    <mergeCell ref="G89:J89"/>
    <mergeCell ref="K89:L89"/>
    <mergeCell ref="G90:J90"/>
    <mergeCell ref="K90:L90"/>
    <mergeCell ref="G91:J91"/>
    <mergeCell ref="K91:L91"/>
    <mergeCell ref="G98:J98"/>
    <mergeCell ref="K98:L98"/>
    <mergeCell ref="G99:J99"/>
    <mergeCell ref="K99:L99"/>
    <mergeCell ref="G100:J100"/>
    <mergeCell ref="K100:L100"/>
    <mergeCell ref="G95:J95"/>
    <mergeCell ref="K95:L95"/>
    <mergeCell ref="G96:J96"/>
    <mergeCell ref="K96:L96"/>
    <mergeCell ref="G97:J97"/>
    <mergeCell ref="K97:L97"/>
    <mergeCell ref="G104:J104"/>
    <mergeCell ref="K104:L104"/>
    <mergeCell ref="G105:J105"/>
    <mergeCell ref="K105:L105"/>
    <mergeCell ref="G106:J106"/>
    <mergeCell ref="K106:L106"/>
    <mergeCell ref="G101:J101"/>
    <mergeCell ref="K101:L101"/>
    <mergeCell ref="G102:J102"/>
    <mergeCell ref="K102:L102"/>
    <mergeCell ref="G103:J103"/>
    <mergeCell ref="K103:L103"/>
    <mergeCell ref="G110:J110"/>
    <mergeCell ref="K110:L110"/>
    <mergeCell ref="G111:J111"/>
    <mergeCell ref="K111:L111"/>
    <mergeCell ref="G112:J112"/>
    <mergeCell ref="K112:L112"/>
    <mergeCell ref="G107:J107"/>
    <mergeCell ref="K107:L107"/>
    <mergeCell ref="G108:J108"/>
    <mergeCell ref="K108:L108"/>
    <mergeCell ref="G109:J109"/>
    <mergeCell ref="K109:L109"/>
    <mergeCell ref="G116:J116"/>
    <mergeCell ref="K116:L116"/>
    <mergeCell ref="G117:J117"/>
    <mergeCell ref="K117:L117"/>
    <mergeCell ref="G118:J118"/>
    <mergeCell ref="K118:L118"/>
    <mergeCell ref="G113:J113"/>
    <mergeCell ref="K113:L113"/>
    <mergeCell ref="G114:J114"/>
    <mergeCell ref="K114:L114"/>
    <mergeCell ref="G115:J115"/>
    <mergeCell ref="K115:L115"/>
    <mergeCell ref="G122:J122"/>
    <mergeCell ref="K122:L122"/>
    <mergeCell ref="G123:J123"/>
    <mergeCell ref="K123:L123"/>
    <mergeCell ref="G124:J124"/>
    <mergeCell ref="K124:L124"/>
    <mergeCell ref="G119:J119"/>
    <mergeCell ref="K119:L119"/>
    <mergeCell ref="G120:J120"/>
    <mergeCell ref="K120:L120"/>
    <mergeCell ref="G121:J121"/>
    <mergeCell ref="K121:L121"/>
    <mergeCell ref="G128:J128"/>
    <mergeCell ref="K128:L128"/>
    <mergeCell ref="G129:J129"/>
    <mergeCell ref="K129:L129"/>
    <mergeCell ref="G125:J125"/>
    <mergeCell ref="K125:L125"/>
    <mergeCell ref="G126:J126"/>
    <mergeCell ref="K126:L126"/>
    <mergeCell ref="G127:J127"/>
    <mergeCell ref="K127:L127"/>
  </mergeCells>
  <phoneticPr fontId="2"/>
  <dataValidations count="4">
    <dataValidation type="list" allowBlank="1" showInputMessage="1" showErrorMessage="1" sqref="WVV982962:WVV982978 O30:O129 WVW30:WVW129 WMA30:WMA129 JK30:JK129 TG30:TG129 ADC30:ADC129 AMY30:AMY129 AWU30:AWU129 BGQ30:BGQ129 BQM30:BQM129 CAI30:CAI129 CKE30:CKE129 CUA30:CUA129 DDW30:DDW129 DNS30:DNS129 DXO30:DXO129 EHK30:EHK129 ERG30:ERG129 FBC30:FBC129 FKY30:FKY129 FUU30:FUU129 GEQ30:GEQ129 GOM30:GOM129 GYI30:GYI129 HIE30:HIE129 HSA30:HSA129 IBW30:IBW129 ILS30:ILS129 IVO30:IVO129 JFK30:JFK129 JPG30:JPG129 JZC30:JZC129 KIY30:KIY129 KSU30:KSU129 LCQ30:LCQ129 LMM30:LMM129 LWI30:LWI129 MGE30:MGE129 MQA30:MQA129 MZW30:MZW129 NJS30:NJS129 NTO30:NTO129 ODK30:ODK129 ONG30:ONG129 OXC30:OXC129 PGY30:PGY129 PQU30:PQU129 QAQ30:QAQ129 QKM30:QKM129 QUI30:QUI129 REE30:REE129 ROA30:ROA129 RXW30:RXW129 SHS30:SHS129 SRO30:SRO129 TBK30:TBK129 TLG30:TLG129 TVC30:TVC129 UEY30:UEY129 UOU30:UOU129 UYQ30:UYQ129 VIM30:VIM129 VSI30:VSI129 WCE30:WCE129 WCD982962:WCD982978 VSH982962:VSH982978 VIL982962:VIL982978 UYP982962:UYP982978 UOT982962:UOT982978 UEX982962:UEX982978 TVB982962:TVB982978 TLF982962:TLF982978 TBJ982962:TBJ982978 SRN982962:SRN982978 SHR982962:SHR982978 RXV982962:RXV982978 RNZ982962:RNZ982978 RED982962:RED982978 QUH982962:QUH982978 QKL982962:QKL982978 QAP982962:QAP982978 PQT982962:PQT982978 PGX982962:PGX982978 OXB982962:OXB982978 ONF982962:ONF982978 ODJ982962:ODJ982978 NTN982962:NTN982978 NJR982962:NJR982978 MZV982962:MZV982978 MPZ982962:MPZ982978 MGD982962:MGD982978 LWH982962:LWH982978 LML982962:LML982978 LCP982962:LCP982978 KST982962:KST982978 KIX982962:KIX982978 JZB982962:JZB982978 JPF982962:JPF982978 JFJ982962:JFJ982978 IVN982962:IVN982978 ILR982962:ILR982978 IBV982962:IBV982978 HRZ982962:HRZ982978 HID982962:HID982978 GYH982962:GYH982978 GOL982962:GOL982978 GEP982962:GEP982978 FUT982962:FUT982978 FKX982962:FKX982978 FBB982962:FBB982978 ERF982962:ERF982978 EHJ982962:EHJ982978 DXN982962:DXN982978 DNR982962:DNR982978 DDV982962:DDV982978 CTZ982962:CTZ982978 CKD982962:CKD982978 CAH982962:CAH982978 BQL982962:BQL982978 BGP982962:BGP982978 AWT982962:AWT982978 AMX982962:AMX982978 ADB982962:ADB982978 TF982962:TF982978 JJ982962:JJ982978 N982962:N982978 WVV917426:WVV917442 WLZ917426:WLZ917442 WCD917426:WCD917442 VSH917426:VSH917442 VIL917426:VIL917442 UYP917426:UYP917442 UOT917426:UOT917442 UEX917426:UEX917442 TVB917426:TVB917442 TLF917426:TLF917442 TBJ917426:TBJ917442 SRN917426:SRN917442 SHR917426:SHR917442 RXV917426:RXV917442 RNZ917426:RNZ917442 RED917426:RED917442 QUH917426:QUH917442 QKL917426:QKL917442 QAP917426:QAP917442 PQT917426:PQT917442 PGX917426:PGX917442 OXB917426:OXB917442 ONF917426:ONF917442 ODJ917426:ODJ917442 NTN917426:NTN917442 NJR917426:NJR917442 MZV917426:MZV917442 MPZ917426:MPZ917442 MGD917426:MGD917442 LWH917426:LWH917442 LML917426:LML917442 LCP917426:LCP917442 KST917426:KST917442 KIX917426:KIX917442 JZB917426:JZB917442 JPF917426:JPF917442 JFJ917426:JFJ917442 IVN917426:IVN917442 ILR917426:ILR917442 IBV917426:IBV917442 HRZ917426:HRZ917442 HID917426:HID917442 GYH917426:GYH917442 GOL917426:GOL917442 GEP917426:GEP917442 FUT917426:FUT917442 FKX917426:FKX917442 FBB917426:FBB917442 ERF917426:ERF917442 EHJ917426:EHJ917442 DXN917426:DXN917442 DNR917426:DNR917442 DDV917426:DDV917442 CTZ917426:CTZ917442 CKD917426:CKD917442 CAH917426:CAH917442 BQL917426:BQL917442 BGP917426:BGP917442 AWT917426:AWT917442 AMX917426:AMX917442 ADB917426:ADB917442 TF917426:TF917442 JJ917426:JJ917442 N917426:N917442 WVV851890:WVV851906 WLZ851890:WLZ851906 WCD851890:WCD851906 VSH851890:VSH851906 VIL851890:VIL851906 UYP851890:UYP851906 UOT851890:UOT851906 UEX851890:UEX851906 TVB851890:TVB851906 TLF851890:TLF851906 TBJ851890:TBJ851906 SRN851890:SRN851906 SHR851890:SHR851906 RXV851890:RXV851906 RNZ851890:RNZ851906 RED851890:RED851906 QUH851890:QUH851906 QKL851890:QKL851906 QAP851890:QAP851906 PQT851890:PQT851906 PGX851890:PGX851906 OXB851890:OXB851906 ONF851890:ONF851906 ODJ851890:ODJ851906 NTN851890:NTN851906 NJR851890:NJR851906 MZV851890:MZV851906 MPZ851890:MPZ851906 MGD851890:MGD851906 LWH851890:LWH851906 LML851890:LML851906 LCP851890:LCP851906 KST851890:KST851906 KIX851890:KIX851906 JZB851890:JZB851906 JPF851890:JPF851906 JFJ851890:JFJ851906 IVN851890:IVN851906 ILR851890:ILR851906 IBV851890:IBV851906 HRZ851890:HRZ851906 HID851890:HID851906 GYH851890:GYH851906 GOL851890:GOL851906 GEP851890:GEP851906 FUT851890:FUT851906 FKX851890:FKX851906 FBB851890:FBB851906 ERF851890:ERF851906 EHJ851890:EHJ851906 DXN851890:DXN851906 DNR851890:DNR851906 DDV851890:DDV851906 CTZ851890:CTZ851906 CKD851890:CKD851906 CAH851890:CAH851906 BQL851890:BQL851906 BGP851890:BGP851906 AWT851890:AWT851906 AMX851890:AMX851906 ADB851890:ADB851906 TF851890:TF851906 JJ851890:JJ851906 N851890:N851906 WVV786354:WVV786370 WLZ786354:WLZ786370 WCD786354:WCD786370 VSH786354:VSH786370 VIL786354:VIL786370 UYP786354:UYP786370 UOT786354:UOT786370 UEX786354:UEX786370 TVB786354:TVB786370 TLF786354:TLF786370 TBJ786354:TBJ786370 SRN786354:SRN786370 SHR786354:SHR786370 RXV786354:RXV786370 RNZ786354:RNZ786370 RED786354:RED786370 QUH786354:QUH786370 QKL786354:QKL786370 QAP786354:QAP786370 PQT786354:PQT786370 PGX786354:PGX786370 OXB786354:OXB786370 ONF786354:ONF786370 ODJ786354:ODJ786370 NTN786354:NTN786370 NJR786354:NJR786370 MZV786354:MZV786370 MPZ786354:MPZ786370 MGD786354:MGD786370 LWH786354:LWH786370 LML786354:LML786370 LCP786354:LCP786370 KST786354:KST786370 KIX786354:KIX786370 JZB786354:JZB786370 JPF786354:JPF786370 JFJ786354:JFJ786370 IVN786354:IVN786370 ILR786354:ILR786370 IBV786354:IBV786370 HRZ786354:HRZ786370 HID786354:HID786370 GYH786354:GYH786370 GOL786354:GOL786370 GEP786354:GEP786370 FUT786354:FUT786370 FKX786354:FKX786370 FBB786354:FBB786370 ERF786354:ERF786370 EHJ786354:EHJ786370 DXN786354:DXN786370 DNR786354:DNR786370 DDV786354:DDV786370 CTZ786354:CTZ786370 CKD786354:CKD786370 CAH786354:CAH786370 BQL786354:BQL786370 BGP786354:BGP786370 AWT786354:AWT786370 AMX786354:AMX786370 ADB786354:ADB786370 TF786354:TF786370 JJ786354:JJ786370 N786354:N786370 WVV720818:WVV720834 WLZ720818:WLZ720834 WCD720818:WCD720834 VSH720818:VSH720834 VIL720818:VIL720834 UYP720818:UYP720834 UOT720818:UOT720834 UEX720818:UEX720834 TVB720818:TVB720834 TLF720818:TLF720834 TBJ720818:TBJ720834 SRN720818:SRN720834 SHR720818:SHR720834 RXV720818:RXV720834 RNZ720818:RNZ720834 RED720818:RED720834 QUH720818:QUH720834 QKL720818:QKL720834 QAP720818:QAP720834 PQT720818:PQT720834 PGX720818:PGX720834 OXB720818:OXB720834 ONF720818:ONF720834 ODJ720818:ODJ720834 NTN720818:NTN720834 NJR720818:NJR720834 MZV720818:MZV720834 MPZ720818:MPZ720834 MGD720818:MGD720834 LWH720818:LWH720834 LML720818:LML720834 LCP720818:LCP720834 KST720818:KST720834 KIX720818:KIX720834 JZB720818:JZB720834 JPF720818:JPF720834 JFJ720818:JFJ720834 IVN720818:IVN720834 ILR720818:ILR720834 IBV720818:IBV720834 HRZ720818:HRZ720834 HID720818:HID720834 GYH720818:GYH720834 GOL720818:GOL720834 GEP720818:GEP720834 FUT720818:FUT720834 FKX720818:FKX720834 FBB720818:FBB720834 ERF720818:ERF720834 EHJ720818:EHJ720834 DXN720818:DXN720834 DNR720818:DNR720834 DDV720818:DDV720834 CTZ720818:CTZ720834 CKD720818:CKD720834 CAH720818:CAH720834 BQL720818:BQL720834 BGP720818:BGP720834 AWT720818:AWT720834 AMX720818:AMX720834 ADB720818:ADB720834 TF720818:TF720834 JJ720818:JJ720834 N720818:N720834 WVV655282:WVV655298 WLZ655282:WLZ655298 WCD655282:WCD655298 VSH655282:VSH655298 VIL655282:VIL655298 UYP655282:UYP655298 UOT655282:UOT655298 UEX655282:UEX655298 TVB655282:TVB655298 TLF655282:TLF655298 TBJ655282:TBJ655298 SRN655282:SRN655298 SHR655282:SHR655298 RXV655282:RXV655298 RNZ655282:RNZ655298 RED655282:RED655298 QUH655282:QUH655298 QKL655282:QKL655298 QAP655282:QAP655298 PQT655282:PQT655298 PGX655282:PGX655298 OXB655282:OXB655298 ONF655282:ONF655298 ODJ655282:ODJ655298 NTN655282:NTN655298 NJR655282:NJR655298 MZV655282:MZV655298 MPZ655282:MPZ655298 MGD655282:MGD655298 LWH655282:LWH655298 LML655282:LML655298 LCP655282:LCP655298 KST655282:KST655298 KIX655282:KIX655298 JZB655282:JZB655298 JPF655282:JPF655298 JFJ655282:JFJ655298 IVN655282:IVN655298 ILR655282:ILR655298 IBV655282:IBV655298 HRZ655282:HRZ655298 HID655282:HID655298 GYH655282:GYH655298 GOL655282:GOL655298 GEP655282:GEP655298 FUT655282:FUT655298 FKX655282:FKX655298 FBB655282:FBB655298 ERF655282:ERF655298 EHJ655282:EHJ655298 DXN655282:DXN655298 DNR655282:DNR655298 DDV655282:DDV655298 CTZ655282:CTZ655298 CKD655282:CKD655298 CAH655282:CAH655298 BQL655282:BQL655298 BGP655282:BGP655298 AWT655282:AWT655298 AMX655282:AMX655298 ADB655282:ADB655298 TF655282:TF655298 JJ655282:JJ655298 N655282:N655298 WVV589746:WVV589762 WLZ589746:WLZ589762 WCD589746:WCD589762 VSH589746:VSH589762 VIL589746:VIL589762 UYP589746:UYP589762 UOT589746:UOT589762 UEX589746:UEX589762 TVB589746:TVB589762 TLF589746:TLF589762 TBJ589746:TBJ589762 SRN589746:SRN589762 SHR589746:SHR589762 RXV589746:RXV589762 RNZ589746:RNZ589762 RED589746:RED589762 QUH589746:QUH589762 QKL589746:QKL589762 QAP589746:QAP589762 PQT589746:PQT589762 PGX589746:PGX589762 OXB589746:OXB589762 ONF589746:ONF589762 ODJ589746:ODJ589762 NTN589746:NTN589762 NJR589746:NJR589762 MZV589746:MZV589762 MPZ589746:MPZ589762 MGD589746:MGD589762 LWH589746:LWH589762 LML589746:LML589762 LCP589746:LCP589762 KST589746:KST589762 KIX589746:KIX589762 JZB589746:JZB589762 JPF589746:JPF589762 JFJ589746:JFJ589762 IVN589746:IVN589762 ILR589746:ILR589762 IBV589746:IBV589762 HRZ589746:HRZ589762 HID589746:HID589762 GYH589746:GYH589762 GOL589746:GOL589762 GEP589746:GEP589762 FUT589746:FUT589762 FKX589746:FKX589762 FBB589746:FBB589762 ERF589746:ERF589762 EHJ589746:EHJ589762 DXN589746:DXN589762 DNR589746:DNR589762 DDV589746:DDV589762 CTZ589746:CTZ589762 CKD589746:CKD589762 CAH589746:CAH589762 BQL589746:BQL589762 BGP589746:BGP589762 AWT589746:AWT589762 AMX589746:AMX589762 ADB589746:ADB589762 TF589746:TF589762 JJ589746:JJ589762 N589746:N589762 WVV524210:WVV524226 WLZ524210:WLZ524226 WCD524210:WCD524226 VSH524210:VSH524226 VIL524210:VIL524226 UYP524210:UYP524226 UOT524210:UOT524226 UEX524210:UEX524226 TVB524210:TVB524226 TLF524210:TLF524226 TBJ524210:TBJ524226 SRN524210:SRN524226 SHR524210:SHR524226 RXV524210:RXV524226 RNZ524210:RNZ524226 RED524210:RED524226 QUH524210:QUH524226 QKL524210:QKL524226 QAP524210:QAP524226 PQT524210:PQT524226 PGX524210:PGX524226 OXB524210:OXB524226 ONF524210:ONF524226 ODJ524210:ODJ524226 NTN524210:NTN524226 NJR524210:NJR524226 MZV524210:MZV524226 MPZ524210:MPZ524226 MGD524210:MGD524226 LWH524210:LWH524226 LML524210:LML524226 LCP524210:LCP524226 KST524210:KST524226 KIX524210:KIX524226 JZB524210:JZB524226 JPF524210:JPF524226 JFJ524210:JFJ524226 IVN524210:IVN524226 ILR524210:ILR524226 IBV524210:IBV524226 HRZ524210:HRZ524226 HID524210:HID524226 GYH524210:GYH524226 GOL524210:GOL524226 GEP524210:GEP524226 FUT524210:FUT524226 FKX524210:FKX524226 FBB524210:FBB524226 ERF524210:ERF524226 EHJ524210:EHJ524226 DXN524210:DXN524226 DNR524210:DNR524226 DDV524210:DDV524226 CTZ524210:CTZ524226 CKD524210:CKD524226 CAH524210:CAH524226 BQL524210:BQL524226 BGP524210:BGP524226 AWT524210:AWT524226 AMX524210:AMX524226 ADB524210:ADB524226 TF524210:TF524226 JJ524210:JJ524226 N524210:N524226 WVV458674:WVV458690 WLZ458674:WLZ458690 WCD458674:WCD458690 VSH458674:VSH458690 VIL458674:VIL458690 UYP458674:UYP458690 UOT458674:UOT458690 UEX458674:UEX458690 TVB458674:TVB458690 TLF458674:TLF458690 TBJ458674:TBJ458690 SRN458674:SRN458690 SHR458674:SHR458690 RXV458674:RXV458690 RNZ458674:RNZ458690 RED458674:RED458690 QUH458674:QUH458690 QKL458674:QKL458690 QAP458674:QAP458690 PQT458674:PQT458690 PGX458674:PGX458690 OXB458674:OXB458690 ONF458674:ONF458690 ODJ458674:ODJ458690 NTN458674:NTN458690 NJR458674:NJR458690 MZV458674:MZV458690 MPZ458674:MPZ458690 MGD458674:MGD458690 LWH458674:LWH458690 LML458674:LML458690 LCP458674:LCP458690 KST458674:KST458690 KIX458674:KIX458690 JZB458674:JZB458690 JPF458674:JPF458690 JFJ458674:JFJ458690 IVN458674:IVN458690 ILR458674:ILR458690 IBV458674:IBV458690 HRZ458674:HRZ458690 HID458674:HID458690 GYH458674:GYH458690 GOL458674:GOL458690 GEP458674:GEP458690 FUT458674:FUT458690 FKX458674:FKX458690 FBB458674:FBB458690 ERF458674:ERF458690 EHJ458674:EHJ458690 DXN458674:DXN458690 DNR458674:DNR458690 DDV458674:DDV458690 CTZ458674:CTZ458690 CKD458674:CKD458690 CAH458674:CAH458690 BQL458674:BQL458690 BGP458674:BGP458690 AWT458674:AWT458690 AMX458674:AMX458690 ADB458674:ADB458690 TF458674:TF458690 JJ458674:JJ458690 N458674:N458690 WVV393138:WVV393154 WLZ393138:WLZ393154 WCD393138:WCD393154 VSH393138:VSH393154 VIL393138:VIL393154 UYP393138:UYP393154 UOT393138:UOT393154 UEX393138:UEX393154 TVB393138:TVB393154 TLF393138:TLF393154 TBJ393138:TBJ393154 SRN393138:SRN393154 SHR393138:SHR393154 RXV393138:RXV393154 RNZ393138:RNZ393154 RED393138:RED393154 QUH393138:QUH393154 QKL393138:QKL393154 QAP393138:QAP393154 PQT393138:PQT393154 PGX393138:PGX393154 OXB393138:OXB393154 ONF393138:ONF393154 ODJ393138:ODJ393154 NTN393138:NTN393154 NJR393138:NJR393154 MZV393138:MZV393154 MPZ393138:MPZ393154 MGD393138:MGD393154 LWH393138:LWH393154 LML393138:LML393154 LCP393138:LCP393154 KST393138:KST393154 KIX393138:KIX393154 JZB393138:JZB393154 JPF393138:JPF393154 JFJ393138:JFJ393154 IVN393138:IVN393154 ILR393138:ILR393154 IBV393138:IBV393154 HRZ393138:HRZ393154 HID393138:HID393154 GYH393138:GYH393154 GOL393138:GOL393154 GEP393138:GEP393154 FUT393138:FUT393154 FKX393138:FKX393154 FBB393138:FBB393154 ERF393138:ERF393154 EHJ393138:EHJ393154 DXN393138:DXN393154 DNR393138:DNR393154 DDV393138:DDV393154 CTZ393138:CTZ393154 CKD393138:CKD393154 CAH393138:CAH393154 BQL393138:BQL393154 BGP393138:BGP393154 AWT393138:AWT393154 AMX393138:AMX393154 ADB393138:ADB393154 TF393138:TF393154 JJ393138:JJ393154 N393138:N393154 WVV327602:WVV327618 WLZ327602:WLZ327618 WCD327602:WCD327618 VSH327602:VSH327618 VIL327602:VIL327618 UYP327602:UYP327618 UOT327602:UOT327618 UEX327602:UEX327618 TVB327602:TVB327618 TLF327602:TLF327618 TBJ327602:TBJ327618 SRN327602:SRN327618 SHR327602:SHR327618 RXV327602:RXV327618 RNZ327602:RNZ327618 RED327602:RED327618 QUH327602:QUH327618 QKL327602:QKL327618 QAP327602:QAP327618 PQT327602:PQT327618 PGX327602:PGX327618 OXB327602:OXB327618 ONF327602:ONF327618 ODJ327602:ODJ327618 NTN327602:NTN327618 NJR327602:NJR327618 MZV327602:MZV327618 MPZ327602:MPZ327618 MGD327602:MGD327618 LWH327602:LWH327618 LML327602:LML327618 LCP327602:LCP327618 KST327602:KST327618 KIX327602:KIX327618 JZB327602:JZB327618 JPF327602:JPF327618 JFJ327602:JFJ327618 IVN327602:IVN327618 ILR327602:ILR327618 IBV327602:IBV327618 HRZ327602:HRZ327618 HID327602:HID327618 GYH327602:GYH327618 GOL327602:GOL327618 GEP327602:GEP327618 FUT327602:FUT327618 FKX327602:FKX327618 FBB327602:FBB327618 ERF327602:ERF327618 EHJ327602:EHJ327618 DXN327602:DXN327618 DNR327602:DNR327618 DDV327602:DDV327618 CTZ327602:CTZ327618 CKD327602:CKD327618 CAH327602:CAH327618 BQL327602:BQL327618 BGP327602:BGP327618 AWT327602:AWT327618 AMX327602:AMX327618 ADB327602:ADB327618 TF327602:TF327618 JJ327602:JJ327618 N327602:N327618 WVV262066:WVV262082 WLZ262066:WLZ262082 WCD262066:WCD262082 VSH262066:VSH262082 VIL262066:VIL262082 UYP262066:UYP262082 UOT262066:UOT262082 UEX262066:UEX262082 TVB262066:TVB262082 TLF262066:TLF262082 TBJ262066:TBJ262082 SRN262066:SRN262082 SHR262066:SHR262082 RXV262066:RXV262082 RNZ262066:RNZ262082 RED262066:RED262082 QUH262066:QUH262082 QKL262066:QKL262082 QAP262066:QAP262082 PQT262066:PQT262082 PGX262066:PGX262082 OXB262066:OXB262082 ONF262066:ONF262082 ODJ262066:ODJ262082 NTN262066:NTN262082 NJR262066:NJR262082 MZV262066:MZV262082 MPZ262066:MPZ262082 MGD262066:MGD262082 LWH262066:LWH262082 LML262066:LML262082 LCP262066:LCP262082 KST262066:KST262082 KIX262066:KIX262082 JZB262066:JZB262082 JPF262066:JPF262082 JFJ262066:JFJ262082 IVN262066:IVN262082 ILR262066:ILR262082 IBV262066:IBV262082 HRZ262066:HRZ262082 HID262066:HID262082 GYH262066:GYH262082 GOL262066:GOL262082 GEP262066:GEP262082 FUT262066:FUT262082 FKX262066:FKX262082 FBB262066:FBB262082 ERF262066:ERF262082 EHJ262066:EHJ262082 DXN262066:DXN262082 DNR262066:DNR262082 DDV262066:DDV262082 CTZ262066:CTZ262082 CKD262066:CKD262082 CAH262066:CAH262082 BQL262066:BQL262082 BGP262066:BGP262082 AWT262066:AWT262082 AMX262066:AMX262082 ADB262066:ADB262082 TF262066:TF262082 JJ262066:JJ262082 N262066:N262082 WVV196530:WVV196546 WLZ196530:WLZ196546 WCD196530:WCD196546 VSH196530:VSH196546 VIL196530:VIL196546 UYP196530:UYP196546 UOT196530:UOT196546 UEX196530:UEX196546 TVB196530:TVB196546 TLF196530:TLF196546 TBJ196530:TBJ196546 SRN196530:SRN196546 SHR196530:SHR196546 RXV196530:RXV196546 RNZ196530:RNZ196546 RED196530:RED196546 QUH196530:QUH196546 QKL196530:QKL196546 QAP196530:QAP196546 PQT196530:PQT196546 PGX196530:PGX196546 OXB196530:OXB196546 ONF196530:ONF196546 ODJ196530:ODJ196546 NTN196530:NTN196546 NJR196530:NJR196546 MZV196530:MZV196546 MPZ196530:MPZ196546 MGD196530:MGD196546 LWH196530:LWH196546 LML196530:LML196546 LCP196530:LCP196546 KST196530:KST196546 KIX196530:KIX196546 JZB196530:JZB196546 JPF196530:JPF196546 JFJ196530:JFJ196546 IVN196530:IVN196546 ILR196530:ILR196546 IBV196530:IBV196546 HRZ196530:HRZ196546 HID196530:HID196546 GYH196530:GYH196546 GOL196530:GOL196546 GEP196530:GEP196546 FUT196530:FUT196546 FKX196530:FKX196546 FBB196530:FBB196546 ERF196530:ERF196546 EHJ196530:EHJ196546 DXN196530:DXN196546 DNR196530:DNR196546 DDV196530:DDV196546 CTZ196530:CTZ196546 CKD196530:CKD196546 CAH196530:CAH196546 BQL196530:BQL196546 BGP196530:BGP196546 AWT196530:AWT196546 AMX196530:AMX196546 ADB196530:ADB196546 TF196530:TF196546 JJ196530:JJ196546 N196530:N196546 WVV130994:WVV131010 WLZ130994:WLZ131010 WCD130994:WCD131010 VSH130994:VSH131010 VIL130994:VIL131010 UYP130994:UYP131010 UOT130994:UOT131010 UEX130994:UEX131010 TVB130994:TVB131010 TLF130994:TLF131010 TBJ130994:TBJ131010 SRN130994:SRN131010 SHR130994:SHR131010 RXV130994:RXV131010 RNZ130994:RNZ131010 RED130994:RED131010 QUH130994:QUH131010 QKL130994:QKL131010 QAP130994:QAP131010 PQT130994:PQT131010 PGX130994:PGX131010 OXB130994:OXB131010 ONF130994:ONF131010 ODJ130994:ODJ131010 NTN130994:NTN131010 NJR130994:NJR131010 MZV130994:MZV131010 MPZ130994:MPZ131010 MGD130994:MGD131010 LWH130994:LWH131010 LML130994:LML131010 LCP130994:LCP131010 KST130994:KST131010 KIX130994:KIX131010 JZB130994:JZB131010 JPF130994:JPF131010 JFJ130994:JFJ131010 IVN130994:IVN131010 ILR130994:ILR131010 IBV130994:IBV131010 HRZ130994:HRZ131010 HID130994:HID131010 GYH130994:GYH131010 GOL130994:GOL131010 GEP130994:GEP131010 FUT130994:FUT131010 FKX130994:FKX131010 FBB130994:FBB131010 ERF130994:ERF131010 EHJ130994:EHJ131010 DXN130994:DXN131010 DNR130994:DNR131010 DDV130994:DDV131010 CTZ130994:CTZ131010 CKD130994:CKD131010 CAH130994:CAH131010 BQL130994:BQL131010 BGP130994:BGP131010 AWT130994:AWT131010 AMX130994:AMX131010 ADB130994:ADB131010 TF130994:TF131010 JJ130994:JJ131010 N130994:N131010 WVV65458:WVV65474 WLZ65458:WLZ65474 WCD65458:WCD65474 VSH65458:VSH65474 VIL65458:VIL65474 UYP65458:UYP65474 UOT65458:UOT65474 UEX65458:UEX65474 TVB65458:TVB65474 TLF65458:TLF65474 TBJ65458:TBJ65474 SRN65458:SRN65474 SHR65458:SHR65474 RXV65458:RXV65474 RNZ65458:RNZ65474 RED65458:RED65474 QUH65458:QUH65474 QKL65458:QKL65474 QAP65458:QAP65474 PQT65458:PQT65474 PGX65458:PGX65474 OXB65458:OXB65474 ONF65458:ONF65474 ODJ65458:ODJ65474 NTN65458:NTN65474 NJR65458:NJR65474 MZV65458:MZV65474 MPZ65458:MPZ65474 MGD65458:MGD65474 LWH65458:LWH65474 LML65458:LML65474 LCP65458:LCP65474 KST65458:KST65474 KIX65458:KIX65474 JZB65458:JZB65474 JPF65458:JPF65474 JFJ65458:JFJ65474 IVN65458:IVN65474 ILR65458:ILR65474 IBV65458:IBV65474 HRZ65458:HRZ65474 HID65458:HID65474 GYH65458:GYH65474 GOL65458:GOL65474 GEP65458:GEP65474 FUT65458:FUT65474 FKX65458:FKX65474 FBB65458:FBB65474 ERF65458:ERF65474 EHJ65458:EHJ65474 DXN65458:DXN65474 DNR65458:DNR65474 DDV65458:DDV65474 CTZ65458:CTZ65474 CKD65458:CKD65474 CAH65458:CAH65474 BQL65458:BQL65474 BGP65458:BGP65474 AWT65458:AWT65474 AMX65458:AMX65474 ADB65458:ADB65474 TF65458:TF65474 JJ65458:JJ65474 N65458:N65474 WVV983008:WVV983024 WLZ983008:WLZ983024 WCD983008:WCD983024 VSH983008:VSH983024 VIL983008:VIL983024 UYP983008:UYP983024 UOT983008:UOT983024 UEX983008:UEX983024 TVB983008:TVB983024 TLF983008:TLF983024 TBJ983008:TBJ983024 SRN983008:SRN983024 SHR983008:SHR983024 RXV983008:RXV983024 RNZ983008:RNZ983024 RED983008:RED983024 QUH983008:QUH983024 QKL983008:QKL983024 QAP983008:QAP983024 PQT983008:PQT983024 PGX983008:PGX983024 OXB983008:OXB983024 ONF983008:ONF983024 ODJ983008:ODJ983024 NTN983008:NTN983024 NJR983008:NJR983024 MZV983008:MZV983024 MPZ983008:MPZ983024 MGD983008:MGD983024 LWH983008:LWH983024 LML983008:LML983024 LCP983008:LCP983024 KST983008:KST983024 KIX983008:KIX983024 JZB983008:JZB983024 JPF983008:JPF983024 JFJ983008:JFJ983024 IVN983008:IVN983024 ILR983008:ILR983024 IBV983008:IBV983024 HRZ983008:HRZ983024 HID983008:HID983024 GYH983008:GYH983024 GOL983008:GOL983024 GEP983008:GEP983024 FUT983008:FUT983024 FKX983008:FKX983024 FBB983008:FBB983024 ERF983008:ERF983024 EHJ983008:EHJ983024 DXN983008:DXN983024 DNR983008:DNR983024 DDV983008:DDV983024 CTZ983008:CTZ983024 CKD983008:CKD983024 CAH983008:CAH983024 BQL983008:BQL983024 BGP983008:BGP983024 AWT983008:AWT983024 AMX983008:AMX983024 ADB983008:ADB983024 TF983008:TF983024 JJ983008:JJ983024 N983008:N983024 WVV917472:WVV917488 WLZ917472:WLZ917488 WCD917472:WCD917488 VSH917472:VSH917488 VIL917472:VIL917488 UYP917472:UYP917488 UOT917472:UOT917488 UEX917472:UEX917488 TVB917472:TVB917488 TLF917472:TLF917488 TBJ917472:TBJ917488 SRN917472:SRN917488 SHR917472:SHR917488 RXV917472:RXV917488 RNZ917472:RNZ917488 RED917472:RED917488 QUH917472:QUH917488 QKL917472:QKL917488 QAP917472:QAP917488 PQT917472:PQT917488 PGX917472:PGX917488 OXB917472:OXB917488 ONF917472:ONF917488 ODJ917472:ODJ917488 NTN917472:NTN917488 NJR917472:NJR917488 MZV917472:MZV917488 MPZ917472:MPZ917488 MGD917472:MGD917488 LWH917472:LWH917488 LML917472:LML917488 LCP917472:LCP917488 KST917472:KST917488 KIX917472:KIX917488 JZB917472:JZB917488 JPF917472:JPF917488 JFJ917472:JFJ917488 IVN917472:IVN917488 ILR917472:ILR917488 IBV917472:IBV917488 HRZ917472:HRZ917488 HID917472:HID917488 GYH917472:GYH917488 GOL917472:GOL917488 GEP917472:GEP917488 FUT917472:FUT917488 FKX917472:FKX917488 FBB917472:FBB917488 ERF917472:ERF917488 EHJ917472:EHJ917488 DXN917472:DXN917488 DNR917472:DNR917488 DDV917472:DDV917488 CTZ917472:CTZ917488 CKD917472:CKD917488 CAH917472:CAH917488 BQL917472:BQL917488 BGP917472:BGP917488 AWT917472:AWT917488 AMX917472:AMX917488 ADB917472:ADB917488 TF917472:TF917488 JJ917472:JJ917488 N917472:N917488 WVV851936:WVV851952 WLZ851936:WLZ851952 WCD851936:WCD851952 VSH851936:VSH851952 VIL851936:VIL851952 UYP851936:UYP851952 UOT851936:UOT851952 UEX851936:UEX851952 TVB851936:TVB851952 TLF851936:TLF851952 TBJ851936:TBJ851952 SRN851936:SRN851952 SHR851936:SHR851952 RXV851936:RXV851952 RNZ851936:RNZ851952 RED851936:RED851952 QUH851936:QUH851952 QKL851936:QKL851952 QAP851936:QAP851952 PQT851936:PQT851952 PGX851936:PGX851952 OXB851936:OXB851952 ONF851936:ONF851952 ODJ851936:ODJ851952 NTN851936:NTN851952 NJR851936:NJR851952 MZV851936:MZV851952 MPZ851936:MPZ851952 MGD851936:MGD851952 LWH851936:LWH851952 LML851936:LML851952 LCP851936:LCP851952 KST851936:KST851952 KIX851936:KIX851952 JZB851936:JZB851952 JPF851936:JPF851952 JFJ851936:JFJ851952 IVN851936:IVN851952 ILR851936:ILR851952 IBV851936:IBV851952 HRZ851936:HRZ851952 HID851936:HID851952 GYH851936:GYH851952 GOL851936:GOL851952 GEP851936:GEP851952 FUT851936:FUT851952 FKX851936:FKX851952 FBB851936:FBB851952 ERF851936:ERF851952 EHJ851936:EHJ851952 DXN851936:DXN851952 DNR851936:DNR851952 DDV851936:DDV851952 CTZ851936:CTZ851952 CKD851936:CKD851952 CAH851936:CAH851952 BQL851936:BQL851952 BGP851936:BGP851952 AWT851936:AWT851952 AMX851936:AMX851952 ADB851936:ADB851952 TF851936:TF851952 JJ851936:JJ851952 N851936:N851952 WVV786400:WVV786416 WLZ786400:WLZ786416 WCD786400:WCD786416 VSH786400:VSH786416 VIL786400:VIL786416 UYP786400:UYP786416 UOT786400:UOT786416 UEX786400:UEX786416 TVB786400:TVB786416 TLF786400:TLF786416 TBJ786400:TBJ786416 SRN786400:SRN786416 SHR786400:SHR786416 RXV786400:RXV786416 RNZ786400:RNZ786416 RED786400:RED786416 QUH786400:QUH786416 QKL786400:QKL786416 QAP786400:QAP786416 PQT786400:PQT786416 PGX786400:PGX786416 OXB786400:OXB786416 ONF786400:ONF786416 ODJ786400:ODJ786416 NTN786400:NTN786416 NJR786400:NJR786416 MZV786400:MZV786416 MPZ786400:MPZ786416 MGD786400:MGD786416 LWH786400:LWH786416 LML786400:LML786416 LCP786400:LCP786416 KST786400:KST786416 KIX786400:KIX786416 JZB786400:JZB786416 JPF786400:JPF786416 JFJ786400:JFJ786416 IVN786400:IVN786416 ILR786400:ILR786416 IBV786400:IBV786416 HRZ786400:HRZ786416 HID786400:HID786416 GYH786400:GYH786416 GOL786400:GOL786416 GEP786400:GEP786416 FUT786400:FUT786416 FKX786400:FKX786416 FBB786400:FBB786416 ERF786400:ERF786416 EHJ786400:EHJ786416 DXN786400:DXN786416 DNR786400:DNR786416 DDV786400:DDV786416 CTZ786400:CTZ786416 CKD786400:CKD786416 CAH786400:CAH786416 BQL786400:BQL786416 BGP786400:BGP786416 AWT786400:AWT786416 AMX786400:AMX786416 ADB786400:ADB786416 TF786400:TF786416 JJ786400:JJ786416 N786400:N786416 WVV720864:WVV720880 WLZ720864:WLZ720880 WCD720864:WCD720880 VSH720864:VSH720880 VIL720864:VIL720880 UYP720864:UYP720880 UOT720864:UOT720880 UEX720864:UEX720880 TVB720864:TVB720880 TLF720864:TLF720880 TBJ720864:TBJ720880 SRN720864:SRN720880 SHR720864:SHR720880 RXV720864:RXV720880 RNZ720864:RNZ720880 RED720864:RED720880 QUH720864:QUH720880 QKL720864:QKL720880 QAP720864:QAP720880 PQT720864:PQT720880 PGX720864:PGX720880 OXB720864:OXB720880 ONF720864:ONF720880 ODJ720864:ODJ720880 NTN720864:NTN720880 NJR720864:NJR720880 MZV720864:MZV720880 MPZ720864:MPZ720880 MGD720864:MGD720880 LWH720864:LWH720880 LML720864:LML720880 LCP720864:LCP720880 KST720864:KST720880 KIX720864:KIX720880 JZB720864:JZB720880 JPF720864:JPF720880 JFJ720864:JFJ720880 IVN720864:IVN720880 ILR720864:ILR720880 IBV720864:IBV720880 HRZ720864:HRZ720880 HID720864:HID720880 GYH720864:GYH720880 GOL720864:GOL720880 GEP720864:GEP720880 FUT720864:FUT720880 FKX720864:FKX720880 FBB720864:FBB720880 ERF720864:ERF720880 EHJ720864:EHJ720880 DXN720864:DXN720880 DNR720864:DNR720880 DDV720864:DDV720880 CTZ720864:CTZ720880 CKD720864:CKD720880 CAH720864:CAH720880 BQL720864:BQL720880 BGP720864:BGP720880 AWT720864:AWT720880 AMX720864:AMX720880 ADB720864:ADB720880 TF720864:TF720880 JJ720864:JJ720880 N720864:N720880 WVV655328:WVV655344 WLZ655328:WLZ655344 WCD655328:WCD655344 VSH655328:VSH655344 VIL655328:VIL655344 UYP655328:UYP655344 UOT655328:UOT655344 UEX655328:UEX655344 TVB655328:TVB655344 TLF655328:TLF655344 TBJ655328:TBJ655344 SRN655328:SRN655344 SHR655328:SHR655344 RXV655328:RXV655344 RNZ655328:RNZ655344 RED655328:RED655344 QUH655328:QUH655344 QKL655328:QKL655344 QAP655328:QAP655344 PQT655328:PQT655344 PGX655328:PGX655344 OXB655328:OXB655344 ONF655328:ONF655344 ODJ655328:ODJ655344 NTN655328:NTN655344 NJR655328:NJR655344 MZV655328:MZV655344 MPZ655328:MPZ655344 MGD655328:MGD655344 LWH655328:LWH655344 LML655328:LML655344 LCP655328:LCP655344 KST655328:KST655344 KIX655328:KIX655344 JZB655328:JZB655344 JPF655328:JPF655344 JFJ655328:JFJ655344 IVN655328:IVN655344 ILR655328:ILR655344 IBV655328:IBV655344 HRZ655328:HRZ655344 HID655328:HID655344 GYH655328:GYH655344 GOL655328:GOL655344 GEP655328:GEP655344 FUT655328:FUT655344 FKX655328:FKX655344 FBB655328:FBB655344 ERF655328:ERF655344 EHJ655328:EHJ655344 DXN655328:DXN655344 DNR655328:DNR655344 DDV655328:DDV655344 CTZ655328:CTZ655344 CKD655328:CKD655344 CAH655328:CAH655344 BQL655328:BQL655344 BGP655328:BGP655344 AWT655328:AWT655344 AMX655328:AMX655344 ADB655328:ADB655344 TF655328:TF655344 JJ655328:JJ655344 N655328:N655344 WVV589792:WVV589808 WLZ589792:WLZ589808 WCD589792:WCD589808 VSH589792:VSH589808 VIL589792:VIL589808 UYP589792:UYP589808 UOT589792:UOT589808 UEX589792:UEX589808 TVB589792:TVB589808 TLF589792:TLF589808 TBJ589792:TBJ589808 SRN589792:SRN589808 SHR589792:SHR589808 RXV589792:RXV589808 RNZ589792:RNZ589808 RED589792:RED589808 QUH589792:QUH589808 QKL589792:QKL589808 QAP589792:QAP589808 PQT589792:PQT589808 PGX589792:PGX589808 OXB589792:OXB589808 ONF589792:ONF589808 ODJ589792:ODJ589808 NTN589792:NTN589808 NJR589792:NJR589808 MZV589792:MZV589808 MPZ589792:MPZ589808 MGD589792:MGD589808 LWH589792:LWH589808 LML589792:LML589808 LCP589792:LCP589808 KST589792:KST589808 KIX589792:KIX589808 JZB589792:JZB589808 JPF589792:JPF589808 JFJ589792:JFJ589808 IVN589792:IVN589808 ILR589792:ILR589808 IBV589792:IBV589808 HRZ589792:HRZ589808 HID589792:HID589808 GYH589792:GYH589808 GOL589792:GOL589808 GEP589792:GEP589808 FUT589792:FUT589808 FKX589792:FKX589808 FBB589792:FBB589808 ERF589792:ERF589808 EHJ589792:EHJ589808 DXN589792:DXN589808 DNR589792:DNR589808 DDV589792:DDV589808 CTZ589792:CTZ589808 CKD589792:CKD589808 CAH589792:CAH589808 BQL589792:BQL589808 BGP589792:BGP589808 AWT589792:AWT589808 AMX589792:AMX589808 ADB589792:ADB589808 TF589792:TF589808 JJ589792:JJ589808 N589792:N589808 WVV524256:WVV524272 WLZ524256:WLZ524272 WCD524256:WCD524272 VSH524256:VSH524272 VIL524256:VIL524272 UYP524256:UYP524272 UOT524256:UOT524272 UEX524256:UEX524272 TVB524256:TVB524272 TLF524256:TLF524272 TBJ524256:TBJ524272 SRN524256:SRN524272 SHR524256:SHR524272 RXV524256:RXV524272 RNZ524256:RNZ524272 RED524256:RED524272 QUH524256:QUH524272 QKL524256:QKL524272 QAP524256:QAP524272 PQT524256:PQT524272 PGX524256:PGX524272 OXB524256:OXB524272 ONF524256:ONF524272 ODJ524256:ODJ524272 NTN524256:NTN524272 NJR524256:NJR524272 MZV524256:MZV524272 MPZ524256:MPZ524272 MGD524256:MGD524272 LWH524256:LWH524272 LML524256:LML524272 LCP524256:LCP524272 KST524256:KST524272 KIX524256:KIX524272 JZB524256:JZB524272 JPF524256:JPF524272 JFJ524256:JFJ524272 IVN524256:IVN524272 ILR524256:ILR524272 IBV524256:IBV524272 HRZ524256:HRZ524272 HID524256:HID524272 GYH524256:GYH524272 GOL524256:GOL524272 GEP524256:GEP524272 FUT524256:FUT524272 FKX524256:FKX524272 FBB524256:FBB524272 ERF524256:ERF524272 EHJ524256:EHJ524272 DXN524256:DXN524272 DNR524256:DNR524272 DDV524256:DDV524272 CTZ524256:CTZ524272 CKD524256:CKD524272 CAH524256:CAH524272 BQL524256:BQL524272 BGP524256:BGP524272 AWT524256:AWT524272 AMX524256:AMX524272 ADB524256:ADB524272 TF524256:TF524272 JJ524256:JJ524272 N524256:N524272 WVV458720:WVV458736 WLZ458720:WLZ458736 WCD458720:WCD458736 VSH458720:VSH458736 VIL458720:VIL458736 UYP458720:UYP458736 UOT458720:UOT458736 UEX458720:UEX458736 TVB458720:TVB458736 TLF458720:TLF458736 TBJ458720:TBJ458736 SRN458720:SRN458736 SHR458720:SHR458736 RXV458720:RXV458736 RNZ458720:RNZ458736 RED458720:RED458736 QUH458720:QUH458736 QKL458720:QKL458736 QAP458720:QAP458736 PQT458720:PQT458736 PGX458720:PGX458736 OXB458720:OXB458736 ONF458720:ONF458736 ODJ458720:ODJ458736 NTN458720:NTN458736 NJR458720:NJR458736 MZV458720:MZV458736 MPZ458720:MPZ458736 MGD458720:MGD458736 LWH458720:LWH458736 LML458720:LML458736 LCP458720:LCP458736 KST458720:KST458736 KIX458720:KIX458736 JZB458720:JZB458736 JPF458720:JPF458736 JFJ458720:JFJ458736 IVN458720:IVN458736 ILR458720:ILR458736 IBV458720:IBV458736 HRZ458720:HRZ458736 HID458720:HID458736 GYH458720:GYH458736 GOL458720:GOL458736 GEP458720:GEP458736 FUT458720:FUT458736 FKX458720:FKX458736 FBB458720:FBB458736 ERF458720:ERF458736 EHJ458720:EHJ458736 DXN458720:DXN458736 DNR458720:DNR458736 DDV458720:DDV458736 CTZ458720:CTZ458736 CKD458720:CKD458736 CAH458720:CAH458736 BQL458720:BQL458736 BGP458720:BGP458736 AWT458720:AWT458736 AMX458720:AMX458736 ADB458720:ADB458736 TF458720:TF458736 JJ458720:JJ458736 N458720:N458736 WVV393184:WVV393200 WLZ393184:WLZ393200 WCD393184:WCD393200 VSH393184:VSH393200 VIL393184:VIL393200 UYP393184:UYP393200 UOT393184:UOT393200 UEX393184:UEX393200 TVB393184:TVB393200 TLF393184:TLF393200 TBJ393184:TBJ393200 SRN393184:SRN393200 SHR393184:SHR393200 RXV393184:RXV393200 RNZ393184:RNZ393200 RED393184:RED393200 QUH393184:QUH393200 QKL393184:QKL393200 QAP393184:QAP393200 PQT393184:PQT393200 PGX393184:PGX393200 OXB393184:OXB393200 ONF393184:ONF393200 ODJ393184:ODJ393200 NTN393184:NTN393200 NJR393184:NJR393200 MZV393184:MZV393200 MPZ393184:MPZ393200 MGD393184:MGD393200 LWH393184:LWH393200 LML393184:LML393200 LCP393184:LCP393200 KST393184:KST393200 KIX393184:KIX393200 JZB393184:JZB393200 JPF393184:JPF393200 JFJ393184:JFJ393200 IVN393184:IVN393200 ILR393184:ILR393200 IBV393184:IBV393200 HRZ393184:HRZ393200 HID393184:HID393200 GYH393184:GYH393200 GOL393184:GOL393200 GEP393184:GEP393200 FUT393184:FUT393200 FKX393184:FKX393200 FBB393184:FBB393200 ERF393184:ERF393200 EHJ393184:EHJ393200 DXN393184:DXN393200 DNR393184:DNR393200 DDV393184:DDV393200 CTZ393184:CTZ393200 CKD393184:CKD393200 CAH393184:CAH393200 BQL393184:BQL393200 BGP393184:BGP393200 AWT393184:AWT393200 AMX393184:AMX393200 ADB393184:ADB393200 TF393184:TF393200 JJ393184:JJ393200 N393184:N393200 WVV327648:WVV327664 WLZ327648:WLZ327664 WCD327648:WCD327664 VSH327648:VSH327664 VIL327648:VIL327664 UYP327648:UYP327664 UOT327648:UOT327664 UEX327648:UEX327664 TVB327648:TVB327664 TLF327648:TLF327664 TBJ327648:TBJ327664 SRN327648:SRN327664 SHR327648:SHR327664 RXV327648:RXV327664 RNZ327648:RNZ327664 RED327648:RED327664 QUH327648:QUH327664 QKL327648:QKL327664 QAP327648:QAP327664 PQT327648:PQT327664 PGX327648:PGX327664 OXB327648:OXB327664 ONF327648:ONF327664 ODJ327648:ODJ327664 NTN327648:NTN327664 NJR327648:NJR327664 MZV327648:MZV327664 MPZ327648:MPZ327664 MGD327648:MGD327664 LWH327648:LWH327664 LML327648:LML327664 LCP327648:LCP327664 KST327648:KST327664 KIX327648:KIX327664 JZB327648:JZB327664 JPF327648:JPF327664 JFJ327648:JFJ327664 IVN327648:IVN327664 ILR327648:ILR327664 IBV327648:IBV327664 HRZ327648:HRZ327664 HID327648:HID327664 GYH327648:GYH327664 GOL327648:GOL327664 GEP327648:GEP327664 FUT327648:FUT327664 FKX327648:FKX327664 FBB327648:FBB327664 ERF327648:ERF327664 EHJ327648:EHJ327664 DXN327648:DXN327664 DNR327648:DNR327664 DDV327648:DDV327664 CTZ327648:CTZ327664 CKD327648:CKD327664 CAH327648:CAH327664 BQL327648:BQL327664 BGP327648:BGP327664 AWT327648:AWT327664 AMX327648:AMX327664 ADB327648:ADB327664 TF327648:TF327664 JJ327648:JJ327664 N327648:N327664 WVV262112:WVV262128 WLZ262112:WLZ262128 WCD262112:WCD262128 VSH262112:VSH262128 VIL262112:VIL262128 UYP262112:UYP262128 UOT262112:UOT262128 UEX262112:UEX262128 TVB262112:TVB262128 TLF262112:TLF262128 TBJ262112:TBJ262128 SRN262112:SRN262128 SHR262112:SHR262128 RXV262112:RXV262128 RNZ262112:RNZ262128 RED262112:RED262128 QUH262112:QUH262128 QKL262112:QKL262128 QAP262112:QAP262128 PQT262112:PQT262128 PGX262112:PGX262128 OXB262112:OXB262128 ONF262112:ONF262128 ODJ262112:ODJ262128 NTN262112:NTN262128 NJR262112:NJR262128 MZV262112:MZV262128 MPZ262112:MPZ262128 MGD262112:MGD262128 LWH262112:LWH262128 LML262112:LML262128 LCP262112:LCP262128 KST262112:KST262128 KIX262112:KIX262128 JZB262112:JZB262128 JPF262112:JPF262128 JFJ262112:JFJ262128 IVN262112:IVN262128 ILR262112:ILR262128 IBV262112:IBV262128 HRZ262112:HRZ262128 HID262112:HID262128 GYH262112:GYH262128 GOL262112:GOL262128 GEP262112:GEP262128 FUT262112:FUT262128 FKX262112:FKX262128 FBB262112:FBB262128 ERF262112:ERF262128 EHJ262112:EHJ262128 DXN262112:DXN262128 DNR262112:DNR262128 DDV262112:DDV262128 CTZ262112:CTZ262128 CKD262112:CKD262128 CAH262112:CAH262128 BQL262112:BQL262128 BGP262112:BGP262128 AWT262112:AWT262128 AMX262112:AMX262128 ADB262112:ADB262128 TF262112:TF262128 JJ262112:JJ262128 N262112:N262128 WVV196576:WVV196592 WLZ196576:WLZ196592 WCD196576:WCD196592 VSH196576:VSH196592 VIL196576:VIL196592 UYP196576:UYP196592 UOT196576:UOT196592 UEX196576:UEX196592 TVB196576:TVB196592 TLF196576:TLF196592 TBJ196576:TBJ196592 SRN196576:SRN196592 SHR196576:SHR196592 RXV196576:RXV196592 RNZ196576:RNZ196592 RED196576:RED196592 QUH196576:QUH196592 QKL196576:QKL196592 QAP196576:QAP196592 PQT196576:PQT196592 PGX196576:PGX196592 OXB196576:OXB196592 ONF196576:ONF196592 ODJ196576:ODJ196592 NTN196576:NTN196592 NJR196576:NJR196592 MZV196576:MZV196592 MPZ196576:MPZ196592 MGD196576:MGD196592 LWH196576:LWH196592 LML196576:LML196592 LCP196576:LCP196592 KST196576:KST196592 KIX196576:KIX196592 JZB196576:JZB196592 JPF196576:JPF196592 JFJ196576:JFJ196592 IVN196576:IVN196592 ILR196576:ILR196592 IBV196576:IBV196592 HRZ196576:HRZ196592 HID196576:HID196592 GYH196576:GYH196592 GOL196576:GOL196592 GEP196576:GEP196592 FUT196576:FUT196592 FKX196576:FKX196592 FBB196576:FBB196592 ERF196576:ERF196592 EHJ196576:EHJ196592 DXN196576:DXN196592 DNR196576:DNR196592 DDV196576:DDV196592 CTZ196576:CTZ196592 CKD196576:CKD196592 CAH196576:CAH196592 BQL196576:BQL196592 BGP196576:BGP196592 AWT196576:AWT196592 AMX196576:AMX196592 ADB196576:ADB196592 TF196576:TF196592 JJ196576:JJ196592 N196576:N196592 WVV131040:WVV131056 WLZ131040:WLZ131056 WCD131040:WCD131056 VSH131040:VSH131056 VIL131040:VIL131056 UYP131040:UYP131056 UOT131040:UOT131056 UEX131040:UEX131056 TVB131040:TVB131056 TLF131040:TLF131056 TBJ131040:TBJ131056 SRN131040:SRN131056 SHR131040:SHR131056 RXV131040:RXV131056 RNZ131040:RNZ131056 RED131040:RED131056 QUH131040:QUH131056 QKL131040:QKL131056 QAP131040:QAP131056 PQT131040:PQT131056 PGX131040:PGX131056 OXB131040:OXB131056 ONF131040:ONF131056 ODJ131040:ODJ131056 NTN131040:NTN131056 NJR131040:NJR131056 MZV131040:MZV131056 MPZ131040:MPZ131056 MGD131040:MGD131056 LWH131040:LWH131056 LML131040:LML131056 LCP131040:LCP131056 KST131040:KST131056 KIX131040:KIX131056 JZB131040:JZB131056 JPF131040:JPF131056 JFJ131040:JFJ131056 IVN131040:IVN131056 ILR131040:ILR131056 IBV131040:IBV131056 HRZ131040:HRZ131056 HID131040:HID131056 GYH131040:GYH131056 GOL131040:GOL131056 GEP131040:GEP131056 FUT131040:FUT131056 FKX131040:FKX131056 FBB131040:FBB131056 ERF131040:ERF131056 EHJ131040:EHJ131056 DXN131040:DXN131056 DNR131040:DNR131056 DDV131040:DDV131056 CTZ131040:CTZ131056 CKD131040:CKD131056 CAH131040:CAH131056 BQL131040:BQL131056 BGP131040:BGP131056 AWT131040:AWT131056 AMX131040:AMX131056 ADB131040:ADB131056 TF131040:TF131056 JJ131040:JJ131056 N131040:N131056 WVV65504:WVV65520 WLZ65504:WLZ65520 WCD65504:WCD65520 VSH65504:VSH65520 VIL65504:VIL65520 UYP65504:UYP65520 UOT65504:UOT65520 UEX65504:UEX65520 TVB65504:TVB65520 TLF65504:TLF65520 TBJ65504:TBJ65520 SRN65504:SRN65520 SHR65504:SHR65520 RXV65504:RXV65520 RNZ65504:RNZ65520 RED65504:RED65520 QUH65504:QUH65520 QKL65504:QKL65520 QAP65504:QAP65520 PQT65504:PQT65520 PGX65504:PGX65520 OXB65504:OXB65520 ONF65504:ONF65520 ODJ65504:ODJ65520 NTN65504:NTN65520 NJR65504:NJR65520 MZV65504:MZV65520 MPZ65504:MPZ65520 MGD65504:MGD65520 LWH65504:LWH65520 LML65504:LML65520 LCP65504:LCP65520 KST65504:KST65520 KIX65504:KIX65520 JZB65504:JZB65520 JPF65504:JPF65520 JFJ65504:JFJ65520 IVN65504:IVN65520 ILR65504:ILR65520 IBV65504:IBV65520 HRZ65504:HRZ65520 HID65504:HID65520 GYH65504:GYH65520 GOL65504:GOL65520 GEP65504:GEP65520 FUT65504:FUT65520 FKX65504:FKX65520 FBB65504:FBB65520 ERF65504:ERF65520 EHJ65504:EHJ65520 DXN65504:DXN65520 DNR65504:DNR65520 DDV65504:DDV65520 CTZ65504:CTZ65520 CKD65504:CKD65520 CAH65504:CAH65520 BQL65504:BQL65520 BGP65504:BGP65520 AWT65504:AWT65520 AMX65504:AMX65520 ADB65504:ADB65520 TF65504:TF65520 JJ65504:JJ65520 N65504:N65520 WVV982870:WVV982886 WLZ982870:WLZ982886 WCD982870:WCD982886 VSH982870:VSH982886 VIL982870:VIL982886 UYP982870:UYP982886 UOT982870:UOT982886 UEX982870:UEX982886 TVB982870:TVB982886 TLF982870:TLF982886 TBJ982870:TBJ982886 SRN982870:SRN982886 SHR982870:SHR982886 RXV982870:RXV982886 RNZ982870:RNZ982886 RED982870:RED982886 QUH982870:QUH982886 QKL982870:QKL982886 QAP982870:QAP982886 PQT982870:PQT982886 PGX982870:PGX982886 OXB982870:OXB982886 ONF982870:ONF982886 ODJ982870:ODJ982886 NTN982870:NTN982886 NJR982870:NJR982886 MZV982870:MZV982886 MPZ982870:MPZ982886 MGD982870:MGD982886 LWH982870:LWH982886 LML982870:LML982886 LCP982870:LCP982886 KST982870:KST982886 KIX982870:KIX982886 JZB982870:JZB982886 JPF982870:JPF982886 JFJ982870:JFJ982886 IVN982870:IVN982886 ILR982870:ILR982886 IBV982870:IBV982886 HRZ982870:HRZ982886 HID982870:HID982886 GYH982870:GYH982886 GOL982870:GOL982886 GEP982870:GEP982886 FUT982870:FUT982886 FKX982870:FKX982886 FBB982870:FBB982886 ERF982870:ERF982886 EHJ982870:EHJ982886 DXN982870:DXN982886 DNR982870:DNR982886 DDV982870:DDV982886 CTZ982870:CTZ982886 CKD982870:CKD982886 CAH982870:CAH982886 BQL982870:BQL982886 BGP982870:BGP982886 AWT982870:AWT982886 AMX982870:AMX982886 ADB982870:ADB982886 TF982870:TF982886 JJ982870:JJ982886 N982870:N982886 WVV917334:WVV917350 WLZ917334:WLZ917350 WCD917334:WCD917350 VSH917334:VSH917350 VIL917334:VIL917350 UYP917334:UYP917350 UOT917334:UOT917350 UEX917334:UEX917350 TVB917334:TVB917350 TLF917334:TLF917350 TBJ917334:TBJ917350 SRN917334:SRN917350 SHR917334:SHR917350 RXV917334:RXV917350 RNZ917334:RNZ917350 RED917334:RED917350 QUH917334:QUH917350 QKL917334:QKL917350 QAP917334:QAP917350 PQT917334:PQT917350 PGX917334:PGX917350 OXB917334:OXB917350 ONF917334:ONF917350 ODJ917334:ODJ917350 NTN917334:NTN917350 NJR917334:NJR917350 MZV917334:MZV917350 MPZ917334:MPZ917350 MGD917334:MGD917350 LWH917334:LWH917350 LML917334:LML917350 LCP917334:LCP917350 KST917334:KST917350 KIX917334:KIX917350 JZB917334:JZB917350 JPF917334:JPF917350 JFJ917334:JFJ917350 IVN917334:IVN917350 ILR917334:ILR917350 IBV917334:IBV917350 HRZ917334:HRZ917350 HID917334:HID917350 GYH917334:GYH917350 GOL917334:GOL917350 GEP917334:GEP917350 FUT917334:FUT917350 FKX917334:FKX917350 FBB917334:FBB917350 ERF917334:ERF917350 EHJ917334:EHJ917350 DXN917334:DXN917350 DNR917334:DNR917350 DDV917334:DDV917350 CTZ917334:CTZ917350 CKD917334:CKD917350 CAH917334:CAH917350 BQL917334:BQL917350 BGP917334:BGP917350 AWT917334:AWT917350 AMX917334:AMX917350 ADB917334:ADB917350 TF917334:TF917350 JJ917334:JJ917350 N917334:N917350 WVV851798:WVV851814 WLZ851798:WLZ851814 WCD851798:WCD851814 VSH851798:VSH851814 VIL851798:VIL851814 UYP851798:UYP851814 UOT851798:UOT851814 UEX851798:UEX851814 TVB851798:TVB851814 TLF851798:TLF851814 TBJ851798:TBJ851814 SRN851798:SRN851814 SHR851798:SHR851814 RXV851798:RXV851814 RNZ851798:RNZ851814 RED851798:RED851814 QUH851798:QUH851814 QKL851798:QKL851814 QAP851798:QAP851814 PQT851798:PQT851814 PGX851798:PGX851814 OXB851798:OXB851814 ONF851798:ONF851814 ODJ851798:ODJ851814 NTN851798:NTN851814 NJR851798:NJR851814 MZV851798:MZV851814 MPZ851798:MPZ851814 MGD851798:MGD851814 LWH851798:LWH851814 LML851798:LML851814 LCP851798:LCP851814 KST851798:KST851814 KIX851798:KIX851814 JZB851798:JZB851814 JPF851798:JPF851814 JFJ851798:JFJ851814 IVN851798:IVN851814 ILR851798:ILR851814 IBV851798:IBV851814 HRZ851798:HRZ851814 HID851798:HID851814 GYH851798:GYH851814 GOL851798:GOL851814 GEP851798:GEP851814 FUT851798:FUT851814 FKX851798:FKX851814 FBB851798:FBB851814 ERF851798:ERF851814 EHJ851798:EHJ851814 DXN851798:DXN851814 DNR851798:DNR851814 DDV851798:DDV851814 CTZ851798:CTZ851814 CKD851798:CKD851814 CAH851798:CAH851814 BQL851798:BQL851814 BGP851798:BGP851814 AWT851798:AWT851814 AMX851798:AMX851814 ADB851798:ADB851814 TF851798:TF851814 JJ851798:JJ851814 N851798:N851814 WVV786262:WVV786278 WLZ786262:WLZ786278 WCD786262:WCD786278 VSH786262:VSH786278 VIL786262:VIL786278 UYP786262:UYP786278 UOT786262:UOT786278 UEX786262:UEX786278 TVB786262:TVB786278 TLF786262:TLF786278 TBJ786262:TBJ786278 SRN786262:SRN786278 SHR786262:SHR786278 RXV786262:RXV786278 RNZ786262:RNZ786278 RED786262:RED786278 QUH786262:QUH786278 QKL786262:QKL786278 QAP786262:QAP786278 PQT786262:PQT786278 PGX786262:PGX786278 OXB786262:OXB786278 ONF786262:ONF786278 ODJ786262:ODJ786278 NTN786262:NTN786278 NJR786262:NJR786278 MZV786262:MZV786278 MPZ786262:MPZ786278 MGD786262:MGD786278 LWH786262:LWH786278 LML786262:LML786278 LCP786262:LCP786278 KST786262:KST786278 KIX786262:KIX786278 JZB786262:JZB786278 JPF786262:JPF786278 JFJ786262:JFJ786278 IVN786262:IVN786278 ILR786262:ILR786278 IBV786262:IBV786278 HRZ786262:HRZ786278 HID786262:HID786278 GYH786262:GYH786278 GOL786262:GOL786278 GEP786262:GEP786278 FUT786262:FUT786278 FKX786262:FKX786278 FBB786262:FBB786278 ERF786262:ERF786278 EHJ786262:EHJ786278 DXN786262:DXN786278 DNR786262:DNR786278 DDV786262:DDV786278 CTZ786262:CTZ786278 CKD786262:CKD786278 CAH786262:CAH786278 BQL786262:BQL786278 BGP786262:BGP786278 AWT786262:AWT786278 AMX786262:AMX786278 ADB786262:ADB786278 TF786262:TF786278 JJ786262:JJ786278 N786262:N786278 WVV720726:WVV720742 WLZ720726:WLZ720742 WCD720726:WCD720742 VSH720726:VSH720742 VIL720726:VIL720742 UYP720726:UYP720742 UOT720726:UOT720742 UEX720726:UEX720742 TVB720726:TVB720742 TLF720726:TLF720742 TBJ720726:TBJ720742 SRN720726:SRN720742 SHR720726:SHR720742 RXV720726:RXV720742 RNZ720726:RNZ720742 RED720726:RED720742 QUH720726:QUH720742 QKL720726:QKL720742 QAP720726:QAP720742 PQT720726:PQT720742 PGX720726:PGX720742 OXB720726:OXB720742 ONF720726:ONF720742 ODJ720726:ODJ720742 NTN720726:NTN720742 NJR720726:NJR720742 MZV720726:MZV720742 MPZ720726:MPZ720742 MGD720726:MGD720742 LWH720726:LWH720742 LML720726:LML720742 LCP720726:LCP720742 KST720726:KST720742 KIX720726:KIX720742 JZB720726:JZB720742 JPF720726:JPF720742 JFJ720726:JFJ720742 IVN720726:IVN720742 ILR720726:ILR720742 IBV720726:IBV720742 HRZ720726:HRZ720742 HID720726:HID720742 GYH720726:GYH720742 GOL720726:GOL720742 GEP720726:GEP720742 FUT720726:FUT720742 FKX720726:FKX720742 FBB720726:FBB720742 ERF720726:ERF720742 EHJ720726:EHJ720742 DXN720726:DXN720742 DNR720726:DNR720742 DDV720726:DDV720742 CTZ720726:CTZ720742 CKD720726:CKD720742 CAH720726:CAH720742 BQL720726:BQL720742 BGP720726:BGP720742 AWT720726:AWT720742 AMX720726:AMX720742 ADB720726:ADB720742 TF720726:TF720742 JJ720726:JJ720742 N720726:N720742 WVV655190:WVV655206 WLZ655190:WLZ655206 WCD655190:WCD655206 VSH655190:VSH655206 VIL655190:VIL655206 UYP655190:UYP655206 UOT655190:UOT655206 UEX655190:UEX655206 TVB655190:TVB655206 TLF655190:TLF655206 TBJ655190:TBJ655206 SRN655190:SRN655206 SHR655190:SHR655206 RXV655190:RXV655206 RNZ655190:RNZ655206 RED655190:RED655206 QUH655190:QUH655206 QKL655190:QKL655206 QAP655190:QAP655206 PQT655190:PQT655206 PGX655190:PGX655206 OXB655190:OXB655206 ONF655190:ONF655206 ODJ655190:ODJ655206 NTN655190:NTN655206 NJR655190:NJR655206 MZV655190:MZV655206 MPZ655190:MPZ655206 MGD655190:MGD655206 LWH655190:LWH655206 LML655190:LML655206 LCP655190:LCP655206 KST655190:KST655206 KIX655190:KIX655206 JZB655190:JZB655206 JPF655190:JPF655206 JFJ655190:JFJ655206 IVN655190:IVN655206 ILR655190:ILR655206 IBV655190:IBV655206 HRZ655190:HRZ655206 HID655190:HID655206 GYH655190:GYH655206 GOL655190:GOL655206 GEP655190:GEP655206 FUT655190:FUT655206 FKX655190:FKX655206 FBB655190:FBB655206 ERF655190:ERF655206 EHJ655190:EHJ655206 DXN655190:DXN655206 DNR655190:DNR655206 DDV655190:DDV655206 CTZ655190:CTZ655206 CKD655190:CKD655206 CAH655190:CAH655206 BQL655190:BQL655206 BGP655190:BGP655206 AWT655190:AWT655206 AMX655190:AMX655206 ADB655190:ADB655206 TF655190:TF655206 JJ655190:JJ655206 N655190:N655206 WVV589654:WVV589670 WLZ589654:WLZ589670 WCD589654:WCD589670 VSH589654:VSH589670 VIL589654:VIL589670 UYP589654:UYP589670 UOT589654:UOT589670 UEX589654:UEX589670 TVB589654:TVB589670 TLF589654:TLF589670 TBJ589654:TBJ589670 SRN589654:SRN589670 SHR589654:SHR589670 RXV589654:RXV589670 RNZ589654:RNZ589670 RED589654:RED589670 QUH589654:QUH589670 QKL589654:QKL589670 QAP589654:QAP589670 PQT589654:PQT589670 PGX589654:PGX589670 OXB589654:OXB589670 ONF589654:ONF589670 ODJ589654:ODJ589670 NTN589654:NTN589670 NJR589654:NJR589670 MZV589654:MZV589670 MPZ589654:MPZ589670 MGD589654:MGD589670 LWH589654:LWH589670 LML589654:LML589670 LCP589654:LCP589670 KST589654:KST589670 KIX589654:KIX589670 JZB589654:JZB589670 JPF589654:JPF589670 JFJ589654:JFJ589670 IVN589654:IVN589670 ILR589654:ILR589670 IBV589654:IBV589670 HRZ589654:HRZ589670 HID589654:HID589670 GYH589654:GYH589670 GOL589654:GOL589670 GEP589654:GEP589670 FUT589654:FUT589670 FKX589654:FKX589670 FBB589654:FBB589670 ERF589654:ERF589670 EHJ589654:EHJ589670 DXN589654:DXN589670 DNR589654:DNR589670 DDV589654:DDV589670 CTZ589654:CTZ589670 CKD589654:CKD589670 CAH589654:CAH589670 BQL589654:BQL589670 BGP589654:BGP589670 AWT589654:AWT589670 AMX589654:AMX589670 ADB589654:ADB589670 TF589654:TF589670 JJ589654:JJ589670 N589654:N589670 WVV524118:WVV524134 WLZ524118:WLZ524134 WCD524118:WCD524134 VSH524118:VSH524134 VIL524118:VIL524134 UYP524118:UYP524134 UOT524118:UOT524134 UEX524118:UEX524134 TVB524118:TVB524134 TLF524118:TLF524134 TBJ524118:TBJ524134 SRN524118:SRN524134 SHR524118:SHR524134 RXV524118:RXV524134 RNZ524118:RNZ524134 RED524118:RED524134 QUH524118:QUH524134 QKL524118:QKL524134 QAP524118:QAP524134 PQT524118:PQT524134 PGX524118:PGX524134 OXB524118:OXB524134 ONF524118:ONF524134 ODJ524118:ODJ524134 NTN524118:NTN524134 NJR524118:NJR524134 MZV524118:MZV524134 MPZ524118:MPZ524134 MGD524118:MGD524134 LWH524118:LWH524134 LML524118:LML524134 LCP524118:LCP524134 KST524118:KST524134 KIX524118:KIX524134 JZB524118:JZB524134 JPF524118:JPF524134 JFJ524118:JFJ524134 IVN524118:IVN524134 ILR524118:ILR524134 IBV524118:IBV524134 HRZ524118:HRZ524134 HID524118:HID524134 GYH524118:GYH524134 GOL524118:GOL524134 GEP524118:GEP524134 FUT524118:FUT524134 FKX524118:FKX524134 FBB524118:FBB524134 ERF524118:ERF524134 EHJ524118:EHJ524134 DXN524118:DXN524134 DNR524118:DNR524134 DDV524118:DDV524134 CTZ524118:CTZ524134 CKD524118:CKD524134 CAH524118:CAH524134 BQL524118:BQL524134 BGP524118:BGP524134 AWT524118:AWT524134 AMX524118:AMX524134 ADB524118:ADB524134 TF524118:TF524134 JJ524118:JJ524134 N524118:N524134 WVV458582:WVV458598 WLZ458582:WLZ458598 WCD458582:WCD458598 VSH458582:VSH458598 VIL458582:VIL458598 UYP458582:UYP458598 UOT458582:UOT458598 UEX458582:UEX458598 TVB458582:TVB458598 TLF458582:TLF458598 TBJ458582:TBJ458598 SRN458582:SRN458598 SHR458582:SHR458598 RXV458582:RXV458598 RNZ458582:RNZ458598 RED458582:RED458598 QUH458582:QUH458598 QKL458582:QKL458598 QAP458582:QAP458598 PQT458582:PQT458598 PGX458582:PGX458598 OXB458582:OXB458598 ONF458582:ONF458598 ODJ458582:ODJ458598 NTN458582:NTN458598 NJR458582:NJR458598 MZV458582:MZV458598 MPZ458582:MPZ458598 MGD458582:MGD458598 LWH458582:LWH458598 LML458582:LML458598 LCP458582:LCP458598 KST458582:KST458598 KIX458582:KIX458598 JZB458582:JZB458598 JPF458582:JPF458598 JFJ458582:JFJ458598 IVN458582:IVN458598 ILR458582:ILR458598 IBV458582:IBV458598 HRZ458582:HRZ458598 HID458582:HID458598 GYH458582:GYH458598 GOL458582:GOL458598 GEP458582:GEP458598 FUT458582:FUT458598 FKX458582:FKX458598 FBB458582:FBB458598 ERF458582:ERF458598 EHJ458582:EHJ458598 DXN458582:DXN458598 DNR458582:DNR458598 DDV458582:DDV458598 CTZ458582:CTZ458598 CKD458582:CKD458598 CAH458582:CAH458598 BQL458582:BQL458598 BGP458582:BGP458598 AWT458582:AWT458598 AMX458582:AMX458598 ADB458582:ADB458598 TF458582:TF458598 JJ458582:JJ458598 N458582:N458598 WVV393046:WVV393062 WLZ393046:WLZ393062 WCD393046:WCD393062 VSH393046:VSH393062 VIL393046:VIL393062 UYP393046:UYP393062 UOT393046:UOT393062 UEX393046:UEX393062 TVB393046:TVB393062 TLF393046:TLF393062 TBJ393046:TBJ393062 SRN393046:SRN393062 SHR393046:SHR393062 RXV393046:RXV393062 RNZ393046:RNZ393062 RED393046:RED393062 QUH393046:QUH393062 QKL393046:QKL393062 QAP393046:QAP393062 PQT393046:PQT393062 PGX393046:PGX393062 OXB393046:OXB393062 ONF393046:ONF393062 ODJ393046:ODJ393062 NTN393046:NTN393062 NJR393046:NJR393062 MZV393046:MZV393062 MPZ393046:MPZ393062 MGD393046:MGD393062 LWH393046:LWH393062 LML393046:LML393062 LCP393046:LCP393062 KST393046:KST393062 KIX393046:KIX393062 JZB393046:JZB393062 JPF393046:JPF393062 JFJ393046:JFJ393062 IVN393046:IVN393062 ILR393046:ILR393062 IBV393046:IBV393062 HRZ393046:HRZ393062 HID393046:HID393062 GYH393046:GYH393062 GOL393046:GOL393062 GEP393046:GEP393062 FUT393046:FUT393062 FKX393046:FKX393062 FBB393046:FBB393062 ERF393046:ERF393062 EHJ393046:EHJ393062 DXN393046:DXN393062 DNR393046:DNR393062 DDV393046:DDV393062 CTZ393046:CTZ393062 CKD393046:CKD393062 CAH393046:CAH393062 BQL393046:BQL393062 BGP393046:BGP393062 AWT393046:AWT393062 AMX393046:AMX393062 ADB393046:ADB393062 TF393046:TF393062 JJ393046:JJ393062 N393046:N393062 WVV327510:WVV327526 WLZ327510:WLZ327526 WCD327510:WCD327526 VSH327510:VSH327526 VIL327510:VIL327526 UYP327510:UYP327526 UOT327510:UOT327526 UEX327510:UEX327526 TVB327510:TVB327526 TLF327510:TLF327526 TBJ327510:TBJ327526 SRN327510:SRN327526 SHR327510:SHR327526 RXV327510:RXV327526 RNZ327510:RNZ327526 RED327510:RED327526 QUH327510:QUH327526 QKL327510:QKL327526 QAP327510:QAP327526 PQT327510:PQT327526 PGX327510:PGX327526 OXB327510:OXB327526 ONF327510:ONF327526 ODJ327510:ODJ327526 NTN327510:NTN327526 NJR327510:NJR327526 MZV327510:MZV327526 MPZ327510:MPZ327526 MGD327510:MGD327526 LWH327510:LWH327526 LML327510:LML327526 LCP327510:LCP327526 KST327510:KST327526 KIX327510:KIX327526 JZB327510:JZB327526 JPF327510:JPF327526 JFJ327510:JFJ327526 IVN327510:IVN327526 ILR327510:ILR327526 IBV327510:IBV327526 HRZ327510:HRZ327526 HID327510:HID327526 GYH327510:GYH327526 GOL327510:GOL327526 GEP327510:GEP327526 FUT327510:FUT327526 FKX327510:FKX327526 FBB327510:FBB327526 ERF327510:ERF327526 EHJ327510:EHJ327526 DXN327510:DXN327526 DNR327510:DNR327526 DDV327510:DDV327526 CTZ327510:CTZ327526 CKD327510:CKD327526 CAH327510:CAH327526 BQL327510:BQL327526 BGP327510:BGP327526 AWT327510:AWT327526 AMX327510:AMX327526 ADB327510:ADB327526 TF327510:TF327526 JJ327510:JJ327526 N327510:N327526 WVV261974:WVV261990 WLZ261974:WLZ261990 WCD261974:WCD261990 VSH261974:VSH261990 VIL261974:VIL261990 UYP261974:UYP261990 UOT261974:UOT261990 UEX261974:UEX261990 TVB261974:TVB261990 TLF261974:TLF261990 TBJ261974:TBJ261990 SRN261974:SRN261990 SHR261974:SHR261990 RXV261974:RXV261990 RNZ261974:RNZ261990 RED261974:RED261990 QUH261974:QUH261990 QKL261974:QKL261990 QAP261974:QAP261990 PQT261974:PQT261990 PGX261974:PGX261990 OXB261974:OXB261990 ONF261974:ONF261990 ODJ261974:ODJ261990 NTN261974:NTN261990 NJR261974:NJR261990 MZV261974:MZV261990 MPZ261974:MPZ261990 MGD261974:MGD261990 LWH261974:LWH261990 LML261974:LML261990 LCP261974:LCP261990 KST261974:KST261990 KIX261974:KIX261990 JZB261974:JZB261990 JPF261974:JPF261990 JFJ261974:JFJ261990 IVN261974:IVN261990 ILR261974:ILR261990 IBV261974:IBV261990 HRZ261974:HRZ261990 HID261974:HID261990 GYH261974:GYH261990 GOL261974:GOL261990 GEP261974:GEP261990 FUT261974:FUT261990 FKX261974:FKX261990 FBB261974:FBB261990 ERF261974:ERF261990 EHJ261974:EHJ261990 DXN261974:DXN261990 DNR261974:DNR261990 DDV261974:DDV261990 CTZ261974:CTZ261990 CKD261974:CKD261990 CAH261974:CAH261990 BQL261974:BQL261990 BGP261974:BGP261990 AWT261974:AWT261990 AMX261974:AMX261990 ADB261974:ADB261990 TF261974:TF261990 JJ261974:JJ261990 N261974:N261990 WVV196438:WVV196454 WLZ196438:WLZ196454 WCD196438:WCD196454 VSH196438:VSH196454 VIL196438:VIL196454 UYP196438:UYP196454 UOT196438:UOT196454 UEX196438:UEX196454 TVB196438:TVB196454 TLF196438:TLF196454 TBJ196438:TBJ196454 SRN196438:SRN196454 SHR196438:SHR196454 RXV196438:RXV196454 RNZ196438:RNZ196454 RED196438:RED196454 QUH196438:QUH196454 QKL196438:QKL196454 QAP196438:QAP196454 PQT196438:PQT196454 PGX196438:PGX196454 OXB196438:OXB196454 ONF196438:ONF196454 ODJ196438:ODJ196454 NTN196438:NTN196454 NJR196438:NJR196454 MZV196438:MZV196454 MPZ196438:MPZ196454 MGD196438:MGD196454 LWH196438:LWH196454 LML196438:LML196454 LCP196438:LCP196454 KST196438:KST196454 KIX196438:KIX196454 JZB196438:JZB196454 JPF196438:JPF196454 JFJ196438:JFJ196454 IVN196438:IVN196454 ILR196438:ILR196454 IBV196438:IBV196454 HRZ196438:HRZ196454 HID196438:HID196454 GYH196438:GYH196454 GOL196438:GOL196454 GEP196438:GEP196454 FUT196438:FUT196454 FKX196438:FKX196454 FBB196438:FBB196454 ERF196438:ERF196454 EHJ196438:EHJ196454 DXN196438:DXN196454 DNR196438:DNR196454 DDV196438:DDV196454 CTZ196438:CTZ196454 CKD196438:CKD196454 CAH196438:CAH196454 BQL196438:BQL196454 BGP196438:BGP196454 AWT196438:AWT196454 AMX196438:AMX196454 ADB196438:ADB196454 TF196438:TF196454 JJ196438:JJ196454 N196438:N196454 WVV130902:WVV130918 WLZ130902:WLZ130918 WCD130902:WCD130918 VSH130902:VSH130918 VIL130902:VIL130918 UYP130902:UYP130918 UOT130902:UOT130918 UEX130902:UEX130918 TVB130902:TVB130918 TLF130902:TLF130918 TBJ130902:TBJ130918 SRN130902:SRN130918 SHR130902:SHR130918 RXV130902:RXV130918 RNZ130902:RNZ130918 RED130902:RED130918 QUH130902:QUH130918 QKL130902:QKL130918 QAP130902:QAP130918 PQT130902:PQT130918 PGX130902:PGX130918 OXB130902:OXB130918 ONF130902:ONF130918 ODJ130902:ODJ130918 NTN130902:NTN130918 NJR130902:NJR130918 MZV130902:MZV130918 MPZ130902:MPZ130918 MGD130902:MGD130918 LWH130902:LWH130918 LML130902:LML130918 LCP130902:LCP130918 KST130902:KST130918 KIX130902:KIX130918 JZB130902:JZB130918 JPF130902:JPF130918 JFJ130902:JFJ130918 IVN130902:IVN130918 ILR130902:ILR130918 IBV130902:IBV130918 HRZ130902:HRZ130918 HID130902:HID130918 GYH130902:GYH130918 GOL130902:GOL130918 GEP130902:GEP130918 FUT130902:FUT130918 FKX130902:FKX130918 FBB130902:FBB130918 ERF130902:ERF130918 EHJ130902:EHJ130918 DXN130902:DXN130918 DNR130902:DNR130918 DDV130902:DDV130918 CTZ130902:CTZ130918 CKD130902:CKD130918 CAH130902:CAH130918 BQL130902:BQL130918 BGP130902:BGP130918 AWT130902:AWT130918 AMX130902:AMX130918 ADB130902:ADB130918 TF130902:TF130918 JJ130902:JJ130918 N130902:N130918 WVV65366:WVV65382 WLZ65366:WLZ65382 WCD65366:WCD65382 VSH65366:VSH65382 VIL65366:VIL65382 UYP65366:UYP65382 UOT65366:UOT65382 UEX65366:UEX65382 TVB65366:TVB65382 TLF65366:TLF65382 TBJ65366:TBJ65382 SRN65366:SRN65382 SHR65366:SHR65382 RXV65366:RXV65382 RNZ65366:RNZ65382 RED65366:RED65382 QUH65366:QUH65382 QKL65366:QKL65382 QAP65366:QAP65382 PQT65366:PQT65382 PGX65366:PGX65382 OXB65366:OXB65382 ONF65366:ONF65382 ODJ65366:ODJ65382 NTN65366:NTN65382 NJR65366:NJR65382 MZV65366:MZV65382 MPZ65366:MPZ65382 MGD65366:MGD65382 LWH65366:LWH65382 LML65366:LML65382 LCP65366:LCP65382 KST65366:KST65382 KIX65366:KIX65382 JZB65366:JZB65382 JPF65366:JPF65382 JFJ65366:JFJ65382 IVN65366:IVN65382 ILR65366:ILR65382 IBV65366:IBV65382 HRZ65366:HRZ65382 HID65366:HID65382 GYH65366:GYH65382 GOL65366:GOL65382 GEP65366:GEP65382 FUT65366:FUT65382 FKX65366:FKX65382 FBB65366:FBB65382 ERF65366:ERF65382 EHJ65366:EHJ65382 DXN65366:DXN65382 DNR65366:DNR65382 DDV65366:DDV65382 CTZ65366:CTZ65382 CKD65366:CKD65382 CAH65366:CAH65382 BQL65366:BQL65382 BGP65366:BGP65382 AWT65366:AWT65382 AMX65366:AMX65382 ADB65366:ADB65382 TF65366:TF65382 JJ65366:JJ65382 N65366:N65382 WVV982824:WVV982840 WLZ982824:WLZ982840 WCD982824:WCD982840 VSH982824:VSH982840 VIL982824:VIL982840 UYP982824:UYP982840 UOT982824:UOT982840 UEX982824:UEX982840 TVB982824:TVB982840 TLF982824:TLF982840 TBJ982824:TBJ982840 SRN982824:SRN982840 SHR982824:SHR982840 RXV982824:RXV982840 RNZ982824:RNZ982840 RED982824:RED982840 QUH982824:QUH982840 QKL982824:QKL982840 QAP982824:QAP982840 PQT982824:PQT982840 PGX982824:PGX982840 OXB982824:OXB982840 ONF982824:ONF982840 ODJ982824:ODJ982840 NTN982824:NTN982840 NJR982824:NJR982840 MZV982824:MZV982840 MPZ982824:MPZ982840 MGD982824:MGD982840 LWH982824:LWH982840 LML982824:LML982840 LCP982824:LCP982840 KST982824:KST982840 KIX982824:KIX982840 JZB982824:JZB982840 JPF982824:JPF982840 JFJ982824:JFJ982840 IVN982824:IVN982840 ILR982824:ILR982840 IBV982824:IBV982840 HRZ982824:HRZ982840 HID982824:HID982840 GYH982824:GYH982840 GOL982824:GOL982840 GEP982824:GEP982840 FUT982824:FUT982840 FKX982824:FKX982840 FBB982824:FBB982840 ERF982824:ERF982840 EHJ982824:EHJ982840 DXN982824:DXN982840 DNR982824:DNR982840 DDV982824:DDV982840 CTZ982824:CTZ982840 CKD982824:CKD982840 CAH982824:CAH982840 BQL982824:BQL982840 BGP982824:BGP982840 AWT982824:AWT982840 AMX982824:AMX982840 ADB982824:ADB982840 TF982824:TF982840 JJ982824:JJ982840 N982824:N982840 WVV917288:WVV917304 WLZ917288:WLZ917304 WCD917288:WCD917304 VSH917288:VSH917304 VIL917288:VIL917304 UYP917288:UYP917304 UOT917288:UOT917304 UEX917288:UEX917304 TVB917288:TVB917304 TLF917288:TLF917304 TBJ917288:TBJ917304 SRN917288:SRN917304 SHR917288:SHR917304 RXV917288:RXV917304 RNZ917288:RNZ917304 RED917288:RED917304 QUH917288:QUH917304 QKL917288:QKL917304 QAP917288:QAP917304 PQT917288:PQT917304 PGX917288:PGX917304 OXB917288:OXB917304 ONF917288:ONF917304 ODJ917288:ODJ917304 NTN917288:NTN917304 NJR917288:NJR917304 MZV917288:MZV917304 MPZ917288:MPZ917304 MGD917288:MGD917304 LWH917288:LWH917304 LML917288:LML917304 LCP917288:LCP917304 KST917288:KST917304 KIX917288:KIX917304 JZB917288:JZB917304 JPF917288:JPF917304 JFJ917288:JFJ917304 IVN917288:IVN917304 ILR917288:ILR917304 IBV917288:IBV917304 HRZ917288:HRZ917304 HID917288:HID917304 GYH917288:GYH917304 GOL917288:GOL917304 GEP917288:GEP917304 FUT917288:FUT917304 FKX917288:FKX917304 FBB917288:FBB917304 ERF917288:ERF917304 EHJ917288:EHJ917304 DXN917288:DXN917304 DNR917288:DNR917304 DDV917288:DDV917304 CTZ917288:CTZ917304 CKD917288:CKD917304 CAH917288:CAH917304 BQL917288:BQL917304 BGP917288:BGP917304 AWT917288:AWT917304 AMX917288:AMX917304 ADB917288:ADB917304 TF917288:TF917304 JJ917288:JJ917304 N917288:N917304 WVV851752:WVV851768 WLZ851752:WLZ851768 WCD851752:WCD851768 VSH851752:VSH851768 VIL851752:VIL851768 UYP851752:UYP851768 UOT851752:UOT851768 UEX851752:UEX851768 TVB851752:TVB851768 TLF851752:TLF851768 TBJ851752:TBJ851768 SRN851752:SRN851768 SHR851752:SHR851768 RXV851752:RXV851768 RNZ851752:RNZ851768 RED851752:RED851768 QUH851752:QUH851768 QKL851752:QKL851768 QAP851752:QAP851768 PQT851752:PQT851768 PGX851752:PGX851768 OXB851752:OXB851768 ONF851752:ONF851768 ODJ851752:ODJ851768 NTN851752:NTN851768 NJR851752:NJR851768 MZV851752:MZV851768 MPZ851752:MPZ851768 MGD851752:MGD851768 LWH851752:LWH851768 LML851752:LML851768 LCP851752:LCP851768 KST851752:KST851768 KIX851752:KIX851768 JZB851752:JZB851768 JPF851752:JPF851768 JFJ851752:JFJ851768 IVN851752:IVN851768 ILR851752:ILR851768 IBV851752:IBV851768 HRZ851752:HRZ851768 HID851752:HID851768 GYH851752:GYH851768 GOL851752:GOL851768 GEP851752:GEP851768 FUT851752:FUT851768 FKX851752:FKX851768 FBB851752:FBB851768 ERF851752:ERF851768 EHJ851752:EHJ851768 DXN851752:DXN851768 DNR851752:DNR851768 DDV851752:DDV851768 CTZ851752:CTZ851768 CKD851752:CKD851768 CAH851752:CAH851768 BQL851752:BQL851768 BGP851752:BGP851768 AWT851752:AWT851768 AMX851752:AMX851768 ADB851752:ADB851768 TF851752:TF851768 JJ851752:JJ851768 N851752:N851768 WVV786216:WVV786232 WLZ786216:WLZ786232 WCD786216:WCD786232 VSH786216:VSH786232 VIL786216:VIL786232 UYP786216:UYP786232 UOT786216:UOT786232 UEX786216:UEX786232 TVB786216:TVB786232 TLF786216:TLF786232 TBJ786216:TBJ786232 SRN786216:SRN786232 SHR786216:SHR786232 RXV786216:RXV786232 RNZ786216:RNZ786232 RED786216:RED786232 QUH786216:QUH786232 QKL786216:QKL786232 QAP786216:QAP786232 PQT786216:PQT786232 PGX786216:PGX786232 OXB786216:OXB786232 ONF786216:ONF786232 ODJ786216:ODJ786232 NTN786216:NTN786232 NJR786216:NJR786232 MZV786216:MZV786232 MPZ786216:MPZ786232 MGD786216:MGD786232 LWH786216:LWH786232 LML786216:LML786232 LCP786216:LCP786232 KST786216:KST786232 KIX786216:KIX786232 JZB786216:JZB786232 JPF786216:JPF786232 JFJ786216:JFJ786232 IVN786216:IVN786232 ILR786216:ILR786232 IBV786216:IBV786232 HRZ786216:HRZ786232 HID786216:HID786232 GYH786216:GYH786232 GOL786216:GOL786232 GEP786216:GEP786232 FUT786216:FUT786232 FKX786216:FKX786232 FBB786216:FBB786232 ERF786216:ERF786232 EHJ786216:EHJ786232 DXN786216:DXN786232 DNR786216:DNR786232 DDV786216:DDV786232 CTZ786216:CTZ786232 CKD786216:CKD786232 CAH786216:CAH786232 BQL786216:BQL786232 BGP786216:BGP786232 AWT786216:AWT786232 AMX786216:AMX786232 ADB786216:ADB786232 TF786216:TF786232 JJ786216:JJ786232 N786216:N786232 WVV720680:WVV720696 WLZ720680:WLZ720696 WCD720680:WCD720696 VSH720680:VSH720696 VIL720680:VIL720696 UYP720680:UYP720696 UOT720680:UOT720696 UEX720680:UEX720696 TVB720680:TVB720696 TLF720680:TLF720696 TBJ720680:TBJ720696 SRN720680:SRN720696 SHR720680:SHR720696 RXV720680:RXV720696 RNZ720680:RNZ720696 RED720680:RED720696 QUH720680:QUH720696 QKL720680:QKL720696 QAP720680:QAP720696 PQT720680:PQT720696 PGX720680:PGX720696 OXB720680:OXB720696 ONF720680:ONF720696 ODJ720680:ODJ720696 NTN720680:NTN720696 NJR720680:NJR720696 MZV720680:MZV720696 MPZ720680:MPZ720696 MGD720680:MGD720696 LWH720680:LWH720696 LML720680:LML720696 LCP720680:LCP720696 KST720680:KST720696 KIX720680:KIX720696 JZB720680:JZB720696 JPF720680:JPF720696 JFJ720680:JFJ720696 IVN720680:IVN720696 ILR720680:ILR720696 IBV720680:IBV720696 HRZ720680:HRZ720696 HID720680:HID720696 GYH720680:GYH720696 GOL720680:GOL720696 GEP720680:GEP720696 FUT720680:FUT720696 FKX720680:FKX720696 FBB720680:FBB720696 ERF720680:ERF720696 EHJ720680:EHJ720696 DXN720680:DXN720696 DNR720680:DNR720696 DDV720680:DDV720696 CTZ720680:CTZ720696 CKD720680:CKD720696 CAH720680:CAH720696 BQL720680:BQL720696 BGP720680:BGP720696 AWT720680:AWT720696 AMX720680:AMX720696 ADB720680:ADB720696 TF720680:TF720696 JJ720680:JJ720696 N720680:N720696 WVV655144:WVV655160 WLZ655144:WLZ655160 WCD655144:WCD655160 VSH655144:VSH655160 VIL655144:VIL655160 UYP655144:UYP655160 UOT655144:UOT655160 UEX655144:UEX655160 TVB655144:TVB655160 TLF655144:TLF655160 TBJ655144:TBJ655160 SRN655144:SRN655160 SHR655144:SHR655160 RXV655144:RXV655160 RNZ655144:RNZ655160 RED655144:RED655160 QUH655144:QUH655160 QKL655144:QKL655160 QAP655144:QAP655160 PQT655144:PQT655160 PGX655144:PGX655160 OXB655144:OXB655160 ONF655144:ONF655160 ODJ655144:ODJ655160 NTN655144:NTN655160 NJR655144:NJR655160 MZV655144:MZV655160 MPZ655144:MPZ655160 MGD655144:MGD655160 LWH655144:LWH655160 LML655144:LML655160 LCP655144:LCP655160 KST655144:KST655160 KIX655144:KIX655160 JZB655144:JZB655160 JPF655144:JPF655160 JFJ655144:JFJ655160 IVN655144:IVN655160 ILR655144:ILR655160 IBV655144:IBV655160 HRZ655144:HRZ655160 HID655144:HID655160 GYH655144:GYH655160 GOL655144:GOL655160 GEP655144:GEP655160 FUT655144:FUT655160 FKX655144:FKX655160 FBB655144:FBB655160 ERF655144:ERF655160 EHJ655144:EHJ655160 DXN655144:DXN655160 DNR655144:DNR655160 DDV655144:DDV655160 CTZ655144:CTZ655160 CKD655144:CKD655160 CAH655144:CAH655160 BQL655144:BQL655160 BGP655144:BGP655160 AWT655144:AWT655160 AMX655144:AMX655160 ADB655144:ADB655160 TF655144:TF655160 JJ655144:JJ655160 N655144:N655160 WVV589608:WVV589624 WLZ589608:WLZ589624 WCD589608:WCD589624 VSH589608:VSH589624 VIL589608:VIL589624 UYP589608:UYP589624 UOT589608:UOT589624 UEX589608:UEX589624 TVB589608:TVB589624 TLF589608:TLF589624 TBJ589608:TBJ589624 SRN589608:SRN589624 SHR589608:SHR589624 RXV589608:RXV589624 RNZ589608:RNZ589624 RED589608:RED589624 QUH589608:QUH589624 QKL589608:QKL589624 QAP589608:QAP589624 PQT589608:PQT589624 PGX589608:PGX589624 OXB589608:OXB589624 ONF589608:ONF589624 ODJ589608:ODJ589624 NTN589608:NTN589624 NJR589608:NJR589624 MZV589608:MZV589624 MPZ589608:MPZ589624 MGD589608:MGD589624 LWH589608:LWH589624 LML589608:LML589624 LCP589608:LCP589624 KST589608:KST589624 KIX589608:KIX589624 JZB589608:JZB589624 JPF589608:JPF589624 JFJ589608:JFJ589624 IVN589608:IVN589624 ILR589608:ILR589624 IBV589608:IBV589624 HRZ589608:HRZ589624 HID589608:HID589624 GYH589608:GYH589624 GOL589608:GOL589624 GEP589608:GEP589624 FUT589608:FUT589624 FKX589608:FKX589624 FBB589608:FBB589624 ERF589608:ERF589624 EHJ589608:EHJ589624 DXN589608:DXN589624 DNR589608:DNR589624 DDV589608:DDV589624 CTZ589608:CTZ589624 CKD589608:CKD589624 CAH589608:CAH589624 BQL589608:BQL589624 BGP589608:BGP589624 AWT589608:AWT589624 AMX589608:AMX589624 ADB589608:ADB589624 TF589608:TF589624 JJ589608:JJ589624 N589608:N589624 WVV524072:WVV524088 WLZ524072:WLZ524088 WCD524072:WCD524088 VSH524072:VSH524088 VIL524072:VIL524088 UYP524072:UYP524088 UOT524072:UOT524088 UEX524072:UEX524088 TVB524072:TVB524088 TLF524072:TLF524088 TBJ524072:TBJ524088 SRN524072:SRN524088 SHR524072:SHR524088 RXV524072:RXV524088 RNZ524072:RNZ524088 RED524072:RED524088 QUH524072:QUH524088 QKL524072:QKL524088 QAP524072:QAP524088 PQT524072:PQT524088 PGX524072:PGX524088 OXB524072:OXB524088 ONF524072:ONF524088 ODJ524072:ODJ524088 NTN524072:NTN524088 NJR524072:NJR524088 MZV524072:MZV524088 MPZ524072:MPZ524088 MGD524072:MGD524088 LWH524072:LWH524088 LML524072:LML524088 LCP524072:LCP524088 KST524072:KST524088 KIX524072:KIX524088 JZB524072:JZB524088 JPF524072:JPF524088 JFJ524072:JFJ524088 IVN524072:IVN524088 ILR524072:ILR524088 IBV524072:IBV524088 HRZ524072:HRZ524088 HID524072:HID524088 GYH524072:GYH524088 GOL524072:GOL524088 GEP524072:GEP524088 FUT524072:FUT524088 FKX524072:FKX524088 FBB524072:FBB524088 ERF524072:ERF524088 EHJ524072:EHJ524088 DXN524072:DXN524088 DNR524072:DNR524088 DDV524072:DDV524088 CTZ524072:CTZ524088 CKD524072:CKD524088 CAH524072:CAH524088 BQL524072:BQL524088 BGP524072:BGP524088 AWT524072:AWT524088 AMX524072:AMX524088 ADB524072:ADB524088 TF524072:TF524088 JJ524072:JJ524088 N524072:N524088 WVV458536:WVV458552 WLZ458536:WLZ458552 WCD458536:WCD458552 VSH458536:VSH458552 VIL458536:VIL458552 UYP458536:UYP458552 UOT458536:UOT458552 UEX458536:UEX458552 TVB458536:TVB458552 TLF458536:TLF458552 TBJ458536:TBJ458552 SRN458536:SRN458552 SHR458536:SHR458552 RXV458536:RXV458552 RNZ458536:RNZ458552 RED458536:RED458552 QUH458536:QUH458552 QKL458536:QKL458552 QAP458536:QAP458552 PQT458536:PQT458552 PGX458536:PGX458552 OXB458536:OXB458552 ONF458536:ONF458552 ODJ458536:ODJ458552 NTN458536:NTN458552 NJR458536:NJR458552 MZV458536:MZV458552 MPZ458536:MPZ458552 MGD458536:MGD458552 LWH458536:LWH458552 LML458536:LML458552 LCP458536:LCP458552 KST458536:KST458552 KIX458536:KIX458552 JZB458536:JZB458552 JPF458536:JPF458552 JFJ458536:JFJ458552 IVN458536:IVN458552 ILR458536:ILR458552 IBV458536:IBV458552 HRZ458536:HRZ458552 HID458536:HID458552 GYH458536:GYH458552 GOL458536:GOL458552 GEP458536:GEP458552 FUT458536:FUT458552 FKX458536:FKX458552 FBB458536:FBB458552 ERF458536:ERF458552 EHJ458536:EHJ458552 DXN458536:DXN458552 DNR458536:DNR458552 DDV458536:DDV458552 CTZ458536:CTZ458552 CKD458536:CKD458552 CAH458536:CAH458552 BQL458536:BQL458552 BGP458536:BGP458552 AWT458536:AWT458552 AMX458536:AMX458552 ADB458536:ADB458552 TF458536:TF458552 JJ458536:JJ458552 N458536:N458552 WVV393000:WVV393016 WLZ393000:WLZ393016 WCD393000:WCD393016 VSH393000:VSH393016 VIL393000:VIL393016 UYP393000:UYP393016 UOT393000:UOT393016 UEX393000:UEX393016 TVB393000:TVB393016 TLF393000:TLF393016 TBJ393000:TBJ393016 SRN393000:SRN393016 SHR393000:SHR393016 RXV393000:RXV393016 RNZ393000:RNZ393016 RED393000:RED393016 QUH393000:QUH393016 QKL393000:QKL393016 QAP393000:QAP393016 PQT393000:PQT393016 PGX393000:PGX393016 OXB393000:OXB393016 ONF393000:ONF393016 ODJ393000:ODJ393016 NTN393000:NTN393016 NJR393000:NJR393016 MZV393000:MZV393016 MPZ393000:MPZ393016 MGD393000:MGD393016 LWH393000:LWH393016 LML393000:LML393016 LCP393000:LCP393016 KST393000:KST393016 KIX393000:KIX393016 JZB393000:JZB393016 JPF393000:JPF393016 JFJ393000:JFJ393016 IVN393000:IVN393016 ILR393000:ILR393016 IBV393000:IBV393016 HRZ393000:HRZ393016 HID393000:HID393016 GYH393000:GYH393016 GOL393000:GOL393016 GEP393000:GEP393016 FUT393000:FUT393016 FKX393000:FKX393016 FBB393000:FBB393016 ERF393000:ERF393016 EHJ393000:EHJ393016 DXN393000:DXN393016 DNR393000:DNR393016 DDV393000:DDV393016 CTZ393000:CTZ393016 CKD393000:CKD393016 CAH393000:CAH393016 BQL393000:BQL393016 BGP393000:BGP393016 AWT393000:AWT393016 AMX393000:AMX393016 ADB393000:ADB393016 TF393000:TF393016 JJ393000:JJ393016 N393000:N393016 WVV327464:WVV327480 WLZ327464:WLZ327480 WCD327464:WCD327480 VSH327464:VSH327480 VIL327464:VIL327480 UYP327464:UYP327480 UOT327464:UOT327480 UEX327464:UEX327480 TVB327464:TVB327480 TLF327464:TLF327480 TBJ327464:TBJ327480 SRN327464:SRN327480 SHR327464:SHR327480 RXV327464:RXV327480 RNZ327464:RNZ327480 RED327464:RED327480 QUH327464:QUH327480 QKL327464:QKL327480 QAP327464:QAP327480 PQT327464:PQT327480 PGX327464:PGX327480 OXB327464:OXB327480 ONF327464:ONF327480 ODJ327464:ODJ327480 NTN327464:NTN327480 NJR327464:NJR327480 MZV327464:MZV327480 MPZ327464:MPZ327480 MGD327464:MGD327480 LWH327464:LWH327480 LML327464:LML327480 LCP327464:LCP327480 KST327464:KST327480 KIX327464:KIX327480 JZB327464:JZB327480 JPF327464:JPF327480 JFJ327464:JFJ327480 IVN327464:IVN327480 ILR327464:ILR327480 IBV327464:IBV327480 HRZ327464:HRZ327480 HID327464:HID327480 GYH327464:GYH327480 GOL327464:GOL327480 GEP327464:GEP327480 FUT327464:FUT327480 FKX327464:FKX327480 FBB327464:FBB327480 ERF327464:ERF327480 EHJ327464:EHJ327480 DXN327464:DXN327480 DNR327464:DNR327480 DDV327464:DDV327480 CTZ327464:CTZ327480 CKD327464:CKD327480 CAH327464:CAH327480 BQL327464:BQL327480 BGP327464:BGP327480 AWT327464:AWT327480 AMX327464:AMX327480 ADB327464:ADB327480 TF327464:TF327480 JJ327464:JJ327480 N327464:N327480 WVV261928:WVV261944 WLZ261928:WLZ261944 WCD261928:WCD261944 VSH261928:VSH261944 VIL261928:VIL261944 UYP261928:UYP261944 UOT261928:UOT261944 UEX261928:UEX261944 TVB261928:TVB261944 TLF261928:TLF261944 TBJ261928:TBJ261944 SRN261928:SRN261944 SHR261928:SHR261944 RXV261928:RXV261944 RNZ261928:RNZ261944 RED261928:RED261944 QUH261928:QUH261944 QKL261928:QKL261944 QAP261928:QAP261944 PQT261928:PQT261944 PGX261928:PGX261944 OXB261928:OXB261944 ONF261928:ONF261944 ODJ261928:ODJ261944 NTN261928:NTN261944 NJR261928:NJR261944 MZV261928:MZV261944 MPZ261928:MPZ261944 MGD261928:MGD261944 LWH261928:LWH261944 LML261928:LML261944 LCP261928:LCP261944 KST261928:KST261944 KIX261928:KIX261944 JZB261928:JZB261944 JPF261928:JPF261944 JFJ261928:JFJ261944 IVN261928:IVN261944 ILR261928:ILR261944 IBV261928:IBV261944 HRZ261928:HRZ261944 HID261928:HID261944 GYH261928:GYH261944 GOL261928:GOL261944 GEP261928:GEP261944 FUT261928:FUT261944 FKX261928:FKX261944 FBB261928:FBB261944 ERF261928:ERF261944 EHJ261928:EHJ261944 DXN261928:DXN261944 DNR261928:DNR261944 DDV261928:DDV261944 CTZ261928:CTZ261944 CKD261928:CKD261944 CAH261928:CAH261944 BQL261928:BQL261944 BGP261928:BGP261944 AWT261928:AWT261944 AMX261928:AMX261944 ADB261928:ADB261944 TF261928:TF261944 JJ261928:JJ261944 N261928:N261944 WVV196392:WVV196408 WLZ196392:WLZ196408 WCD196392:WCD196408 VSH196392:VSH196408 VIL196392:VIL196408 UYP196392:UYP196408 UOT196392:UOT196408 UEX196392:UEX196408 TVB196392:TVB196408 TLF196392:TLF196408 TBJ196392:TBJ196408 SRN196392:SRN196408 SHR196392:SHR196408 RXV196392:RXV196408 RNZ196392:RNZ196408 RED196392:RED196408 QUH196392:QUH196408 QKL196392:QKL196408 QAP196392:QAP196408 PQT196392:PQT196408 PGX196392:PGX196408 OXB196392:OXB196408 ONF196392:ONF196408 ODJ196392:ODJ196408 NTN196392:NTN196408 NJR196392:NJR196408 MZV196392:MZV196408 MPZ196392:MPZ196408 MGD196392:MGD196408 LWH196392:LWH196408 LML196392:LML196408 LCP196392:LCP196408 KST196392:KST196408 KIX196392:KIX196408 JZB196392:JZB196408 JPF196392:JPF196408 JFJ196392:JFJ196408 IVN196392:IVN196408 ILR196392:ILR196408 IBV196392:IBV196408 HRZ196392:HRZ196408 HID196392:HID196408 GYH196392:GYH196408 GOL196392:GOL196408 GEP196392:GEP196408 FUT196392:FUT196408 FKX196392:FKX196408 FBB196392:FBB196408 ERF196392:ERF196408 EHJ196392:EHJ196408 DXN196392:DXN196408 DNR196392:DNR196408 DDV196392:DDV196408 CTZ196392:CTZ196408 CKD196392:CKD196408 CAH196392:CAH196408 BQL196392:BQL196408 BGP196392:BGP196408 AWT196392:AWT196408 AMX196392:AMX196408 ADB196392:ADB196408 TF196392:TF196408 JJ196392:JJ196408 N196392:N196408 WVV130856:WVV130872 WLZ130856:WLZ130872 WCD130856:WCD130872 VSH130856:VSH130872 VIL130856:VIL130872 UYP130856:UYP130872 UOT130856:UOT130872 UEX130856:UEX130872 TVB130856:TVB130872 TLF130856:TLF130872 TBJ130856:TBJ130872 SRN130856:SRN130872 SHR130856:SHR130872 RXV130856:RXV130872 RNZ130856:RNZ130872 RED130856:RED130872 QUH130856:QUH130872 QKL130856:QKL130872 QAP130856:QAP130872 PQT130856:PQT130872 PGX130856:PGX130872 OXB130856:OXB130872 ONF130856:ONF130872 ODJ130856:ODJ130872 NTN130856:NTN130872 NJR130856:NJR130872 MZV130856:MZV130872 MPZ130856:MPZ130872 MGD130856:MGD130872 LWH130856:LWH130872 LML130856:LML130872 LCP130856:LCP130872 KST130856:KST130872 KIX130856:KIX130872 JZB130856:JZB130872 JPF130856:JPF130872 JFJ130856:JFJ130872 IVN130856:IVN130872 ILR130856:ILR130872 IBV130856:IBV130872 HRZ130856:HRZ130872 HID130856:HID130872 GYH130856:GYH130872 GOL130856:GOL130872 GEP130856:GEP130872 FUT130856:FUT130872 FKX130856:FKX130872 FBB130856:FBB130872 ERF130856:ERF130872 EHJ130856:EHJ130872 DXN130856:DXN130872 DNR130856:DNR130872 DDV130856:DDV130872 CTZ130856:CTZ130872 CKD130856:CKD130872 CAH130856:CAH130872 BQL130856:BQL130872 BGP130856:BGP130872 AWT130856:AWT130872 AMX130856:AMX130872 ADB130856:ADB130872 TF130856:TF130872 JJ130856:JJ130872 N130856:N130872 WVV65320:WVV65336 WLZ65320:WLZ65336 WCD65320:WCD65336 VSH65320:VSH65336 VIL65320:VIL65336 UYP65320:UYP65336 UOT65320:UOT65336 UEX65320:UEX65336 TVB65320:TVB65336 TLF65320:TLF65336 TBJ65320:TBJ65336 SRN65320:SRN65336 SHR65320:SHR65336 RXV65320:RXV65336 RNZ65320:RNZ65336 RED65320:RED65336 QUH65320:QUH65336 QKL65320:QKL65336 QAP65320:QAP65336 PQT65320:PQT65336 PGX65320:PGX65336 OXB65320:OXB65336 ONF65320:ONF65336 ODJ65320:ODJ65336 NTN65320:NTN65336 NJR65320:NJR65336 MZV65320:MZV65336 MPZ65320:MPZ65336 MGD65320:MGD65336 LWH65320:LWH65336 LML65320:LML65336 LCP65320:LCP65336 KST65320:KST65336 KIX65320:KIX65336 JZB65320:JZB65336 JPF65320:JPF65336 JFJ65320:JFJ65336 IVN65320:IVN65336 ILR65320:ILR65336 IBV65320:IBV65336 HRZ65320:HRZ65336 HID65320:HID65336 GYH65320:GYH65336 GOL65320:GOL65336 GEP65320:GEP65336 FUT65320:FUT65336 FKX65320:FKX65336 FBB65320:FBB65336 ERF65320:ERF65336 EHJ65320:EHJ65336 DXN65320:DXN65336 DNR65320:DNR65336 DDV65320:DDV65336 CTZ65320:CTZ65336 CKD65320:CKD65336 CAH65320:CAH65336 BQL65320:BQL65336 BGP65320:BGP65336 AWT65320:AWT65336 AMX65320:AMX65336 ADB65320:ADB65336 TF65320:TF65336 JJ65320:JJ65336 N65320:N65336 WLZ982962:WLZ982978 WVV982916:WVV982932 WLZ982916:WLZ982932 WCD982916:WCD982932 VSH982916:VSH982932 VIL982916:VIL982932 UYP982916:UYP982932 UOT982916:UOT982932 UEX982916:UEX982932 TVB982916:TVB982932 TLF982916:TLF982932 TBJ982916:TBJ982932 SRN982916:SRN982932 SHR982916:SHR982932 RXV982916:RXV982932 RNZ982916:RNZ982932 RED982916:RED982932 QUH982916:QUH982932 QKL982916:QKL982932 QAP982916:QAP982932 PQT982916:PQT982932 PGX982916:PGX982932 OXB982916:OXB982932 ONF982916:ONF982932 ODJ982916:ODJ982932 NTN982916:NTN982932 NJR982916:NJR982932 MZV982916:MZV982932 MPZ982916:MPZ982932 MGD982916:MGD982932 LWH982916:LWH982932 LML982916:LML982932 LCP982916:LCP982932 KST982916:KST982932 KIX982916:KIX982932 JZB982916:JZB982932 JPF982916:JPF982932 JFJ982916:JFJ982932 IVN982916:IVN982932 ILR982916:ILR982932 IBV982916:IBV982932 HRZ982916:HRZ982932 HID982916:HID982932 GYH982916:GYH982932 GOL982916:GOL982932 GEP982916:GEP982932 FUT982916:FUT982932 FKX982916:FKX982932 FBB982916:FBB982932 ERF982916:ERF982932 EHJ982916:EHJ982932 DXN982916:DXN982932 DNR982916:DNR982932 DDV982916:DDV982932 CTZ982916:CTZ982932 CKD982916:CKD982932 CAH982916:CAH982932 BQL982916:BQL982932 BGP982916:BGP982932 AWT982916:AWT982932 AMX982916:AMX982932 ADB982916:ADB982932 TF982916:TF982932 JJ982916:JJ982932 N982916:N982932 WVV917380:WVV917396 WLZ917380:WLZ917396 WCD917380:WCD917396 VSH917380:VSH917396 VIL917380:VIL917396 UYP917380:UYP917396 UOT917380:UOT917396 UEX917380:UEX917396 TVB917380:TVB917396 TLF917380:TLF917396 TBJ917380:TBJ917396 SRN917380:SRN917396 SHR917380:SHR917396 RXV917380:RXV917396 RNZ917380:RNZ917396 RED917380:RED917396 QUH917380:QUH917396 QKL917380:QKL917396 QAP917380:QAP917396 PQT917380:PQT917396 PGX917380:PGX917396 OXB917380:OXB917396 ONF917380:ONF917396 ODJ917380:ODJ917396 NTN917380:NTN917396 NJR917380:NJR917396 MZV917380:MZV917396 MPZ917380:MPZ917396 MGD917380:MGD917396 LWH917380:LWH917396 LML917380:LML917396 LCP917380:LCP917396 KST917380:KST917396 KIX917380:KIX917396 JZB917380:JZB917396 JPF917380:JPF917396 JFJ917380:JFJ917396 IVN917380:IVN917396 ILR917380:ILR917396 IBV917380:IBV917396 HRZ917380:HRZ917396 HID917380:HID917396 GYH917380:GYH917396 GOL917380:GOL917396 GEP917380:GEP917396 FUT917380:FUT917396 FKX917380:FKX917396 FBB917380:FBB917396 ERF917380:ERF917396 EHJ917380:EHJ917396 DXN917380:DXN917396 DNR917380:DNR917396 DDV917380:DDV917396 CTZ917380:CTZ917396 CKD917380:CKD917396 CAH917380:CAH917396 BQL917380:BQL917396 BGP917380:BGP917396 AWT917380:AWT917396 AMX917380:AMX917396 ADB917380:ADB917396 TF917380:TF917396 JJ917380:JJ917396 N917380:N917396 WVV851844:WVV851860 WLZ851844:WLZ851860 WCD851844:WCD851860 VSH851844:VSH851860 VIL851844:VIL851860 UYP851844:UYP851860 UOT851844:UOT851860 UEX851844:UEX851860 TVB851844:TVB851860 TLF851844:TLF851860 TBJ851844:TBJ851860 SRN851844:SRN851860 SHR851844:SHR851860 RXV851844:RXV851860 RNZ851844:RNZ851860 RED851844:RED851860 QUH851844:QUH851860 QKL851844:QKL851860 QAP851844:QAP851860 PQT851844:PQT851860 PGX851844:PGX851860 OXB851844:OXB851860 ONF851844:ONF851860 ODJ851844:ODJ851860 NTN851844:NTN851860 NJR851844:NJR851860 MZV851844:MZV851860 MPZ851844:MPZ851860 MGD851844:MGD851860 LWH851844:LWH851860 LML851844:LML851860 LCP851844:LCP851860 KST851844:KST851860 KIX851844:KIX851860 JZB851844:JZB851860 JPF851844:JPF851860 JFJ851844:JFJ851860 IVN851844:IVN851860 ILR851844:ILR851860 IBV851844:IBV851860 HRZ851844:HRZ851860 HID851844:HID851860 GYH851844:GYH851860 GOL851844:GOL851860 GEP851844:GEP851860 FUT851844:FUT851860 FKX851844:FKX851860 FBB851844:FBB851860 ERF851844:ERF851860 EHJ851844:EHJ851860 DXN851844:DXN851860 DNR851844:DNR851860 DDV851844:DDV851860 CTZ851844:CTZ851860 CKD851844:CKD851860 CAH851844:CAH851860 BQL851844:BQL851860 BGP851844:BGP851860 AWT851844:AWT851860 AMX851844:AMX851860 ADB851844:ADB851860 TF851844:TF851860 JJ851844:JJ851860 N851844:N851860 WVV786308:WVV786324 WLZ786308:WLZ786324 WCD786308:WCD786324 VSH786308:VSH786324 VIL786308:VIL786324 UYP786308:UYP786324 UOT786308:UOT786324 UEX786308:UEX786324 TVB786308:TVB786324 TLF786308:TLF786324 TBJ786308:TBJ786324 SRN786308:SRN786324 SHR786308:SHR786324 RXV786308:RXV786324 RNZ786308:RNZ786324 RED786308:RED786324 QUH786308:QUH786324 QKL786308:QKL786324 QAP786308:QAP786324 PQT786308:PQT786324 PGX786308:PGX786324 OXB786308:OXB786324 ONF786308:ONF786324 ODJ786308:ODJ786324 NTN786308:NTN786324 NJR786308:NJR786324 MZV786308:MZV786324 MPZ786308:MPZ786324 MGD786308:MGD786324 LWH786308:LWH786324 LML786308:LML786324 LCP786308:LCP786324 KST786308:KST786324 KIX786308:KIX786324 JZB786308:JZB786324 JPF786308:JPF786324 JFJ786308:JFJ786324 IVN786308:IVN786324 ILR786308:ILR786324 IBV786308:IBV786324 HRZ786308:HRZ786324 HID786308:HID786324 GYH786308:GYH786324 GOL786308:GOL786324 GEP786308:GEP786324 FUT786308:FUT786324 FKX786308:FKX786324 FBB786308:FBB786324 ERF786308:ERF786324 EHJ786308:EHJ786324 DXN786308:DXN786324 DNR786308:DNR786324 DDV786308:DDV786324 CTZ786308:CTZ786324 CKD786308:CKD786324 CAH786308:CAH786324 BQL786308:BQL786324 BGP786308:BGP786324 AWT786308:AWT786324 AMX786308:AMX786324 ADB786308:ADB786324 TF786308:TF786324 JJ786308:JJ786324 N786308:N786324 WVV720772:WVV720788 WLZ720772:WLZ720788 WCD720772:WCD720788 VSH720772:VSH720788 VIL720772:VIL720788 UYP720772:UYP720788 UOT720772:UOT720788 UEX720772:UEX720788 TVB720772:TVB720788 TLF720772:TLF720788 TBJ720772:TBJ720788 SRN720772:SRN720788 SHR720772:SHR720788 RXV720772:RXV720788 RNZ720772:RNZ720788 RED720772:RED720788 QUH720772:QUH720788 QKL720772:QKL720788 QAP720772:QAP720788 PQT720772:PQT720788 PGX720772:PGX720788 OXB720772:OXB720788 ONF720772:ONF720788 ODJ720772:ODJ720788 NTN720772:NTN720788 NJR720772:NJR720788 MZV720772:MZV720788 MPZ720772:MPZ720788 MGD720772:MGD720788 LWH720772:LWH720788 LML720772:LML720788 LCP720772:LCP720788 KST720772:KST720788 KIX720772:KIX720788 JZB720772:JZB720788 JPF720772:JPF720788 JFJ720772:JFJ720788 IVN720772:IVN720788 ILR720772:ILR720788 IBV720772:IBV720788 HRZ720772:HRZ720788 HID720772:HID720788 GYH720772:GYH720788 GOL720772:GOL720788 GEP720772:GEP720788 FUT720772:FUT720788 FKX720772:FKX720788 FBB720772:FBB720788 ERF720772:ERF720788 EHJ720772:EHJ720788 DXN720772:DXN720788 DNR720772:DNR720788 DDV720772:DDV720788 CTZ720772:CTZ720788 CKD720772:CKD720788 CAH720772:CAH720788 BQL720772:BQL720788 BGP720772:BGP720788 AWT720772:AWT720788 AMX720772:AMX720788 ADB720772:ADB720788 TF720772:TF720788 JJ720772:JJ720788 N720772:N720788 WVV655236:WVV655252 WLZ655236:WLZ655252 WCD655236:WCD655252 VSH655236:VSH655252 VIL655236:VIL655252 UYP655236:UYP655252 UOT655236:UOT655252 UEX655236:UEX655252 TVB655236:TVB655252 TLF655236:TLF655252 TBJ655236:TBJ655252 SRN655236:SRN655252 SHR655236:SHR655252 RXV655236:RXV655252 RNZ655236:RNZ655252 RED655236:RED655252 QUH655236:QUH655252 QKL655236:QKL655252 QAP655236:QAP655252 PQT655236:PQT655252 PGX655236:PGX655252 OXB655236:OXB655252 ONF655236:ONF655252 ODJ655236:ODJ655252 NTN655236:NTN655252 NJR655236:NJR655252 MZV655236:MZV655252 MPZ655236:MPZ655252 MGD655236:MGD655252 LWH655236:LWH655252 LML655236:LML655252 LCP655236:LCP655252 KST655236:KST655252 KIX655236:KIX655252 JZB655236:JZB655252 JPF655236:JPF655252 JFJ655236:JFJ655252 IVN655236:IVN655252 ILR655236:ILR655252 IBV655236:IBV655252 HRZ655236:HRZ655252 HID655236:HID655252 GYH655236:GYH655252 GOL655236:GOL655252 GEP655236:GEP655252 FUT655236:FUT655252 FKX655236:FKX655252 FBB655236:FBB655252 ERF655236:ERF655252 EHJ655236:EHJ655252 DXN655236:DXN655252 DNR655236:DNR655252 DDV655236:DDV655252 CTZ655236:CTZ655252 CKD655236:CKD655252 CAH655236:CAH655252 BQL655236:BQL655252 BGP655236:BGP655252 AWT655236:AWT655252 AMX655236:AMX655252 ADB655236:ADB655252 TF655236:TF655252 JJ655236:JJ655252 N655236:N655252 WVV589700:WVV589716 WLZ589700:WLZ589716 WCD589700:WCD589716 VSH589700:VSH589716 VIL589700:VIL589716 UYP589700:UYP589716 UOT589700:UOT589716 UEX589700:UEX589716 TVB589700:TVB589716 TLF589700:TLF589716 TBJ589700:TBJ589716 SRN589700:SRN589716 SHR589700:SHR589716 RXV589700:RXV589716 RNZ589700:RNZ589716 RED589700:RED589716 QUH589700:QUH589716 QKL589700:QKL589716 QAP589700:QAP589716 PQT589700:PQT589716 PGX589700:PGX589716 OXB589700:OXB589716 ONF589700:ONF589716 ODJ589700:ODJ589716 NTN589700:NTN589716 NJR589700:NJR589716 MZV589700:MZV589716 MPZ589700:MPZ589716 MGD589700:MGD589716 LWH589700:LWH589716 LML589700:LML589716 LCP589700:LCP589716 KST589700:KST589716 KIX589700:KIX589716 JZB589700:JZB589716 JPF589700:JPF589716 JFJ589700:JFJ589716 IVN589700:IVN589716 ILR589700:ILR589716 IBV589700:IBV589716 HRZ589700:HRZ589716 HID589700:HID589716 GYH589700:GYH589716 GOL589700:GOL589716 GEP589700:GEP589716 FUT589700:FUT589716 FKX589700:FKX589716 FBB589700:FBB589716 ERF589700:ERF589716 EHJ589700:EHJ589716 DXN589700:DXN589716 DNR589700:DNR589716 DDV589700:DDV589716 CTZ589700:CTZ589716 CKD589700:CKD589716 CAH589700:CAH589716 BQL589700:BQL589716 BGP589700:BGP589716 AWT589700:AWT589716 AMX589700:AMX589716 ADB589700:ADB589716 TF589700:TF589716 JJ589700:JJ589716 N589700:N589716 WVV524164:WVV524180 WLZ524164:WLZ524180 WCD524164:WCD524180 VSH524164:VSH524180 VIL524164:VIL524180 UYP524164:UYP524180 UOT524164:UOT524180 UEX524164:UEX524180 TVB524164:TVB524180 TLF524164:TLF524180 TBJ524164:TBJ524180 SRN524164:SRN524180 SHR524164:SHR524180 RXV524164:RXV524180 RNZ524164:RNZ524180 RED524164:RED524180 QUH524164:QUH524180 QKL524164:QKL524180 QAP524164:QAP524180 PQT524164:PQT524180 PGX524164:PGX524180 OXB524164:OXB524180 ONF524164:ONF524180 ODJ524164:ODJ524180 NTN524164:NTN524180 NJR524164:NJR524180 MZV524164:MZV524180 MPZ524164:MPZ524180 MGD524164:MGD524180 LWH524164:LWH524180 LML524164:LML524180 LCP524164:LCP524180 KST524164:KST524180 KIX524164:KIX524180 JZB524164:JZB524180 JPF524164:JPF524180 JFJ524164:JFJ524180 IVN524164:IVN524180 ILR524164:ILR524180 IBV524164:IBV524180 HRZ524164:HRZ524180 HID524164:HID524180 GYH524164:GYH524180 GOL524164:GOL524180 GEP524164:GEP524180 FUT524164:FUT524180 FKX524164:FKX524180 FBB524164:FBB524180 ERF524164:ERF524180 EHJ524164:EHJ524180 DXN524164:DXN524180 DNR524164:DNR524180 DDV524164:DDV524180 CTZ524164:CTZ524180 CKD524164:CKD524180 CAH524164:CAH524180 BQL524164:BQL524180 BGP524164:BGP524180 AWT524164:AWT524180 AMX524164:AMX524180 ADB524164:ADB524180 TF524164:TF524180 JJ524164:JJ524180 N524164:N524180 WVV458628:WVV458644 WLZ458628:WLZ458644 WCD458628:WCD458644 VSH458628:VSH458644 VIL458628:VIL458644 UYP458628:UYP458644 UOT458628:UOT458644 UEX458628:UEX458644 TVB458628:TVB458644 TLF458628:TLF458644 TBJ458628:TBJ458644 SRN458628:SRN458644 SHR458628:SHR458644 RXV458628:RXV458644 RNZ458628:RNZ458644 RED458628:RED458644 QUH458628:QUH458644 QKL458628:QKL458644 QAP458628:QAP458644 PQT458628:PQT458644 PGX458628:PGX458644 OXB458628:OXB458644 ONF458628:ONF458644 ODJ458628:ODJ458644 NTN458628:NTN458644 NJR458628:NJR458644 MZV458628:MZV458644 MPZ458628:MPZ458644 MGD458628:MGD458644 LWH458628:LWH458644 LML458628:LML458644 LCP458628:LCP458644 KST458628:KST458644 KIX458628:KIX458644 JZB458628:JZB458644 JPF458628:JPF458644 JFJ458628:JFJ458644 IVN458628:IVN458644 ILR458628:ILR458644 IBV458628:IBV458644 HRZ458628:HRZ458644 HID458628:HID458644 GYH458628:GYH458644 GOL458628:GOL458644 GEP458628:GEP458644 FUT458628:FUT458644 FKX458628:FKX458644 FBB458628:FBB458644 ERF458628:ERF458644 EHJ458628:EHJ458644 DXN458628:DXN458644 DNR458628:DNR458644 DDV458628:DDV458644 CTZ458628:CTZ458644 CKD458628:CKD458644 CAH458628:CAH458644 BQL458628:BQL458644 BGP458628:BGP458644 AWT458628:AWT458644 AMX458628:AMX458644 ADB458628:ADB458644 TF458628:TF458644 JJ458628:JJ458644 N458628:N458644 WVV393092:WVV393108 WLZ393092:WLZ393108 WCD393092:WCD393108 VSH393092:VSH393108 VIL393092:VIL393108 UYP393092:UYP393108 UOT393092:UOT393108 UEX393092:UEX393108 TVB393092:TVB393108 TLF393092:TLF393108 TBJ393092:TBJ393108 SRN393092:SRN393108 SHR393092:SHR393108 RXV393092:RXV393108 RNZ393092:RNZ393108 RED393092:RED393108 QUH393092:QUH393108 QKL393092:QKL393108 QAP393092:QAP393108 PQT393092:PQT393108 PGX393092:PGX393108 OXB393092:OXB393108 ONF393092:ONF393108 ODJ393092:ODJ393108 NTN393092:NTN393108 NJR393092:NJR393108 MZV393092:MZV393108 MPZ393092:MPZ393108 MGD393092:MGD393108 LWH393092:LWH393108 LML393092:LML393108 LCP393092:LCP393108 KST393092:KST393108 KIX393092:KIX393108 JZB393092:JZB393108 JPF393092:JPF393108 JFJ393092:JFJ393108 IVN393092:IVN393108 ILR393092:ILR393108 IBV393092:IBV393108 HRZ393092:HRZ393108 HID393092:HID393108 GYH393092:GYH393108 GOL393092:GOL393108 GEP393092:GEP393108 FUT393092:FUT393108 FKX393092:FKX393108 FBB393092:FBB393108 ERF393092:ERF393108 EHJ393092:EHJ393108 DXN393092:DXN393108 DNR393092:DNR393108 DDV393092:DDV393108 CTZ393092:CTZ393108 CKD393092:CKD393108 CAH393092:CAH393108 BQL393092:BQL393108 BGP393092:BGP393108 AWT393092:AWT393108 AMX393092:AMX393108 ADB393092:ADB393108 TF393092:TF393108 JJ393092:JJ393108 N393092:N393108 WVV327556:WVV327572 WLZ327556:WLZ327572 WCD327556:WCD327572 VSH327556:VSH327572 VIL327556:VIL327572 UYP327556:UYP327572 UOT327556:UOT327572 UEX327556:UEX327572 TVB327556:TVB327572 TLF327556:TLF327572 TBJ327556:TBJ327572 SRN327556:SRN327572 SHR327556:SHR327572 RXV327556:RXV327572 RNZ327556:RNZ327572 RED327556:RED327572 QUH327556:QUH327572 QKL327556:QKL327572 QAP327556:QAP327572 PQT327556:PQT327572 PGX327556:PGX327572 OXB327556:OXB327572 ONF327556:ONF327572 ODJ327556:ODJ327572 NTN327556:NTN327572 NJR327556:NJR327572 MZV327556:MZV327572 MPZ327556:MPZ327572 MGD327556:MGD327572 LWH327556:LWH327572 LML327556:LML327572 LCP327556:LCP327572 KST327556:KST327572 KIX327556:KIX327572 JZB327556:JZB327572 JPF327556:JPF327572 JFJ327556:JFJ327572 IVN327556:IVN327572 ILR327556:ILR327572 IBV327556:IBV327572 HRZ327556:HRZ327572 HID327556:HID327572 GYH327556:GYH327572 GOL327556:GOL327572 GEP327556:GEP327572 FUT327556:FUT327572 FKX327556:FKX327572 FBB327556:FBB327572 ERF327556:ERF327572 EHJ327556:EHJ327572 DXN327556:DXN327572 DNR327556:DNR327572 DDV327556:DDV327572 CTZ327556:CTZ327572 CKD327556:CKD327572 CAH327556:CAH327572 BQL327556:BQL327572 BGP327556:BGP327572 AWT327556:AWT327572 AMX327556:AMX327572 ADB327556:ADB327572 TF327556:TF327572 JJ327556:JJ327572 N327556:N327572 WVV262020:WVV262036 WLZ262020:WLZ262036 WCD262020:WCD262036 VSH262020:VSH262036 VIL262020:VIL262036 UYP262020:UYP262036 UOT262020:UOT262036 UEX262020:UEX262036 TVB262020:TVB262036 TLF262020:TLF262036 TBJ262020:TBJ262036 SRN262020:SRN262036 SHR262020:SHR262036 RXV262020:RXV262036 RNZ262020:RNZ262036 RED262020:RED262036 QUH262020:QUH262036 QKL262020:QKL262036 QAP262020:QAP262036 PQT262020:PQT262036 PGX262020:PGX262036 OXB262020:OXB262036 ONF262020:ONF262036 ODJ262020:ODJ262036 NTN262020:NTN262036 NJR262020:NJR262036 MZV262020:MZV262036 MPZ262020:MPZ262036 MGD262020:MGD262036 LWH262020:LWH262036 LML262020:LML262036 LCP262020:LCP262036 KST262020:KST262036 KIX262020:KIX262036 JZB262020:JZB262036 JPF262020:JPF262036 JFJ262020:JFJ262036 IVN262020:IVN262036 ILR262020:ILR262036 IBV262020:IBV262036 HRZ262020:HRZ262036 HID262020:HID262036 GYH262020:GYH262036 GOL262020:GOL262036 GEP262020:GEP262036 FUT262020:FUT262036 FKX262020:FKX262036 FBB262020:FBB262036 ERF262020:ERF262036 EHJ262020:EHJ262036 DXN262020:DXN262036 DNR262020:DNR262036 DDV262020:DDV262036 CTZ262020:CTZ262036 CKD262020:CKD262036 CAH262020:CAH262036 BQL262020:BQL262036 BGP262020:BGP262036 AWT262020:AWT262036 AMX262020:AMX262036 ADB262020:ADB262036 TF262020:TF262036 JJ262020:JJ262036 N262020:N262036 WVV196484:WVV196500 WLZ196484:WLZ196500 WCD196484:WCD196500 VSH196484:VSH196500 VIL196484:VIL196500 UYP196484:UYP196500 UOT196484:UOT196500 UEX196484:UEX196500 TVB196484:TVB196500 TLF196484:TLF196500 TBJ196484:TBJ196500 SRN196484:SRN196500 SHR196484:SHR196500 RXV196484:RXV196500 RNZ196484:RNZ196500 RED196484:RED196500 QUH196484:QUH196500 QKL196484:QKL196500 QAP196484:QAP196500 PQT196484:PQT196500 PGX196484:PGX196500 OXB196484:OXB196500 ONF196484:ONF196500 ODJ196484:ODJ196500 NTN196484:NTN196500 NJR196484:NJR196500 MZV196484:MZV196500 MPZ196484:MPZ196500 MGD196484:MGD196500 LWH196484:LWH196500 LML196484:LML196500 LCP196484:LCP196500 KST196484:KST196500 KIX196484:KIX196500 JZB196484:JZB196500 JPF196484:JPF196500 JFJ196484:JFJ196500 IVN196484:IVN196500 ILR196484:ILR196500 IBV196484:IBV196500 HRZ196484:HRZ196500 HID196484:HID196500 GYH196484:GYH196500 GOL196484:GOL196500 GEP196484:GEP196500 FUT196484:FUT196500 FKX196484:FKX196500 FBB196484:FBB196500 ERF196484:ERF196500 EHJ196484:EHJ196500 DXN196484:DXN196500 DNR196484:DNR196500 DDV196484:DDV196500 CTZ196484:CTZ196500 CKD196484:CKD196500 CAH196484:CAH196500 BQL196484:BQL196500 BGP196484:BGP196500 AWT196484:AWT196500 AMX196484:AMX196500 ADB196484:ADB196500 TF196484:TF196500 JJ196484:JJ196500 N196484:N196500 WVV130948:WVV130964 WLZ130948:WLZ130964 WCD130948:WCD130964 VSH130948:VSH130964 VIL130948:VIL130964 UYP130948:UYP130964 UOT130948:UOT130964 UEX130948:UEX130964 TVB130948:TVB130964 TLF130948:TLF130964 TBJ130948:TBJ130964 SRN130948:SRN130964 SHR130948:SHR130964 RXV130948:RXV130964 RNZ130948:RNZ130964 RED130948:RED130964 QUH130948:QUH130964 QKL130948:QKL130964 QAP130948:QAP130964 PQT130948:PQT130964 PGX130948:PGX130964 OXB130948:OXB130964 ONF130948:ONF130964 ODJ130948:ODJ130964 NTN130948:NTN130964 NJR130948:NJR130964 MZV130948:MZV130964 MPZ130948:MPZ130964 MGD130948:MGD130964 LWH130948:LWH130964 LML130948:LML130964 LCP130948:LCP130964 KST130948:KST130964 KIX130948:KIX130964 JZB130948:JZB130964 JPF130948:JPF130964 JFJ130948:JFJ130964 IVN130948:IVN130964 ILR130948:ILR130964 IBV130948:IBV130964 HRZ130948:HRZ130964 HID130948:HID130964 GYH130948:GYH130964 GOL130948:GOL130964 GEP130948:GEP130964 FUT130948:FUT130964 FKX130948:FKX130964 FBB130948:FBB130964 ERF130948:ERF130964 EHJ130948:EHJ130964 DXN130948:DXN130964 DNR130948:DNR130964 DDV130948:DDV130964 CTZ130948:CTZ130964 CKD130948:CKD130964 CAH130948:CAH130964 BQL130948:BQL130964 BGP130948:BGP130964 AWT130948:AWT130964 AMX130948:AMX130964 ADB130948:ADB130964 TF130948:TF130964 JJ130948:JJ130964 N130948:N130964 WVV65412:WVV65428 WLZ65412:WLZ65428 WCD65412:WCD65428 VSH65412:VSH65428 VIL65412:VIL65428 UYP65412:UYP65428 UOT65412:UOT65428 UEX65412:UEX65428 TVB65412:TVB65428 TLF65412:TLF65428 TBJ65412:TBJ65428 SRN65412:SRN65428 SHR65412:SHR65428 RXV65412:RXV65428 RNZ65412:RNZ65428 RED65412:RED65428 QUH65412:QUH65428 QKL65412:QKL65428 QAP65412:QAP65428 PQT65412:PQT65428 PGX65412:PGX65428 OXB65412:OXB65428 ONF65412:ONF65428 ODJ65412:ODJ65428 NTN65412:NTN65428 NJR65412:NJR65428 MZV65412:MZV65428 MPZ65412:MPZ65428 MGD65412:MGD65428 LWH65412:LWH65428 LML65412:LML65428 LCP65412:LCP65428 KST65412:KST65428 KIX65412:KIX65428 JZB65412:JZB65428 JPF65412:JPF65428 JFJ65412:JFJ65428 IVN65412:IVN65428 ILR65412:ILR65428 IBV65412:IBV65428 HRZ65412:HRZ65428 HID65412:HID65428 GYH65412:GYH65428 GOL65412:GOL65428 GEP65412:GEP65428 FUT65412:FUT65428 FKX65412:FKX65428 FBB65412:FBB65428 ERF65412:ERF65428 EHJ65412:EHJ65428 DXN65412:DXN65428 DNR65412:DNR65428 DDV65412:DDV65428 CTZ65412:CTZ65428 CKD65412:CKD65428 CAH65412:CAH65428 BQL65412:BQL65428 BGP65412:BGP65428 AWT65412:AWT65428 AMX65412:AMX65428 ADB65412:ADB65428 TF65412:TF65428 JJ65412:JJ65428 N65412:N65428">
      <formula1>$AD$30:$AD$31</formula1>
    </dataValidation>
    <dataValidation type="list" allowBlank="1" showInputMessage="1" showErrorMessage="1" sqref="WVT982916:WVT982932 M30:M129 WVU30:WVU129 WLY30:WLY129 JI30:JI129 TE30:TE129 ADA30:ADA129 AMW30:AMW129 AWS30:AWS129 BGO30:BGO129 BQK30:BQK129 CAG30:CAG129 CKC30:CKC129 CTY30:CTY129 DDU30:DDU129 DNQ30:DNQ129 DXM30:DXM129 EHI30:EHI129 ERE30:ERE129 FBA30:FBA129 FKW30:FKW129 FUS30:FUS129 GEO30:GEO129 GOK30:GOK129 GYG30:GYG129 HIC30:HIC129 HRY30:HRY129 IBU30:IBU129 ILQ30:ILQ129 IVM30:IVM129 JFI30:JFI129 JPE30:JPE129 JZA30:JZA129 KIW30:KIW129 KSS30:KSS129 LCO30:LCO129 LMK30:LMK129 LWG30:LWG129 MGC30:MGC129 MPY30:MPY129 MZU30:MZU129 NJQ30:NJQ129 NTM30:NTM129 ODI30:ODI129 ONE30:ONE129 OXA30:OXA129 PGW30:PGW129 PQS30:PQS129 QAO30:QAO129 QKK30:QKK129 QUG30:QUG129 REC30:REC129 RNY30:RNY129 RXU30:RXU129 SHQ30:SHQ129 SRM30:SRM129 TBI30:TBI129 TLE30:TLE129 TVA30:TVA129 UEW30:UEW129 UOS30:UOS129 UYO30:UYO129 VIK30:VIK129 VSG30:VSG129 WCC30:WCC129 WCB982916:WCB982932 VSF982916:VSF982932 VIJ982916:VIJ982932 UYN982916:UYN982932 UOR982916:UOR982932 UEV982916:UEV982932 TUZ982916:TUZ982932 TLD982916:TLD982932 TBH982916:TBH982932 SRL982916:SRL982932 SHP982916:SHP982932 RXT982916:RXT982932 RNX982916:RNX982932 REB982916:REB982932 QUF982916:QUF982932 QKJ982916:QKJ982932 QAN982916:QAN982932 PQR982916:PQR982932 PGV982916:PGV982932 OWZ982916:OWZ982932 OND982916:OND982932 ODH982916:ODH982932 NTL982916:NTL982932 NJP982916:NJP982932 MZT982916:MZT982932 MPX982916:MPX982932 MGB982916:MGB982932 LWF982916:LWF982932 LMJ982916:LMJ982932 LCN982916:LCN982932 KSR982916:KSR982932 KIV982916:KIV982932 JYZ982916:JYZ982932 JPD982916:JPD982932 JFH982916:JFH982932 IVL982916:IVL982932 ILP982916:ILP982932 IBT982916:IBT982932 HRX982916:HRX982932 HIB982916:HIB982932 GYF982916:GYF982932 GOJ982916:GOJ982932 GEN982916:GEN982932 FUR982916:FUR982932 FKV982916:FKV982932 FAZ982916:FAZ982932 ERD982916:ERD982932 EHH982916:EHH982932 DXL982916:DXL982932 DNP982916:DNP982932 DDT982916:DDT982932 CTX982916:CTX982932 CKB982916:CKB982932 CAF982916:CAF982932 BQJ982916:BQJ982932 BGN982916:BGN982932 AWR982916:AWR982932 AMV982916:AMV982932 ACZ982916:ACZ982932 TD982916:TD982932 JH982916:JH982932 L982916:L982932 WVT917380:WVT917396 WLX917380:WLX917396 WCB917380:WCB917396 VSF917380:VSF917396 VIJ917380:VIJ917396 UYN917380:UYN917396 UOR917380:UOR917396 UEV917380:UEV917396 TUZ917380:TUZ917396 TLD917380:TLD917396 TBH917380:TBH917396 SRL917380:SRL917396 SHP917380:SHP917396 RXT917380:RXT917396 RNX917380:RNX917396 REB917380:REB917396 QUF917380:QUF917396 QKJ917380:QKJ917396 QAN917380:QAN917396 PQR917380:PQR917396 PGV917380:PGV917396 OWZ917380:OWZ917396 OND917380:OND917396 ODH917380:ODH917396 NTL917380:NTL917396 NJP917380:NJP917396 MZT917380:MZT917396 MPX917380:MPX917396 MGB917380:MGB917396 LWF917380:LWF917396 LMJ917380:LMJ917396 LCN917380:LCN917396 KSR917380:KSR917396 KIV917380:KIV917396 JYZ917380:JYZ917396 JPD917380:JPD917396 JFH917380:JFH917396 IVL917380:IVL917396 ILP917380:ILP917396 IBT917380:IBT917396 HRX917380:HRX917396 HIB917380:HIB917396 GYF917380:GYF917396 GOJ917380:GOJ917396 GEN917380:GEN917396 FUR917380:FUR917396 FKV917380:FKV917396 FAZ917380:FAZ917396 ERD917380:ERD917396 EHH917380:EHH917396 DXL917380:DXL917396 DNP917380:DNP917396 DDT917380:DDT917396 CTX917380:CTX917396 CKB917380:CKB917396 CAF917380:CAF917396 BQJ917380:BQJ917396 BGN917380:BGN917396 AWR917380:AWR917396 AMV917380:AMV917396 ACZ917380:ACZ917396 TD917380:TD917396 JH917380:JH917396 L917380:L917396 WVT851844:WVT851860 WLX851844:WLX851860 WCB851844:WCB851860 VSF851844:VSF851860 VIJ851844:VIJ851860 UYN851844:UYN851860 UOR851844:UOR851860 UEV851844:UEV851860 TUZ851844:TUZ851860 TLD851844:TLD851860 TBH851844:TBH851860 SRL851844:SRL851860 SHP851844:SHP851860 RXT851844:RXT851860 RNX851844:RNX851860 REB851844:REB851860 QUF851844:QUF851860 QKJ851844:QKJ851860 QAN851844:QAN851860 PQR851844:PQR851860 PGV851844:PGV851860 OWZ851844:OWZ851860 OND851844:OND851860 ODH851844:ODH851860 NTL851844:NTL851860 NJP851844:NJP851860 MZT851844:MZT851860 MPX851844:MPX851860 MGB851844:MGB851860 LWF851844:LWF851860 LMJ851844:LMJ851860 LCN851844:LCN851860 KSR851844:KSR851860 KIV851844:KIV851860 JYZ851844:JYZ851860 JPD851844:JPD851860 JFH851844:JFH851860 IVL851844:IVL851860 ILP851844:ILP851860 IBT851844:IBT851860 HRX851844:HRX851860 HIB851844:HIB851860 GYF851844:GYF851860 GOJ851844:GOJ851860 GEN851844:GEN851860 FUR851844:FUR851860 FKV851844:FKV851860 FAZ851844:FAZ851860 ERD851844:ERD851860 EHH851844:EHH851860 DXL851844:DXL851860 DNP851844:DNP851860 DDT851844:DDT851860 CTX851844:CTX851860 CKB851844:CKB851860 CAF851844:CAF851860 BQJ851844:BQJ851860 BGN851844:BGN851860 AWR851844:AWR851860 AMV851844:AMV851860 ACZ851844:ACZ851860 TD851844:TD851860 JH851844:JH851860 L851844:L851860 WVT786308:WVT786324 WLX786308:WLX786324 WCB786308:WCB786324 VSF786308:VSF786324 VIJ786308:VIJ786324 UYN786308:UYN786324 UOR786308:UOR786324 UEV786308:UEV786324 TUZ786308:TUZ786324 TLD786308:TLD786324 TBH786308:TBH786324 SRL786308:SRL786324 SHP786308:SHP786324 RXT786308:RXT786324 RNX786308:RNX786324 REB786308:REB786324 QUF786308:QUF786324 QKJ786308:QKJ786324 QAN786308:QAN786324 PQR786308:PQR786324 PGV786308:PGV786324 OWZ786308:OWZ786324 OND786308:OND786324 ODH786308:ODH786324 NTL786308:NTL786324 NJP786308:NJP786324 MZT786308:MZT786324 MPX786308:MPX786324 MGB786308:MGB786324 LWF786308:LWF786324 LMJ786308:LMJ786324 LCN786308:LCN786324 KSR786308:KSR786324 KIV786308:KIV786324 JYZ786308:JYZ786324 JPD786308:JPD786324 JFH786308:JFH786324 IVL786308:IVL786324 ILP786308:ILP786324 IBT786308:IBT786324 HRX786308:HRX786324 HIB786308:HIB786324 GYF786308:GYF786324 GOJ786308:GOJ786324 GEN786308:GEN786324 FUR786308:FUR786324 FKV786308:FKV786324 FAZ786308:FAZ786324 ERD786308:ERD786324 EHH786308:EHH786324 DXL786308:DXL786324 DNP786308:DNP786324 DDT786308:DDT786324 CTX786308:CTX786324 CKB786308:CKB786324 CAF786308:CAF786324 BQJ786308:BQJ786324 BGN786308:BGN786324 AWR786308:AWR786324 AMV786308:AMV786324 ACZ786308:ACZ786324 TD786308:TD786324 JH786308:JH786324 L786308:L786324 WVT720772:WVT720788 WLX720772:WLX720788 WCB720772:WCB720788 VSF720772:VSF720788 VIJ720772:VIJ720788 UYN720772:UYN720788 UOR720772:UOR720788 UEV720772:UEV720788 TUZ720772:TUZ720788 TLD720772:TLD720788 TBH720772:TBH720788 SRL720772:SRL720788 SHP720772:SHP720788 RXT720772:RXT720788 RNX720772:RNX720788 REB720772:REB720788 QUF720772:QUF720788 QKJ720772:QKJ720788 QAN720772:QAN720788 PQR720772:PQR720788 PGV720772:PGV720788 OWZ720772:OWZ720788 OND720772:OND720788 ODH720772:ODH720788 NTL720772:NTL720788 NJP720772:NJP720788 MZT720772:MZT720788 MPX720772:MPX720788 MGB720772:MGB720788 LWF720772:LWF720788 LMJ720772:LMJ720788 LCN720772:LCN720788 KSR720772:KSR720788 KIV720772:KIV720788 JYZ720772:JYZ720788 JPD720772:JPD720788 JFH720772:JFH720788 IVL720772:IVL720788 ILP720772:ILP720788 IBT720772:IBT720788 HRX720772:HRX720788 HIB720772:HIB720788 GYF720772:GYF720788 GOJ720772:GOJ720788 GEN720772:GEN720788 FUR720772:FUR720788 FKV720772:FKV720788 FAZ720772:FAZ720788 ERD720772:ERD720788 EHH720772:EHH720788 DXL720772:DXL720788 DNP720772:DNP720788 DDT720772:DDT720788 CTX720772:CTX720788 CKB720772:CKB720788 CAF720772:CAF720788 BQJ720772:BQJ720788 BGN720772:BGN720788 AWR720772:AWR720788 AMV720772:AMV720788 ACZ720772:ACZ720788 TD720772:TD720788 JH720772:JH720788 L720772:L720788 WVT655236:WVT655252 WLX655236:WLX655252 WCB655236:WCB655252 VSF655236:VSF655252 VIJ655236:VIJ655252 UYN655236:UYN655252 UOR655236:UOR655252 UEV655236:UEV655252 TUZ655236:TUZ655252 TLD655236:TLD655252 TBH655236:TBH655252 SRL655236:SRL655252 SHP655236:SHP655252 RXT655236:RXT655252 RNX655236:RNX655252 REB655236:REB655252 QUF655236:QUF655252 QKJ655236:QKJ655252 QAN655236:QAN655252 PQR655236:PQR655252 PGV655236:PGV655252 OWZ655236:OWZ655252 OND655236:OND655252 ODH655236:ODH655252 NTL655236:NTL655252 NJP655236:NJP655252 MZT655236:MZT655252 MPX655236:MPX655252 MGB655236:MGB655252 LWF655236:LWF655252 LMJ655236:LMJ655252 LCN655236:LCN655252 KSR655236:KSR655252 KIV655236:KIV655252 JYZ655236:JYZ655252 JPD655236:JPD655252 JFH655236:JFH655252 IVL655236:IVL655252 ILP655236:ILP655252 IBT655236:IBT655252 HRX655236:HRX655252 HIB655236:HIB655252 GYF655236:GYF655252 GOJ655236:GOJ655252 GEN655236:GEN655252 FUR655236:FUR655252 FKV655236:FKV655252 FAZ655236:FAZ655252 ERD655236:ERD655252 EHH655236:EHH655252 DXL655236:DXL655252 DNP655236:DNP655252 DDT655236:DDT655252 CTX655236:CTX655252 CKB655236:CKB655252 CAF655236:CAF655252 BQJ655236:BQJ655252 BGN655236:BGN655252 AWR655236:AWR655252 AMV655236:AMV655252 ACZ655236:ACZ655252 TD655236:TD655252 JH655236:JH655252 L655236:L655252 WVT589700:WVT589716 WLX589700:WLX589716 WCB589700:WCB589716 VSF589700:VSF589716 VIJ589700:VIJ589716 UYN589700:UYN589716 UOR589700:UOR589716 UEV589700:UEV589716 TUZ589700:TUZ589716 TLD589700:TLD589716 TBH589700:TBH589716 SRL589700:SRL589716 SHP589700:SHP589716 RXT589700:RXT589716 RNX589700:RNX589716 REB589700:REB589716 QUF589700:QUF589716 QKJ589700:QKJ589716 QAN589700:QAN589716 PQR589700:PQR589716 PGV589700:PGV589716 OWZ589700:OWZ589716 OND589700:OND589716 ODH589700:ODH589716 NTL589700:NTL589716 NJP589700:NJP589716 MZT589700:MZT589716 MPX589700:MPX589716 MGB589700:MGB589716 LWF589700:LWF589716 LMJ589700:LMJ589716 LCN589700:LCN589716 KSR589700:KSR589716 KIV589700:KIV589716 JYZ589700:JYZ589716 JPD589700:JPD589716 JFH589700:JFH589716 IVL589700:IVL589716 ILP589700:ILP589716 IBT589700:IBT589716 HRX589700:HRX589716 HIB589700:HIB589716 GYF589700:GYF589716 GOJ589700:GOJ589716 GEN589700:GEN589716 FUR589700:FUR589716 FKV589700:FKV589716 FAZ589700:FAZ589716 ERD589700:ERD589716 EHH589700:EHH589716 DXL589700:DXL589716 DNP589700:DNP589716 DDT589700:DDT589716 CTX589700:CTX589716 CKB589700:CKB589716 CAF589700:CAF589716 BQJ589700:BQJ589716 BGN589700:BGN589716 AWR589700:AWR589716 AMV589700:AMV589716 ACZ589700:ACZ589716 TD589700:TD589716 JH589700:JH589716 L589700:L589716 WVT524164:WVT524180 WLX524164:WLX524180 WCB524164:WCB524180 VSF524164:VSF524180 VIJ524164:VIJ524180 UYN524164:UYN524180 UOR524164:UOR524180 UEV524164:UEV524180 TUZ524164:TUZ524180 TLD524164:TLD524180 TBH524164:TBH524180 SRL524164:SRL524180 SHP524164:SHP524180 RXT524164:RXT524180 RNX524164:RNX524180 REB524164:REB524180 QUF524164:QUF524180 QKJ524164:QKJ524180 QAN524164:QAN524180 PQR524164:PQR524180 PGV524164:PGV524180 OWZ524164:OWZ524180 OND524164:OND524180 ODH524164:ODH524180 NTL524164:NTL524180 NJP524164:NJP524180 MZT524164:MZT524180 MPX524164:MPX524180 MGB524164:MGB524180 LWF524164:LWF524180 LMJ524164:LMJ524180 LCN524164:LCN524180 KSR524164:KSR524180 KIV524164:KIV524180 JYZ524164:JYZ524180 JPD524164:JPD524180 JFH524164:JFH524180 IVL524164:IVL524180 ILP524164:ILP524180 IBT524164:IBT524180 HRX524164:HRX524180 HIB524164:HIB524180 GYF524164:GYF524180 GOJ524164:GOJ524180 GEN524164:GEN524180 FUR524164:FUR524180 FKV524164:FKV524180 FAZ524164:FAZ524180 ERD524164:ERD524180 EHH524164:EHH524180 DXL524164:DXL524180 DNP524164:DNP524180 DDT524164:DDT524180 CTX524164:CTX524180 CKB524164:CKB524180 CAF524164:CAF524180 BQJ524164:BQJ524180 BGN524164:BGN524180 AWR524164:AWR524180 AMV524164:AMV524180 ACZ524164:ACZ524180 TD524164:TD524180 JH524164:JH524180 L524164:L524180 WVT458628:WVT458644 WLX458628:WLX458644 WCB458628:WCB458644 VSF458628:VSF458644 VIJ458628:VIJ458644 UYN458628:UYN458644 UOR458628:UOR458644 UEV458628:UEV458644 TUZ458628:TUZ458644 TLD458628:TLD458644 TBH458628:TBH458644 SRL458628:SRL458644 SHP458628:SHP458644 RXT458628:RXT458644 RNX458628:RNX458644 REB458628:REB458644 QUF458628:QUF458644 QKJ458628:QKJ458644 QAN458628:QAN458644 PQR458628:PQR458644 PGV458628:PGV458644 OWZ458628:OWZ458644 OND458628:OND458644 ODH458628:ODH458644 NTL458628:NTL458644 NJP458628:NJP458644 MZT458628:MZT458644 MPX458628:MPX458644 MGB458628:MGB458644 LWF458628:LWF458644 LMJ458628:LMJ458644 LCN458628:LCN458644 KSR458628:KSR458644 KIV458628:KIV458644 JYZ458628:JYZ458644 JPD458628:JPD458644 JFH458628:JFH458644 IVL458628:IVL458644 ILP458628:ILP458644 IBT458628:IBT458644 HRX458628:HRX458644 HIB458628:HIB458644 GYF458628:GYF458644 GOJ458628:GOJ458644 GEN458628:GEN458644 FUR458628:FUR458644 FKV458628:FKV458644 FAZ458628:FAZ458644 ERD458628:ERD458644 EHH458628:EHH458644 DXL458628:DXL458644 DNP458628:DNP458644 DDT458628:DDT458644 CTX458628:CTX458644 CKB458628:CKB458644 CAF458628:CAF458644 BQJ458628:BQJ458644 BGN458628:BGN458644 AWR458628:AWR458644 AMV458628:AMV458644 ACZ458628:ACZ458644 TD458628:TD458644 JH458628:JH458644 L458628:L458644 WVT393092:WVT393108 WLX393092:WLX393108 WCB393092:WCB393108 VSF393092:VSF393108 VIJ393092:VIJ393108 UYN393092:UYN393108 UOR393092:UOR393108 UEV393092:UEV393108 TUZ393092:TUZ393108 TLD393092:TLD393108 TBH393092:TBH393108 SRL393092:SRL393108 SHP393092:SHP393108 RXT393092:RXT393108 RNX393092:RNX393108 REB393092:REB393108 QUF393092:QUF393108 QKJ393092:QKJ393108 QAN393092:QAN393108 PQR393092:PQR393108 PGV393092:PGV393108 OWZ393092:OWZ393108 OND393092:OND393108 ODH393092:ODH393108 NTL393092:NTL393108 NJP393092:NJP393108 MZT393092:MZT393108 MPX393092:MPX393108 MGB393092:MGB393108 LWF393092:LWF393108 LMJ393092:LMJ393108 LCN393092:LCN393108 KSR393092:KSR393108 KIV393092:KIV393108 JYZ393092:JYZ393108 JPD393092:JPD393108 JFH393092:JFH393108 IVL393092:IVL393108 ILP393092:ILP393108 IBT393092:IBT393108 HRX393092:HRX393108 HIB393092:HIB393108 GYF393092:GYF393108 GOJ393092:GOJ393108 GEN393092:GEN393108 FUR393092:FUR393108 FKV393092:FKV393108 FAZ393092:FAZ393108 ERD393092:ERD393108 EHH393092:EHH393108 DXL393092:DXL393108 DNP393092:DNP393108 DDT393092:DDT393108 CTX393092:CTX393108 CKB393092:CKB393108 CAF393092:CAF393108 BQJ393092:BQJ393108 BGN393092:BGN393108 AWR393092:AWR393108 AMV393092:AMV393108 ACZ393092:ACZ393108 TD393092:TD393108 JH393092:JH393108 L393092:L393108 WVT327556:WVT327572 WLX327556:WLX327572 WCB327556:WCB327572 VSF327556:VSF327572 VIJ327556:VIJ327572 UYN327556:UYN327572 UOR327556:UOR327572 UEV327556:UEV327572 TUZ327556:TUZ327572 TLD327556:TLD327572 TBH327556:TBH327572 SRL327556:SRL327572 SHP327556:SHP327572 RXT327556:RXT327572 RNX327556:RNX327572 REB327556:REB327572 QUF327556:QUF327572 QKJ327556:QKJ327572 QAN327556:QAN327572 PQR327556:PQR327572 PGV327556:PGV327572 OWZ327556:OWZ327572 OND327556:OND327572 ODH327556:ODH327572 NTL327556:NTL327572 NJP327556:NJP327572 MZT327556:MZT327572 MPX327556:MPX327572 MGB327556:MGB327572 LWF327556:LWF327572 LMJ327556:LMJ327572 LCN327556:LCN327572 KSR327556:KSR327572 KIV327556:KIV327572 JYZ327556:JYZ327572 JPD327556:JPD327572 JFH327556:JFH327572 IVL327556:IVL327572 ILP327556:ILP327572 IBT327556:IBT327572 HRX327556:HRX327572 HIB327556:HIB327572 GYF327556:GYF327572 GOJ327556:GOJ327572 GEN327556:GEN327572 FUR327556:FUR327572 FKV327556:FKV327572 FAZ327556:FAZ327572 ERD327556:ERD327572 EHH327556:EHH327572 DXL327556:DXL327572 DNP327556:DNP327572 DDT327556:DDT327572 CTX327556:CTX327572 CKB327556:CKB327572 CAF327556:CAF327572 BQJ327556:BQJ327572 BGN327556:BGN327572 AWR327556:AWR327572 AMV327556:AMV327572 ACZ327556:ACZ327572 TD327556:TD327572 JH327556:JH327572 L327556:L327572 WVT262020:WVT262036 WLX262020:WLX262036 WCB262020:WCB262036 VSF262020:VSF262036 VIJ262020:VIJ262036 UYN262020:UYN262036 UOR262020:UOR262036 UEV262020:UEV262036 TUZ262020:TUZ262036 TLD262020:TLD262036 TBH262020:TBH262036 SRL262020:SRL262036 SHP262020:SHP262036 RXT262020:RXT262036 RNX262020:RNX262036 REB262020:REB262036 QUF262020:QUF262036 QKJ262020:QKJ262036 QAN262020:QAN262036 PQR262020:PQR262036 PGV262020:PGV262036 OWZ262020:OWZ262036 OND262020:OND262036 ODH262020:ODH262036 NTL262020:NTL262036 NJP262020:NJP262036 MZT262020:MZT262036 MPX262020:MPX262036 MGB262020:MGB262036 LWF262020:LWF262036 LMJ262020:LMJ262036 LCN262020:LCN262036 KSR262020:KSR262036 KIV262020:KIV262036 JYZ262020:JYZ262036 JPD262020:JPD262036 JFH262020:JFH262036 IVL262020:IVL262036 ILP262020:ILP262036 IBT262020:IBT262036 HRX262020:HRX262036 HIB262020:HIB262036 GYF262020:GYF262036 GOJ262020:GOJ262036 GEN262020:GEN262036 FUR262020:FUR262036 FKV262020:FKV262036 FAZ262020:FAZ262036 ERD262020:ERD262036 EHH262020:EHH262036 DXL262020:DXL262036 DNP262020:DNP262036 DDT262020:DDT262036 CTX262020:CTX262036 CKB262020:CKB262036 CAF262020:CAF262036 BQJ262020:BQJ262036 BGN262020:BGN262036 AWR262020:AWR262036 AMV262020:AMV262036 ACZ262020:ACZ262036 TD262020:TD262036 JH262020:JH262036 L262020:L262036 WVT196484:WVT196500 WLX196484:WLX196500 WCB196484:WCB196500 VSF196484:VSF196500 VIJ196484:VIJ196500 UYN196484:UYN196500 UOR196484:UOR196500 UEV196484:UEV196500 TUZ196484:TUZ196500 TLD196484:TLD196500 TBH196484:TBH196500 SRL196484:SRL196500 SHP196484:SHP196500 RXT196484:RXT196500 RNX196484:RNX196500 REB196484:REB196500 QUF196484:QUF196500 QKJ196484:QKJ196500 QAN196484:QAN196500 PQR196484:PQR196500 PGV196484:PGV196500 OWZ196484:OWZ196500 OND196484:OND196500 ODH196484:ODH196500 NTL196484:NTL196500 NJP196484:NJP196500 MZT196484:MZT196500 MPX196484:MPX196500 MGB196484:MGB196500 LWF196484:LWF196500 LMJ196484:LMJ196500 LCN196484:LCN196500 KSR196484:KSR196500 KIV196484:KIV196500 JYZ196484:JYZ196500 JPD196484:JPD196500 JFH196484:JFH196500 IVL196484:IVL196500 ILP196484:ILP196500 IBT196484:IBT196500 HRX196484:HRX196500 HIB196484:HIB196500 GYF196484:GYF196500 GOJ196484:GOJ196500 GEN196484:GEN196500 FUR196484:FUR196500 FKV196484:FKV196500 FAZ196484:FAZ196500 ERD196484:ERD196500 EHH196484:EHH196500 DXL196484:DXL196500 DNP196484:DNP196500 DDT196484:DDT196500 CTX196484:CTX196500 CKB196484:CKB196500 CAF196484:CAF196500 BQJ196484:BQJ196500 BGN196484:BGN196500 AWR196484:AWR196500 AMV196484:AMV196500 ACZ196484:ACZ196500 TD196484:TD196500 JH196484:JH196500 L196484:L196500 WVT130948:WVT130964 WLX130948:WLX130964 WCB130948:WCB130964 VSF130948:VSF130964 VIJ130948:VIJ130964 UYN130948:UYN130964 UOR130948:UOR130964 UEV130948:UEV130964 TUZ130948:TUZ130964 TLD130948:TLD130964 TBH130948:TBH130964 SRL130948:SRL130964 SHP130948:SHP130964 RXT130948:RXT130964 RNX130948:RNX130964 REB130948:REB130964 QUF130948:QUF130964 QKJ130948:QKJ130964 QAN130948:QAN130964 PQR130948:PQR130964 PGV130948:PGV130964 OWZ130948:OWZ130964 OND130948:OND130964 ODH130948:ODH130964 NTL130948:NTL130964 NJP130948:NJP130964 MZT130948:MZT130964 MPX130948:MPX130964 MGB130948:MGB130964 LWF130948:LWF130964 LMJ130948:LMJ130964 LCN130948:LCN130964 KSR130948:KSR130964 KIV130948:KIV130964 JYZ130948:JYZ130964 JPD130948:JPD130964 JFH130948:JFH130964 IVL130948:IVL130964 ILP130948:ILP130964 IBT130948:IBT130964 HRX130948:HRX130964 HIB130948:HIB130964 GYF130948:GYF130964 GOJ130948:GOJ130964 GEN130948:GEN130964 FUR130948:FUR130964 FKV130948:FKV130964 FAZ130948:FAZ130964 ERD130948:ERD130964 EHH130948:EHH130964 DXL130948:DXL130964 DNP130948:DNP130964 DDT130948:DDT130964 CTX130948:CTX130964 CKB130948:CKB130964 CAF130948:CAF130964 BQJ130948:BQJ130964 BGN130948:BGN130964 AWR130948:AWR130964 AMV130948:AMV130964 ACZ130948:ACZ130964 TD130948:TD130964 JH130948:JH130964 L130948:L130964 WVT65412:WVT65428 WLX65412:WLX65428 WCB65412:WCB65428 VSF65412:VSF65428 VIJ65412:VIJ65428 UYN65412:UYN65428 UOR65412:UOR65428 UEV65412:UEV65428 TUZ65412:TUZ65428 TLD65412:TLD65428 TBH65412:TBH65428 SRL65412:SRL65428 SHP65412:SHP65428 RXT65412:RXT65428 RNX65412:RNX65428 REB65412:REB65428 QUF65412:QUF65428 QKJ65412:QKJ65428 QAN65412:QAN65428 PQR65412:PQR65428 PGV65412:PGV65428 OWZ65412:OWZ65428 OND65412:OND65428 ODH65412:ODH65428 NTL65412:NTL65428 NJP65412:NJP65428 MZT65412:MZT65428 MPX65412:MPX65428 MGB65412:MGB65428 LWF65412:LWF65428 LMJ65412:LMJ65428 LCN65412:LCN65428 KSR65412:KSR65428 KIV65412:KIV65428 JYZ65412:JYZ65428 JPD65412:JPD65428 JFH65412:JFH65428 IVL65412:IVL65428 ILP65412:ILP65428 IBT65412:IBT65428 HRX65412:HRX65428 HIB65412:HIB65428 GYF65412:GYF65428 GOJ65412:GOJ65428 GEN65412:GEN65428 FUR65412:FUR65428 FKV65412:FKV65428 FAZ65412:FAZ65428 ERD65412:ERD65428 EHH65412:EHH65428 DXL65412:DXL65428 DNP65412:DNP65428 DDT65412:DDT65428 CTX65412:CTX65428 CKB65412:CKB65428 CAF65412:CAF65428 BQJ65412:BQJ65428 BGN65412:BGN65428 AWR65412:AWR65428 AMV65412:AMV65428 ACZ65412:ACZ65428 TD65412:TD65428 JH65412:JH65428 L65412:L65428 WVT982962:WVT982978 WLX982962:WLX982978 WCB982962:WCB982978 VSF982962:VSF982978 VIJ982962:VIJ982978 UYN982962:UYN982978 UOR982962:UOR982978 UEV982962:UEV982978 TUZ982962:TUZ982978 TLD982962:TLD982978 TBH982962:TBH982978 SRL982962:SRL982978 SHP982962:SHP982978 RXT982962:RXT982978 RNX982962:RNX982978 REB982962:REB982978 QUF982962:QUF982978 QKJ982962:QKJ982978 QAN982962:QAN982978 PQR982962:PQR982978 PGV982962:PGV982978 OWZ982962:OWZ982978 OND982962:OND982978 ODH982962:ODH982978 NTL982962:NTL982978 NJP982962:NJP982978 MZT982962:MZT982978 MPX982962:MPX982978 MGB982962:MGB982978 LWF982962:LWF982978 LMJ982962:LMJ982978 LCN982962:LCN982978 KSR982962:KSR982978 KIV982962:KIV982978 JYZ982962:JYZ982978 JPD982962:JPD982978 JFH982962:JFH982978 IVL982962:IVL982978 ILP982962:ILP982978 IBT982962:IBT982978 HRX982962:HRX982978 HIB982962:HIB982978 GYF982962:GYF982978 GOJ982962:GOJ982978 GEN982962:GEN982978 FUR982962:FUR982978 FKV982962:FKV982978 FAZ982962:FAZ982978 ERD982962:ERD982978 EHH982962:EHH982978 DXL982962:DXL982978 DNP982962:DNP982978 DDT982962:DDT982978 CTX982962:CTX982978 CKB982962:CKB982978 CAF982962:CAF982978 BQJ982962:BQJ982978 BGN982962:BGN982978 AWR982962:AWR982978 AMV982962:AMV982978 ACZ982962:ACZ982978 TD982962:TD982978 JH982962:JH982978 L982962:L982978 WVT917426:WVT917442 WLX917426:WLX917442 WCB917426:WCB917442 VSF917426:VSF917442 VIJ917426:VIJ917442 UYN917426:UYN917442 UOR917426:UOR917442 UEV917426:UEV917442 TUZ917426:TUZ917442 TLD917426:TLD917442 TBH917426:TBH917442 SRL917426:SRL917442 SHP917426:SHP917442 RXT917426:RXT917442 RNX917426:RNX917442 REB917426:REB917442 QUF917426:QUF917442 QKJ917426:QKJ917442 QAN917426:QAN917442 PQR917426:PQR917442 PGV917426:PGV917442 OWZ917426:OWZ917442 OND917426:OND917442 ODH917426:ODH917442 NTL917426:NTL917442 NJP917426:NJP917442 MZT917426:MZT917442 MPX917426:MPX917442 MGB917426:MGB917442 LWF917426:LWF917442 LMJ917426:LMJ917442 LCN917426:LCN917442 KSR917426:KSR917442 KIV917426:KIV917442 JYZ917426:JYZ917442 JPD917426:JPD917442 JFH917426:JFH917442 IVL917426:IVL917442 ILP917426:ILP917442 IBT917426:IBT917442 HRX917426:HRX917442 HIB917426:HIB917442 GYF917426:GYF917442 GOJ917426:GOJ917442 GEN917426:GEN917442 FUR917426:FUR917442 FKV917426:FKV917442 FAZ917426:FAZ917442 ERD917426:ERD917442 EHH917426:EHH917442 DXL917426:DXL917442 DNP917426:DNP917442 DDT917426:DDT917442 CTX917426:CTX917442 CKB917426:CKB917442 CAF917426:CAF917442 BQJ917426:BQJ917442 BGN917426:BGN917442 AWR917426:AWR917442 AMV917426:AMV917442 ACZ917426:ACZ917442 TD917426:TD917442 JH917426:JH917442 L917426:L917442 WVT851890:WVT851906 WLX851890:WLX851906 WCB851890:WCB851906 VSF851890:VSF851906 VIJ851890:VIJ851906 UYN851890:UYN851906 UOR851890:UOR851906 UEV851890:UEV851906 TUZ851890:TUZ851906 TLD851890:TLD851906 TBH851890:TBH851906 SRL851890:SRL851906 SHP851890:SHP851906 RXT851890:RXT851906 RNX851890:RNX851906 REB851890:REB851906 QUF851890:QUF851906 QKJ851890:QKJ851906 QAN851890:QAN851906 PQR851890:PQR851906 PGV851890:PGV851906 OWZ851890:OWZ851906 OND851890:OND851906 ODH851890:ODH851906 NTL851890:NTL851906 NJP851890:NJP851906 MZT851890:MZT851906 MPX851890:MPX851906 MGB851890:MGB851906 LWF851890:LWF851906 LMJ851890:LMJ851906 LCN851890:LCN851906 KSR851890:KSR851906 KIV851890:KIV851906 JYZ851890:JYZ851906 JPD851890:JPD851906 JFH851890:JFH851906 IVL851890:IVL851906 ILP851890:ILP851906 IBT851890:IBT851906 HRX851890:HRX851906 HIB851890:HIB851906 GYF851890:GYF851906 GOJ851890:GOJ851906 GEN851890:GEN851906 FUR851890:FUR851906 FKV851890:FKV851906 FAZ851890:FAZ851906 ERD851890:ERD851906 EHH851890:EHH851906 DXL851890:DXL851906 DNP851890:DNP851906 DDT851890:DDT851906 CTX851890:CTX851906 CKB851890:CKB851906 CAF851890:CAF851906 BQJ851890:BQJ851906 BGN851890:BGN851906 AWR851890:AWR851906 AMV851890:AMV851906 ACZ851890:ACZ851906 TD851890:TD851906 JH851890:JH851906 L851890:L851906 WVT786354:WVT786370 WLX786354:WLX786370 WCB786354:WCB786370 VSF786354:VSF786370 VIJ786354:VIJ786370 UYN786354:UYN786370 UOR786354:UOR786370 UEV786354:UEV786370 TUZ786354:TUZ786370 TLD786354:TLD786370 TBH786354:TBH786370 SRL786354:SRL786370 SHP786354:SHP786370 RXT786354:RXT786370 RNX786354:RNX786370 REB786354:REB786370 QUF786354:QUF786370 QKJ786354:QKJ786370 QAN786354:QAN786370 PQR786354:PQR786370 PGV786354:PGV786370 OWZ786354:OWZ786370 OND786354:OND786370 ODH786354:ODH786370 NTL786354:NTL786370 NJP786354:NJP786370 MZT786354:MZT786370 MPX786354:MPX786370 MGB786354:MGB786370 LWF786354:LWF786370 LMJ786354:LMJ786370 LCN786354:LCN786370 KSR786354:KSR786370 KIV786354:KIV786370 JYZ786354:JYZ786370 JPD786354:JPD786370 JFH786354:JFH786370 IVL786354:IVL786370 ILP786354:ILP786370 IBT786354:IBT786370 HRX786354:HRX786370 HIB786354:HIB786370 GYF786354:GYF786370 GOJ786354:GOJ786370 GEN786354:GEN786370 FUR786354:FUR786370 FKV786354:FKV786370 FAZ786354:FAZ786370 ERD786354:ERD786370 EHH786354:EHH786370 DXL786354:DXL786370 DNP786354:DNP786370 DDT786354:DDT786370 CTX786354:CTX786370 CKB786354:CKB786370 CAF786354:CAF786370 BQJ786354:BQJ786370 BGN786354:BGN786370 AWR786354:AWR786370 AMV786354:AMV786370 ACZ786354:ACZ786370 TD786354:TD786370 JH786354:JH786370 L786354:L786370 WVT720818:WVT720834 WLX720818:WLX720834 WCB720818:WCB720834 VSF720818:VSF720834 VIJ720818:VIJ720834 UYN720818:UYN720834 UOR720818:UOR720834 UEV720818:UEV720834 TUZ720818:TUZ720834 TLD720818:TLD720834 TBH720818:TBH720834 SRL720818:SRL720834 SHP720818:SHP720834 RXT720818:RXT720834 RNX720818:RNX720834 REB720818:REB720834 QUF720818:QUF720834 QKJ720818:QKJ720834 QAN720818:QAN720834 PQR720818:PQR720834 PGV720818:PGV720834 OWZ720818:OWZ720834 OND720818:OND720834 ODH720818:ODH720834 NTL720818:NTL720834 NJP720818:NJP720834 MZT720818:MZT720834 MPX720818:MPX720834 MGB720818:MGB720834 LWF720818:LWF720834 LMJ720818:LMJ720834 LCN720818:LCN720834 KSR720818:KSR720834 KIV720818:KIV720834 JYZ720818:JYZ720834 JPD720818:JPD720834 JFH720818:JFH720834 IVL720818:IVL720834 ILP720818:ILP720834 IBT720818:IBT720834 HRX720818:HRX720834 HIB720818:HIB720834 GYF720818:GYF720834 GOJ720818:GOJ720834 GEN720818:GEN720834 FUR720818:FUR720834 FKV720818:FKV720834 FAZ720818:FAZ720834 ERD720818:ERD720834 EHH720818:EHH720834 DXL720818:DXL720834 DNP720818:DNP720834 DDT720818:DDT720834 CTX720818:CTX720834 CKB720818:CKB720834 CAF720818:CAF720834 BQJ720818:BQJ720834 BGN720818:BGN720834 AWR720818:AWR720834 AMV720818:AMV720834 ACZ720818:ACZ720834 TD720818:TD720834 JH720818:JH720834 L720818:L720834 WVT655282:WVT655298 WLX655282:WLX655298 WCB655282:WCB655298 VSF655282:VSF655298 VIJ655282:VIJ655298 UYN655282:UYN655298 UOR655282:UOR655298 UEV655282:UEV655298 TUZ655282:TUZ655298 TLD655282:TLD655298 TBH655282:TBH655298 SRL655282:SRL655298 SHP655282:SHP655298 RXT655282:RXT655298 RNX655282:RNX655298 REB655282:REB655298 QUF655282:QUF655298 QKJ655282:QKJ655298 QAN655282:QAN655298 PQR655282:PQR655298 PGV655282:PGV655298 OWZ655282:OWZ655298 OND655282:OND655298 ODH655282:ODH655298 NTL655282:NTL655298 NJP655282:NJP655298 MZT655282:MZT655298 MPX655282:MPX655298 MGB655282:MGB655298 LWF655282:LWF655298 LMJ655282:LMJ655298 LCN655282:LCN655298 KSR655282:KSR655298 KIV655282:KIV655298 JYZ655282:JYZ655298 JPD655282:JPD655298 JFH655282:JFH655298 IVL655282:IVL655298 ILP655282:ILP655298 IBT655282:IBT655298 HRX655282:HRX655298 HIB655282:HIB655298 GYF655282:GYF655298 GOJ655282:GOJ655298 GEN655282:GEN655298 FUR655282:FUR655298 FKV655282:FKV655298 FAZ655282:FAZ655298 ERD655282:ERD655298 EHH655282:EHH655298 DXL655282:DXL655298 DNP655282:DNP655298 DDT655282:DDT655298 CTX655282:CTX655298 CKB655282:CKB655298 CAF655282:CAF655298 BQJ655282:BQJ655298 BGN655282:BGN655298 AWR655282:AWR655298 AMV655282:AMV655298 ACZ655282:ACZ655298 TD655282:TD655298 JH655282:JH655298 L655282:L655298 WVT589746:WVT589762 WLX589746:WLX589762 WCB589746:WCB589762 VSF589746:VSF589762 VIJ589746:VIJ589762 UYN589746:UYN589762 UOR589746:UOR589762 UEV589746:UEV589762 TUZ589746:TUZ589762 TLD589746:TLD589762 TBH589746:TBH589762 SRL589746:SRL589762 SHP589746:SHP589762 RXT589746:RXT589762 RNX589746:RNX589762 REB589746:REB589762 QUF589746:QUF589762 QKJ589746:QKJ589762 QAN589746:QAN589762 PQR589746:PQR589762 PGV589746:PGV589762 OWZ589746:OWZ589762 OND589746:OND589762 ODH589746:ODH589762 NTL589746:NTL589762 NJP589746:NJP589762 MZT589746:MZT589762 MPX589746:MPX589762 MGB589746:MGB589762 LWF589746:LWF589762 LMJ589746:LMJ589762 LCN589746:LCN589762 KSR589746:KSR589762 KIV589746:KIV589762 JYZ589746:JYZ589762 JPD589746:JPD589762 JFH589746:JFH589762 IVL589746:IVL589762 ILP589746:ILP589762 IBT589746:IBT589762 HRX589746:HRX589762 HIB589746:HIB589762 GYF589746:GYF589762 GOJ589746:GOJ589762 GEN589746:GEN589762 FUR589746:FUR589762 FKV589746:FKV589762 FAZ589746:FAZ589762 ERD589746:ERD589762 EHH589746:EHH589762 DXL589746:DXL589762 DNP589746:DNP589762 DDT589746:DDT589762 CTX589746:CTX589762 CKB589746:CKB589762 CAF589746:CAF589762 BQJ589746:BQJ589762 BGN589746:BGN589762 AWR589746:AWR589762 AMV589746:AMV589762 ACZ589746:ACZ589762 TD589746:TD589762 JH589746:JH589762 L589746:L589762 WVT524210:WVT524226 WLX524210:WLX524226 WCB524210:WCB524226 VSF524210:VSF524226 VIJ524210:VIJ524226 UYN524210:UYN524226 UOR524210:UOR524226 UEV524210:UEV524226 TUZ524210:TUZ524226 TLD524210:TLD524226 TBH524210:TBH524226 SRL524210:SRL524226 SHP524210:SHP524226 RXT524210:RXT524226 RNX524210:RNX524226 REB524210:REB524226 QUF524210:QUF524226 QKJ524210:QKJ524226 QAN524210:QAN524226 PQR524210:PQR524226 PGV524210:PGV524226 OWZ524210:OWZ524226 OND524210:OND524226 ODH524210:ODH524226 NTL524210:NTL524226 NJP524210:NJP524226 MZT524210:MZT524226 MPX524210:MPX524226 MGB524210:MGB524226 LWF524210:LWF524226 LMJ524210:LMJ524226 LCN524210:LCN524226 KSR524210:KSR524226 KIV524210:KIV524226 JYZ524210:JYZ524226 JPD524210:JPD524226 JFH524210:JFH524226 IVL524210:IVL524226 ILP524210:ILP524226 IBT524210:IBT524226 HRX524210:HRX524226 HIB524210:HIB524226 GYF524210:GYF524226 GOJ524210:GOJ524226 GEN524210:GEN524226 FUR524210:FUR524226 FKV524210:FKV524226 FAZ524210:FAZ524226 ERD524210:ERD524226 EHH524210:EHH524226 DXL524210:DXL524226 DNP524210:DNP524226 DDT524210:DDT524226 CTX524210:CTX524226 CKB524210:CKB524226 CAF524210:CAF524226 BQJ524210:BQJ524226 BGN524210:BGN524226 AWR524210:AWR524226 AMV524210:AMV524226 ACZ524210:ACZ524226 TD524210:TD524226 JH524210:JH524226 L524210:L524226 WVT458674:WVT458690 WLX458674:WLX458690 WCB458674:WCB458690 VSF458674:VSF458690 VIJ458674:VIJ458690 UYN458674:UYN458690 UOR458674:UOR458690 UEV458674:UEV458690 TUZ458674:TUZ458690 TLD458674:TLD458690 TBH458674:TBH458690 SRL458674:SRL458690 SHP458674:SHP458690 RXT458674:RXT458690 RNX458674:RNX458690 REB458674:REB458690 QUF458674:QUF458690 QKJ458674:QKJ458690 QAN458674:QAN458690 PQR458674:PQR458690 PGV458674:PGV458690 OWZ458674:OWZ458690 OND458674:OND458690 ODH458674:ODH458690 NTL458674:NTL458690 NJP458674:NJP458690 MZT458674:MZT458690 MPX458674:MPX458690 MGB458674:MGB458690 LWF458674:LWF458690 LMJ458674:LMJ458690 LCN458674:LCN458690 KSR458674:KSR458690 KIV458674:KIV458690 JYZ458674:JYZ458690 JPD458674:JPD458690 JFH458674:JFH458690 IVL458674:IVL458690 ILP458674:ILP458690 IBT458674:IBT458690 HRX458674:HRX458690 HIB458674:HIB458690 GYF458674:GYF458690 GOJ458674:GOJ458690 GEN458674:GEN458690 FUR458674:FUR458690 FKV458674:FKV458690 FAZ458674:FAZ458690 ERD458674:ERD458690 EHH458674:EHH458690 DXL458674:DXL458690 DNP458674:DNP458690 DDT458674:DDT458690 CTX458674:CTX458690 CKB458674:CKB458690 CAF458674:CAF458690 BQJ458674:BQJ458690 BGN458674:BGN458690 AWR458674:AWR458690 AMV458674:AMV458690 ACZ458674:ACZ458690 TD458674:TD458690 JH458674:JH458690 L458674:L458690 WVT393138:WVT393154 WLX393138:WLX393154 WCB393138:WCB393154 VSF393138:VSF393154 VIJ393138:VIJ393154 UYN393138:UYN393154 UOR393138:UOR393154 UEV393138:UEV393154 TUZ393138:TUZ393154 TLD393138:TLD393154 TBH393138:TBH393154 SRL393138:SRL393154 SHP393138:SHP393154 RXT393138:RXT393154 RNX393138:RNX393154 REB393138:REB393154 QUF393138:QUF393154 QKJ393138:QKJ393154 QAN393138:QAN393154 PQR393138:PQR393154 PGV393138:PGV393154 OWZ393138:OWZ393154 OND393138:OND393154 ODH393138:ODH393154 NTL393138:NTL393154 NJP393138:NJP393154 MZT393138:MZT393154 MPX393138:MPX393154 MGB393138:MGB393154 LWF393138:LWF393154 LMJ393138:LMJ393154 LCN393138:LCN393154 KSR393138:KSR393154 KIV393138:KIV393154 JYZ393138:JYZ393154 JPD393138:JPD393154 JFH393138:JFH393154 IVL393138:IVL393154 ILP393138:ILP393154 IBT393138:IBT393154 HRX393138:HRX393154 HIB393138:HIB393154 GYF393138:GYF393154 GOJ393138:GOJ393154 GEN393138:GEN393154 FUR393138:FUR393154 FKV393138:FKV393154 FAZ393138:FAZ393154 ERD393138:ERD393154 EHH393138:EHH393154 DXL393138:DXL393154 DNP393138:DNP393154 DDT393138:DDT393154 CTX393138:CTX393154 CKB393138:CKB393154 CAF393138:CAF393154 BQJ393138:BQJ393154 BGN393138:BGN393154 AWR393138:AWR393154 AMV393138:AMV393154 ACZ393138:ACZ393154 TD393138:TD393154 JH393138:JH393154 L393138:L393154 WVT327602:WVT327618 WLX327602:WLX327618 WCB327602:WCB327618 VSF327602:VSF327618 VIJ327602:VIJ327618 UYN327602:UYN327618 UOR327602:UOR327618 UEV327602:UEV327618 TUZ327602:TUZ327618 TLD327602:TLD327618 TBH327602:TBH327618 SRL327602:SRL327618 SHP327602:SHP327618 RXT327602:RXT327618 RNX327602:RNX327618 REB327602:REB327618 QUF327602:QUF327618 QKJ327602:QKJ327618 QAN327602:QAN327618 PQR327602:PQR327618 PGV327602:PGV327618 OWZ327602:OWZ327618 OND327602:OND327618 ODH327602:ODH327618 NTL327602:NTL327618 NJP327602:NJP327618 MZT327602:MZT327618 MPX327602:MPX327618 MGB327602:MGB327618 LWF327602:LWF327618 LMJ327602:LMJ327618 LCN327602:LCN327618 KSR327602:KSR327618 KIV327602:KIV327618 JYZ327602:JYZ327618 JPD327602:JPD327618 JFH327602:JFH327618 IVL327602:IVL327618 ILP327602:ILP327618 IBT327602:IBT327618 HRX327602:HRX327618 HIB327602:HIB327618 GYF327602:GYF327618 GOJ327602:GOJ327618 GEN327602:GEN327618 FUR327602:FUR327618 FKV327602:FKV327618 FAZ327602:FAZ327618 ERD327602:ERD327618 EHH327602:EHH327618 DXL327602:DXL327618 DNP327602:DNP327618 DDT327602:DDT327618 CTX327602:CTX327618 CKB327602:CKB327618 CAF327602:CAF327618 BQJ327602:BQJ327618 BGN327602:BGN327618 AWR327602:AWR327618 AMV327602:AMV327618 ACZ327602:ACZ327618 TD327602:TD327618 JH327602:JH327618 L327602:L327618 WVT262066:WVT262082 WLX262066:WLX262082 WCB262066:WCB262082 VSF262066:VSF262082 VIJ262066:VIJ262082 UYN262066:UYN262082 UOR262066:UOR262082 UEV262066:UEV262082 TUZ262066:TUZ262082 TLD262066:TLD262082 TBH262066:TBH262082 SRL262066:SRL262082 SHP262066:SHP262082 RXT262066:RXT262082 RNX262066:RNX262082 REB262066:REB262082 QUF262066:QUF262082 QKJ262066:QKJ262082 QAN262066:QAN262082 PQR262066:PQR262082 PGV262066:PGV262082 OWZ262066:OWZ262082 OND262066:OND262082 ODH262066:ODH262082 NTL262066:NTL262082 NJP262066:NJP262082 MZT262066:MZT262082 MPX262066:MPX262082 MGB262066:MGB262082 LWF262066:LWF262082 LMJ262066:LMJ262082 LCN262066:LCN262082 KSR262066:KSR262082 KIV262066:KIV262082 JYZ262066:JYZ262082 JPD262066:JPD262082 JFH262066:JFH262082 IVL262066:IVL262082 ILP262066:ILP262082 IBT262066:IBT262082 HRX262066:HRX262082 HIB262066:HIB262082 GYF262066:GYF262082 GOJ262066:GOJ262082 GEN262066:GEN262082 FUR262066:FUR262082 FKV262066:FKV262082 FAZ262066:FAZ262082 ERD262066:ERD262082 EHH262066:EHH262082 DXL262066:DXL262082 DNP262066:DNP262082 DDT262066:DDT262082 CTX262066:CTX262082 CKB262066:CKB262082 CAF262066:CAF262082 BQJ262066:BQJ262082 BGN262066:BGN262082 AWR262066:AWR262082 AMV262066:AMV262082 ACZ262066:ACZ262082 TD262066:TD262082 JH262066:JH262082 L262066:L262082 WVT196530:WVT196546 WLX196530:WLX196546 WCB196530:WCB196546 VSF196530:VSF196546 VIJ196530:VIJ196546 UYN196530:UYN196546 UOR196530:UOR196546 UEV196530:UEV196546 TUZ196530:TUZ196546 TLD196530:TLD196546 TBH196530:TBH196546 SRL196530:SRL196546 SHP196530:SHP196546 RXT196530:RXT196546 RNX196530:RNX196546 REB196530:REB196546 QUF196530:QUF196546 QKJ196530:QKJ196546 QAN196530:QAN196546 PQR196530:PQR196546 PGV196530:PGV196546 OWZ196530:OWZ196546 OND196530:OND196546 ODH196530:ODH196546 NTL196530:NTL196546 NJP196530:NJP196546 MZT196530:MZT196546 MPX196530:MPX196546 MGB196530:MGB196546 LWF196530:LWF196546 LMJ196530:LMJ196546 LCN196530:LCN196546 KSR196530:KSR196546 KIV196530:KIV196546 JYZ196530:JYZ196546 JPD196530:JPD196546 JFH196530:JFH196546 IVL196530:IVL196546 ILP196530:ILP196546 IBT196530:IBT196546 HRX196530:HRX196546 HIB196530:HIB196546 GYF196530:GYF196546 GOJ196530:GOJ196546 GEN196530:GEN196546 FUR196530:FUR196546 FKV196530:FKV196546 FAZ196530:FAZ196546 ERD196530:ERD196546 EHH196530:EHH196546 DXL196530:DXL196546 DNP196530:DNP196546 DDT196530:DDT196546 CTX196530:CTX196546 CKB196530:CKB196546 CAF196530:CAF196546 BQJ196530:BQJ196546 BGN196530:BGN196546 AWR196530:AWR196546 AMV196530:AMV196546 ACZ196530:ACZ196546 TD196530:TD196546 JH196530:JH196546 L196530:L196546 WVT130994:WVT131010 WLX130994:WLX131010 WCB130994:WCB131010 VSF130994:VSF131010 VIJ130994:VIJ131010 UYN130994:UYN131010 UOR130994:UOR131010 UEV130994:UEV131010 TUZ130994:TUZ131010 TLD130994:TLD131010 TBH130994:TBH131010 SRL130994:SRL131010 SHP130994:SHP131010 RXT130994:RXT131010 RNX130994:RNX131010 REB130994:REB131010 QUF130994:QUF131010 QKJ130994:QKJ131010 QAN130994:QAN131010 PQR130994:PQR131010 PGV130994:PGV131010 OWZ130994:OWZ131010 OND130994:OND131010 ODH130994:ODH131010 NTL130994:NTL131010 NJP130994:NJP131010 MZT130994:MZT131010 MPX130994:MPX131010 MGB130994:MGB131010 LWF130994:LWF131010 LMJ130994:LMJ131010 LCN130994:LCN131010 KSR130994:KSR131010 KIV130994:KIV131010 JYZ130994:JYZ131010 JPD130994:JPD131010 JFH130994:JFH131010 IVL130994:IVL131010 ILP130994:ILP131010 IBT130994:IBT131010 HRX130994:HRX131010 HIB130994:HIB131010 GYF130994:GYF131010 GOJ130994:GOJ131010 GEN130994:GEN131010 FUR130994:FUR131010 FKV130994:FKV131010 FAZ130994:FAZ131010 ERD130994:ERD131010 EHH130994:EHH131010 DXL130994:DXL131010 DNP130994:DNP131010 DDT130994:DDT131010 CTX130994:CTX131010 CKB130994:CKB131010 CAF130994:CAF131010 BQJ130994:BQJ131010 BGN130994:BGN131010 AWR130994:AWR131010 AMV130994:AMV131010 ACZ130994:ACZ131010 TD130994:TD131010 JH130994:JH131010 L130994:L131010 WVT65458:WVT65474 WLX65458:WLX65474 WCB65458:WCB65474 VSF65458:VSF65474 VIJ65458:VIJ65474 UYN65458:UYN65474 UOR65458:UOR65474 UEV65458:UEV65474 TUZ65458:TUZ65474 TLD65458:TLD65474 TBH65458:TBH65474 SRL65458:SRL65474 SHP65458:SHP65474 RXT65458:RXT65474 RNX65458:RNX65474 REB65458:REB65474 QUF65458:QUF65474 QKJ65458:QKJ65474 QAN65458:QAN65474 PQR65458:PQR65474 PGV65458:PGV65474 OWZ65458:OWZ65474 OND65458:OND65474 ODH65458:ODH65474 NTL65458:NTL65474 NJP65458:NJP65474 MZT65458:MZT65474 MPX65458:MPX65474 MGB65458:MGB65474 LWF65458:LWF65474 LMJ65458:LMJ65474 LCN65458:LCN65474 KSR65458:KSR65474 KIV65458:KIV65474 JYZ65458:JYZ65474 JPD65458:JPD65474 JFH65458:JFH65474 IVL65458:IVL65474 ILP65458:ILP65474 IBT65458:IBT65474 HRX65458:HRX65474 HIB65458:HIB65474 GYF65458:GYF65474 GOJ65458:GOJ65474 GEN65458:GEN65474 FUR65458:FUR65474 FKV65458:FKV65474 FAZ65458:FAZ65474 ERD65458:ERD65474 EHH65458:EHH65474 DXL65458:DXL65474 DNP65458:DNP65474 DDT65458:DDT65474 CTX65458:CTX65474 CKB65458:CKB65474 CAF65458:CAF65474 BQJ65458:BQJ65474 BGN65458:BGN65474 AWR65458:AWR65474 AMV65458:AMV65474 ACZ65458:ACZ65474 TD65458:TD65474 JH65458:JH65474 L65458:L65474 WVT982870:WVT982886 WLX982870:WLX982886 WCB982870:WCB982886 VSF982870:VSF982886 VIJ982870:VIJ982886 UYN982870:UYN982886 UOR982870:UOR982886 UEV982870:UEV982886 TUZ982870:TUZ982886 TLD982870:TLD982886 TBH982870:TBH982886 SRL982870:SRL982886 SHP982870:SHP982886 RXT982870:RXT982886 RNX982870:RNX982886 REB982870:REB982886 QUF982870:QUF982886 QKJ982870:QKJ982886 QAN982870:QAN982886 PQR982870:PQR982886 PGV982870:PGV982886 OWZ982870:OWZ982886 OND982870:OND982886 ODH982870:ODH982886 NTL982870:NTL982886 NJP982870:NJP982886 MZT982870:MZT982886 MPX982870:MPX982886 MGB982870:MGB982886 LWF982870:LWF982886 LMJ982870:LMJ982886 LCN982870:LCN982886 KSR982870:KSR982886 KIV982870:KIV982886 JYZ982870:JYZ982886 JPD982870:JPD982886 JFH982870:JFH982886 IVL982870:IVL982886 ILP982870:ILP982886 IBT982870:IBT982886 HRX982870:HRX982886 HIB982870:HIB982886 GYF982870:GYF982886 GOJ982870:GOJ982886 GEN982870:GEN982886 FUR982870:FUR982886 FKV982870:FKV982886 FAZ982870:FAZ982886 ERD982870:ERD982886 EHH982870:EHH982886 DXL982870:DXL982886 DNP982870:DNP982886 DDT982870:DDT982886 CTX982870:CTX982886 CKB982870:CKB982886 CAF982870:CAF982886 BQJ982870:BQJ982886 BGN982870:BGN982886 AWR982870:AWR982886 AMV982870:AMV982886 ACZ982870:ACZ982886 TD982870:TD982886 JH982870:JH982886 L982870:L982886 WVT917334:WVT917350 WLX917334:WLX917350 WCB917334:WCB917350 VSF917334:VSF917350 VIJ917334:VIJ917350 UYN917334:UYN917350 UOR917334:UOR917350 UEV917334:UEV917350 TUZ917334:TUZ917350 TLD917334:TLD917350 TBH917334:TBH917350 SRL917334:SRL917350 SHP917334:SHP917350 RXT917334:RXT917350 RNX917334:RNX917350 REB917334:REB917350 QUF917334:QUF917350 QKJ917334:QKJ917350 QAN917334:QAN917350 PQR917334:PQR917350 PGV917334:PGV917350 OWZ917334:OWZ917350 OND917334:OND917350 ODH917334:ODH917350 NTL917334:NTL917350 NJP917334:NJP917350 MZT917334:MZT917350 MPX917334:MPX917350 MGB917334:MGB917350 LWF917334:LWF917350 LMJ917334:LMJ917350 LCN917334:LCN917350 KSR917334:KSR917350 KIV917334:KIV917350 JYZ917334:JYZ917350 JPD917334:JPD917350 JFH917334:JFH917350 IVL917334:IVL917350 ILP917334:ILP917350 IBT917334:IBT917350 HRX917334:HRX917350 HIB917334:HIB917350 GYF917334:GYF917350 GOJ917334:GOJ917350 GEN917334:GEN917350 FUR917334:FUR917350 FKV917334:FKV917350 FAZ917334:FAZ917350 ERD917334:ERD917350 EHH917334:EHH917350 DXL917334:DXL917350 DNP917334:DNP917350 DDT917334:DDT917350 CTX917334:CTX917350 CKB917334:CKB917350 CAF917334:CAF917350 BQJ917334:BQJ917350 BGN917334:BGN917350 AWR917334:AWR917350 AMV917334:AMV917350 ACZ917334:ACZ917350 TD917334:TD917350 JH917334:JH917350 L917334:L917350 WVT851798:WVT851814 WLX851798:WLX851814 WCB851798:WCB851814 VSF851798:VSF851814 VIJ851798:VIJ851814 UYN851798:UYN851814 UOR851798:UOR851814 UEV851798:UEV851814 TUZ851798:TUZ851814 TLD851798:TLD851814 TBH851798:TBH851814 SRL851798:SRL851814 SHP851798:SHP851814 RXT851798:RXT851814 RNX851798:RNX851814 REB851798:REB851814 QUF851798:QUF851814 QKJ851798:QKJ851814 QAN851798:QAN851814 PQR851798:PQR851814 PGV851798:PGV851814 OWZ851798:OWZ851814 OND851798:OND851814 ODH851798:ODH851814 NTL851798:NTL851814 NJP851798:NJP851814 MZT851798:MZT851814 MPX851798:MPX851814 MGB851798:MGB851814 LWF851798:LWF851814 LMJ851798:LMJ851814 LCN851798:LCN851814 KSR851798:KSR851814 KIV851798:KIV851814 JYZ851798:JYZ851814 JPD851798:JPD851814 JFH851798:JFH851814 IVL851798:IVL851814 ILP851798:ILP851814 IBT851798:IBT851814 HRX851798:HRX851814 HIB851798:HIB851814 GYF851798:GYF851814 GOJ851798:GOJ851814 GEN851798:GEN851814 FUR851798:FUR851814 FKV851798:FKV851814 FAZ851798:FAZ851814 ERD851798:ERD851814 EHH851798:EHH851814 DXL851798:DXL851814 DNP851798:DNP851814 DDT851798:DDT851814 CTX851798:CTX851814 CKB851798:CKB851814 CAF851798:CAF851814 BQJ851798:BQJ851814 BGN851798:BGN851814 AWR851798:AWR851814 AMV851798:AMV851814 ACZ851798:ACZ851814 TD851798:TD851814 JH851798:JH851814 L851798:L851814 WVT786262:WVT786278 WLX786262:WLX786278 WCB786262:WCB786278 VSF786262:VSF786278 VIJ786262:VIJ786278 UYN786262:UYN786278 UOR786262:UOR786278 UEV786262:UEV786278 TUZ786262:TUZ786278 TLD786262:TLD786278 TBH786262:TBH786278 SRL786262:SRL786278 SHP786262:SHP786278 RXT786262:RXT786278 RNX786262:RNX786278 REB786262:REB786278 QUF786262:QUF786278 QKJ786262:QKJ786278 QAN786262:QAN786278 PQR786262:PQR786278 PGV786262:PGV786278 OWZ786262:OWZ786278 OND786262:OND786278 ODH786262:ODH786278 NTL786262:NTL786278 NJP786262:NJP786278 MZT786262:MZT786278 MPX786262:MPX786278 MGB786262:MGB786278 LWF786262:LWF786278 LMJ786262:LMJ786278 LCN786262:LCN786278 KSR786262:KSR786278 KIV786262:KIV786278 JYZ786262:JYZ786278 JPD786262:JPD786278 JFH786262:JFH786278 IVL786262:IVL786278 ILP786262:ILP786278 IBT786262:IBT786278 HRX786262:HRX786278 HIB786262:HIB786278 GYF786262:GYF786278 GOJ786262:GOJ786278 GEN786262:GEN786278 FUR786262:FUR786278 FKV786262:FKV786278 FAZ786262:FAZ786278 ERD786262:ERD786278 EHH786262:EHH786278 DXL786262:DXL786278 DNP786262:DNP786278 DDT786262:DDT786278 CTX786262:CTX786278 CKB786262:CKB786278 CAF786262:CAF786278 BQJ786262:BQJ786278 BGN786262:BGN786278 AWR786262:AWR786278 AMV786262:AMV786278 ACZ786262:ACZ786278 TD786262:TD786278 JH786262:JH786278 L786262:L786278 WVT720726:WVT720742 WLX720726:WLX720742 WCB720726:WCB720742 VSF720726:VSF720742 VIJ720726:VIJ720742 UYN720726:UYN720742 UOR720726:UOR720742 UEV720726:UEV720742 TUZ720726:TUZ720742 TLD720726:TLD720742 TBH720726:TBH720742 SRL720726:SRL720742 SHP720726:SHP720742 RXT720726:RXT720742 RNX720726:RNX720742 REB720726:REB720742 QUF720726:QUF720742 QKJ720726:QKJ720742 QAN720726:QAN720742 PQR720726:PQR720742 PGV720726:PGV720742 OWZ720726:OWZ720742 OND720726:OND720742 ODH720726:ODH720742 NTL720726:NTL720742 NJP720726:NJP720742 MZT720726:MZT720742 MPX720726:MPX720742 MGB720726:MGB720742 LWF720726:LWF720742 LMJ720726:LMJ720742 LCN720726:LCN720742 KSR720726:KSR720742 KIV720726:KIV720742 JYZ720726:JYZ720742 JPD720726:JPD720742 JFH720726:JFH720742 IVL720726:IVL720742 ILP720726:ILP720742 IBT720726:IBT720742 HRX720726:HRX720742 HIB720726:HIB720742 GYF720726:GYF720742 GOJ720726:GOJ720742 GEN720726:GEN720742 FUR720726:FUR720742 FKV720726:FKV720742 FAZ720726:FAZ720742 ERD720726:ERD720742 EHH720726:EHH720742 DXL720726:DXL720742 DNP720726:DNP720742 DDT720726:DDT720742 CTX720726:CTX720742 CKB720726:CKB720742 CAF720726:CAF720742 BQJ720726:BQJ720742 BGN720726:BGN720742 AWR720726:AWR720742 AMV720726:AMV720742 ACZ720726:ACZ720742 TD720726:TD720742 JH720726:JH720742 L720726:L720742 WVT655190:WVT655206 WLX655190:WLX655206 WCB655190:WCB655206 VSF655190:VSF655206 VIJ655190:VIJ655206 UYN655190:UYN655206 UOR655190:UOR655206 UEV655190:UEV655206 TUZ655190:TUZ655206 TLD655190:TLD655206 TBH655190:TBH655206 SRL655190:SRL655206 SHP655190:SHP655206 RXT655190:RXT655206 RNX655190:RNX655206 REB655190:REB655206 QUF655190:QUF655206 QKJ655190:QKJ655206 QAN655190:QAN655206 PQR655190:PQR655206 PGV655190:PGV655206 OWZ655190:OWZ655206 OND655190:OND655206 ODH655190:ODH655206 NTL655190:NTL655206 NJP655190:NJP655206 MZT655190:MZT655206 MPX655190:MPX655206 MGB655190:MGB655206 LWF655190:LWF655206 LMJ655190:LMJ655206 LCN655190:LCN655206 KSR655190:KSR655206 KIV655190:KIV655206 JYZ655190:JYZ655206 JPD655190:JPD655206 JFH655190:JFH655206 IVL655190:IVL655206 ILP655190:ILP655206 IBT655190:IBT655206 HRX655190:HRX655206 HIB655190:HIB655206 GYF655190:GYF655206 GOJ655190:GOJ655206 GEN655190:GEN655206 FUR655190:FUR655206 FKV655190:FKV655206 FAZ655190:FAZ655206 ERD655190:ERD655206 EHH655190:EHH655206 DXL655190:DXL655206 DNP655190:DNP655206 DDT655190:DDT655206 CTX655190:CTX655206 CKB655190:CKB655206 CAF655190:CAF655206 BQJ655190:BQJ655206 BGN655190:BGN655206 AWR655190:AWR655206 AMV655190:AMV655206 ACZ655190:ACZ655206 TD655190:TD655206 JH655190:JH655206 L655190:L655206 WVT589654:WVT589670 WLX589654:WLX589670 WCB589654:WCB589670 VSF589654:VSF589670 VIJ589654:VIJ589670 UYN589654:UYN589670 UOR589654:UOR589670 UEV589654:UEV589670 TUZ589654:TUZ589670 TLD589654:TLD589670 TBH589654:TBH589670 SRL589654:SRL589670 SHP589654:SHP589670 RXT589654:RXT589670 RNX589654:RNX589670 REB589654:REB589670 QUF589654:QUF589670 QKJ589654:QKJ589670 QAN589654:QAN589670 PQR589654:PQR589670 PGV589654:PGV589670 OWZ589654:OWZ589670 OND589654:OND589670 ODH589654:ODH589670 NTL589654:NTL589670 NJP589654:NJP589670 MZT589654:MZT589670 MPX589654:MPX589670 MGB589654:MGB589670 LWF589654:LWF589670 LMJ589654:LMJ589670 LCN589654:LCN589670 KSR589654:KSR589670 KIV589654:KIV589670 JYZ589654:JYZ589670 JPD589654:JPD589670 JFH589654:JFH589670 IVL589654:IVL589670 ILP589654:ILP589670 IBT589654:IBT589670 HRX589654:HRX589670 HIB589654:HIB589670 GYF589654:GYF589670 GOJ589654:GOJ589670 GEN589654:GEN589670 FUR589654:FUR589670 FKV589654:FKV589670 FAZ589654:FAZ589670 ERD589654:ERD589670 EHH589654:EHH589670 DXL589654:DXL589670 DNP589654:DNP589670 DDT589654:DDT589670 CTX589654:CTX589670 CKB589654:CKB589670 CAF589654:CAF589670 BQJ589654:BQJ589670 BGN589654:BGN589670 AWR589654:AWR589670 AMV589654:AMV589670 ACZ589654:ACZ589670 TD589654:TD589670 JH589654:JH589670 L589654:L589670 WVT524118:WVT524134 WLX524118:WLX524134 WCB524118:WCB524134 VSF524118:VSF524134 VIJ524118:VIJ524134 UYN524118:UYN524134 UOR524118:UOR524134 UEV524118:UEV524134 TUZ524118:TUZ524134 TLD524118:TLD524134 TBH524118:TBH524134 SRL524118:SRL524134 SHP524118:SHP524134 RXT524118:RXT524134 RNX524118:RNX524134 REB524118:REB524134 QUF524118:QUF524134 QKJ524118:QKJ524134 QAN524118:QAN524134 PQR524118:PQR524134 PGV524118:PGV524134 OWZ524118:OWZ524134 OND524118:OND524134 ODH524118:ODH524134 NTL524118:NTL524134 NJP524118:NJP524134 MZT524118:MZT524134 MPX524118:MPX524134 MGB524118:MGB524134 LWF524118:LWF524134 LMJ524118:LMJ524134 LCN524118:LCN524134 KSR524118:KSR524134 KIV524118:KIV524134 JYZ524118:JYZ524134 JPD524118:JPD524134 JFH524118:JFH524134 IVL524118:IVL524134 ILP524118:ILP524134 IBT524118:IBT524134 HRX524118:HRX524134 HIB524118:HIB524134 GYF524118:GYF524134 GOJ524118:GOJ524134 GEN524118:GEN524134 FUR524118:FUR524134 FKV524118:FKV524134 FAZ524118:FAZ524134 ERD524118:ERD524134 EHH524118:EHH524134 DXL524118:DXL524134 DNP524118:DNP524134 DDT524118:DDT524134 CTX524118:CTX524134 CKB524118:CKB524134 CAF524118:CAF524134 BQJ524118:BQJ524134 BGN524118:BGN524134 AWR524118:AWR524134 AMV524118:AMV524134 ACZ524118:ACZ524134 TD524118:TD524134 JH524118:JH524134 L524118:L524134 WVT458582:WVT458598 WLX458582:WLX458598 WCB458582:WCB458598 VSF458582:VSF458598 VIJ458582:VIJ458598 UYN458582:UYN458598 UOR458582:UOR458598 UEV458582:UEV458598 TUZ458582:TUZ458598 TLD458582:TLD458598 TBH458582:TBH458598 SRL458582:SRL458598 SHP458582:SHP458598 RXT458582:RXT458598 RNX458582:RNX458598 REB458582:REB458598 QUF458582:QUF458598 QKJ458582:QKJ458598 QAN458582:QAN458598 PQR458582:PQR458598 PGV458582:PGV458598 OWZ458582:OWZ458598 OND458582:OND458598 ODH458582:ODH458598 NTL458582:NTL458598 NJP458582:NJP458598 MZT458582:MZT458598 MPX458582:MPX458598 MGB458582:MGB458598 LWF458582:LWF458598 LMJ458582:LMJ458598 LCN458582:LCN458598 KSR458582:KSR458598 KIV458582:KIV458598 JYZ458582:JYZ458598 JPD458582:JPD458598 JFH458582:JFH458598 IVL458582:IVL458598 ILP458582:ILP458598 IBT458582:IBT458598 HRX458582:HRX458598 HIB458582:HIB458598 GYF458582:GYF458598 GOJ458582:GOJ458598 GEN458582:GEN458598 FUR458582:FUR458598 FKV458582:FKV458598 FAZ458582:FAZ458598 ERD458582:ERD458598 EHH458582:EHH458598 DXL458582:DXL458598 DNP458582:DNP458598 DDT458582:DDT458598 CTX458582:CTX458598 CKB458582:CKB458598 CAF458582:CAF458598 BQJ458582:BQJ458598 BGN458582:BGN458598 AWR458582:AWR458598 AMV458582:AMV458598 ACZ458582:ACZ458598 TD458582:TD458598 JH458582:JH458598 L458582:L458598 WVT393046:WVT393062 WLX393046:WLX393062 WCB393046:WCB393062 VSF393046:VSF393062 VIJ393046:VIJ393062 UYN393046:UYN393062 UOR393046:UOR393062 UEV393046:UEV393062 TUZ393046:TUZ393062 TLD393046:TLD393062 TBH393046:TBH393062 SRL393046:SRL393062 SHP393046:SHP393062 RXT393046:RXT393062 RNX393046:RNX393062 REB393046:REB393062 QUF393046:QUF393062 QKJ393046:QKJ393062 QAN393046:QAN393062 PQR393046:PQR393062 PGV393046:PGV393062 OWZ393046:OWZ393062 OND393046:OND393062 ODH393046:ODH393062 NTL393046:NTL393062 NJP393046:NJP393062 MZT393046:MZT393062 MPX393046:MPX393062 MGB393046:MGB393062 LWF393046:LWF393062 LMJ393046:LMJ393062 LCN393046:LCN393062 KSR393046:KSR393062 KIV393046:KIV393062 JYZ393046:JYZ393062 JPD393046:JPD393062 JFH393046:JFH393062 IVL393046:IVL393062 ILP393046:ILP393062 IBT393046:IBT393062 HRX393046:HRX393062 HIB393046:HIB393062 GYF393046:GYF393062 GOJ393046:GOJ393062 GEN393046:GEN393062 FUR393046:FUR393062 FKV393046:FKV393062 FAZ393046:FAZ393062 ERD393046:ERD393062 EHH393046:EHH393062 DXL393046:DXL393062 DNP393046:DNP393062 DDT393046:DDT393062 CTX393046:CTX393062 CKB393046:CKB393062 CAF393046:CAF393062 BQJ393046:BQJ393062 BGN393046:BGN393062 AWR393046:AWR393062 AMV393046:AMV393062 ACZ393046:ACZ393062 TD393046:TD393062 JH393046:JH393062 L393046:L393062 WVT327510:WVT327526 WLX327510:WLX327526 WCB327510:WCB327526 VSF327510:VSF327526 VIJ327510:VIJ327526 UYN327510:UYN327526 UOR327510:UOR327526 UEV327510:UEV327526 TUZ327510:TUZ327526 TLD327510:TLD327526 TBH327510:TBH327526 SRL327510:SRL327526 SHP327510:SHP327526 RXT327510:RXT327526 RNX327510:RNX327526 REB327510:REB327526 QUF327510:QUF327526 QKJ327510:QKJ327526 QAN327510:QAN327526 PQR327510:PQR327526 PGV327510:PGV327526 OWZ327510:OWZ327526 OND327510:OND327526 ODH327510:ODH327526 NTL327510:NTL327526 NJP327510:NJP327526 MZT327510:MZT327526 MPX327510:MPX327526 MGB327510:MGB327526 LWF327510:LWF327526 LMJ327510:LMJ327526 LCN327510:LCN327526 KSR327510:KSR327526 KIV327510:KIV327526 JYZ327510:JYZ327526 JPD327510:JPD327526 JFH327510:JFH327526 IVL327510:IVL327526 ILP327510:ILP327526 IBT327510:IBT327526 HRX327510:HRX327526 HIB327510:HIB327526 GYF327510:GYF327526 GOJ327510:GOJ327526 GEN327510:GEN327526 FUR327510:FUR327526 FKV327510:FKV327526 FAZ327510:FAZ327526 ERD327510:ERD327526 EHH327510:EHH327526 DXL327510:DXL327526 DNP327510:DNP327526 DDT327510:DDT327526 CTX327510:CTX327526 CKB327510:CKB327526 CAF327510:CAF327526 BQJ327510:BQJ327526 BGN327510:BGN327526 AWR327510:AWR327526 AMV327510:AMV327526 ACZ327510:ACZ327526 TD327510:TD327526 JH327510:JH327526 L327510:L327526 WVT261974:WVT261990 WLX261974:WLX261990 WCB261974:WCB261990 VSF261974:VSF261990 VIJ261974:VIJ261990 UYN261974:UYN261990 UOR261974:UOR261990 UEV261974:UEV261990 TUZ261974:TUZ261990 TLD261974:TLD261990 TBH261974:TBH261990 SRL261974:SRL261990 SHP261974:SHP261990 RXT261974:RXT261990 RNX261974:RNX261990 REB261974:REB261990 QUF261974:QUF261990 QKJ261974:QKJ261990 QAN261974:QAN261990 PQR261974:PQR261990 PGV261974:PGV261990 OWZ261974:OWZ261990 OND261974:OND261990 ODH261974:ODH261990 NTL261974:NTL261990 NJP261974:NJP261990 MZT261974:MZT261990 MPX261974:MPX261990 MGB261974:MGB261990 LWF261974:LWF261990 LMJ261974:LMJ261990 LCN261974:LCN261990 KSR261974:KSR261990 KIV261974:KIV261990 JYZ261974:JYZ261990 JPD261974:JPD261990 JFH261974:JFH261990 IVL261974:IVL261990 ILP261974:ILP261990 IBT261974:IBT261990 HRX261974:HRX261990 HIB261974:HIB261990 GYF261974:GYF261990 GOJ261974:GOJ261990 GEN261974:GEN261990 FUR261974:FUR261990 FKV261974:FKV261990 FAZ261974:FAZ261990 ERD261974:ERD261990 EHH261974:EHH261990 DXL261974:DXL261990 DNP261974:DNP261990 DDT261974:DDT261990 CTX261974:CTX261990 CKB261974:CKB261990 CAF261974:CAF261990 BQJ261974:BQJ261990 BGN261974:BGN261990 AWR261974:AWR261990 AMV261974:AMV261990 ACZ261974:ACZ261990 TD261974:TD261990 JH261974:JH261990 L261974:L261990 WVT196438:WVT196454 WLX196438:WLX196454 WCB196438:WCB196454 VSF196438:VSF196454 VIJ196438:VIJ196454 UYN196438:UYN196454 UOR196438:UOR196454 UEV196438:UEV196454 TUZ196438:TUZ196454 TLD196438:TLD196454 TBH196438:TBH196454 SRL196438:SRL196454 SHP196438:SHP196454 RXT196438:RXT196454 RNX196438:RNX196454 REB196438:REB196454 QUF196438:QUF196454 QKJ196438:QKJ196454 QAN196438:QAN196454 PQR196438:PQR196454 PGV196438:PGV196454 OWZ196438:OWZ196454 OND196438:OND196454 ODH196438:ODH196454 NTL196438:NTL196454 NJP196438:NJP196454 MZT196438:MZT196454 MPX196438:MPX196454 MGB196438:MGB196454 LWF196438:LWF196454 LMJ196438:LMJ196454 LCN196438:LCN196454 KSR196438:KSR196454 KIV196438:KIV196454 JYZ196438:JYZ196454 JPD196438:JPD196454 JFH196438:JFH196454 IVL196438:IVL196454 ILP196438:ILP196454 IBT196438:IBT196454 HRX196438:HRX196454 HIB196438:HIB196454 GYF196438:GYF196454 GOJ196438:GOJ196454 GEN196438:GEN196454 FUR196438:FUR196454 FKV196438:FKV196454 FAZ196438:FAZ196454 ERD196438:ERD196454 EHH196438:EHH196454 DXL196438:DXL196454 DNP196438:DNP196454 DDT196438:DDT196454 CTX196438:CTX196454 CKB196438:CKB196454 CAF196438:CAF196454 BQJ196438:BQJ196454 BGN196438:BGN196454 AWR196438:AWR196454 AMV196438:AMV196454 ACZ196438:ACZ196454 TD196438:TD196454 JH196438:JH196454 L196438:L196454 WVT130902:WVT130918 WLX130902:WLX130918 WCB130902:WCB130918 VSF130902:VSF130918 VIJ130902:VIJ130918 UYN130902:UYN130918 UOR130902:UOR130918 UEV130902:UEV130918 TUZ130902:TUZ130918 TLD130902:TLD130918 TBH130902:TBH130918 SRL130902:SRL130918 SHP130902:SHP130918 RXT130902:RXT130918 RNX130902:RNX130918 REB130902:REB130918 QUF130902:QUF130918 QKJ130902:QKJ130918 QAN130902:QAN130918 PQR130902:PQR130918 PGV130902:PGV130918 OWZ130902:OWZ130918 OND130902:OND130918 ODH130902:ODH130918 NTL130902:NTL130918 NJP130902:NJP130918 MZT130902:MZT130918 MPX130902:MPX130918 MGB130902:MGB130918 LWF130902:LWF130918 LMJ130902:LMJ130918 LCN130902:LCN130918 KSR130902:KSR130918 KIV130902:KIV130918 JYZ130902:JYZ130918 JPD130902:JPD130918 JFH130902:JFH130918 IVL130902:IVL130918 ILP130902:ILP130918 IBT130902:IBT130918 HRX130902:HRX130918 HIB130902:HIB130918 GYF130902:GYF130918 GOJ130902:GOJ130918 GEN130902:GEN130918 FUR130902:FUR130918 FKV130902:FKV130918 FAZ130902:FAZ130918 ERD130902:ERD130918 EHH130902:EHH130918 DXL130902:DXL130918 DNP130902:DNP130918 DDT130902:DDT130918 CTX130902:CTX130918 CKB130902:CKB130918 CAF130902:CAF130918 BQJ130902:BQJ130918 BGN130902:BGN130918 AWR130902:AWR130918 AMV130902:AMV130918 ACZ130902:ACZ130918 TD130902:TD130918 JH130902:JH130918 L130902:L130918 WVT65366:WVT65382 WLX65366:WLX65382 WCB65366:WCB65382 VSF65366:VSF65382 VIJ65366:VIJ65382 UYN65366:UYN65382 UOR65366:UOR65382 UEV65366:UEV65382 TUZ65366:TUZ65382 TLD65366:TLD65382 TBH65366:TBH65382 SRL65366:SRL65382 SHP65366:SHP65382 RXT65366:RXT65382 RNX65366:RNX65382 REB65366:REB65382 QUF65366:QUF65382 QKJ65366:QKJ65382 QAN65366:QAN65382 PQR65366:PQR65382 PGV65366:PGV65382 OWZ65366:OWZ65382 OND65366:OND65382 ODH65366:ODH65382 NTL65366:NTL65382 NJP65366:NJP65382 MZT65366:MZT65382 MPX65366:MPX65382 MGB65366:MGB65382 LWF65366:LWF65382 LMJ65366:LMJ65382 LCN65366:LCN65382 KSR65366:KSR65382 KIV65366:KIV65382 JYZ65366:JYZ65382 JPD65366:JPD65382 JFH65366:JFH65382 IVL65366:IVL65382 ILP65366:ILP65382 IBT65366:IBT65382 HRX65366:HRX65382 HIB65366:HIB65382 GYF65366:GYF65382 GOJ65366:GOJ65382 GEN65366:GEN65382 FUR65366:FUR65382 FKV65366:FKV65382 FAZ65366:FAZ65382 ERD65366:ERD65382 EHH65366:EHH65382 DXL65366:DXL65382 DNP65366:DNP65382 DDT65366:DDT65382 CTX65366:CTX65382 CKB65366:CKB65382 CAF65366:CAF65382 BQJ65366:BQJ65382 BGN65366:BGN65382 AWR65366:AWR65382 AMV65366:AMV65382 ACZ65366:ACZ65382 TD65366:TD65382 JH65366:JH65382 L65366:L65382 WVT982824:WVT982840 WLX982824:WLX982840 WCB982824:WCB982840 VSF982824:VSF982840 VIJ982824:VIJ982840 UYN982824:UYN982840 UOR982824:UOR982840 UEV982824:UEV982840 TUZ982824:TUZ982840 TLD982824:TLD982840 TBH982824:TBH982840 SRL982824:SRL982840 SHP982824:SHP982840 RXT982824:RXT982840 RNX982824:RNX982840 REB982824:REB982840 QUF982824:QUF982840 QKJ982824:QKJ982840 QAN982824:QAN982840 PQR982824:PQR982840 PGV982824:PGV982840 OWZ982824:OWZ982840 OND982824:OND982840 ODH982824:ODH982840 NTL982824:NTL982840 NJP982824:NJP982840 MZT982824:MZT982840 MPX982824:MPX982840 MGB982824:MGB982840 LWF982824:LWF982840 LMJ982824:LMJ982840 LCN982824:LCN982840 KSR982824:KSR982840 KIV982824:KIV982840 JYZ982824:JYZ982840 JPD982824:JPD982840 JFH982824:JFH982840 IVL982824:IVL982840 ILP982824:ILP982840 IBT982824:IBT982840 HRX982824:HRX982840 HIB982824:HIB982840 GYF982824:GYF982840 GOJ982824:GOJ982840 GEN982824:GEN982840 FUR982824:FUR982840 FKV982824:FKV982840 FAZ982824:FAZ982840 ERD982824:ERD982840 EHH982824:EHH982840 DXL982824:DXL982840 DNP982824:DNP982840 DDT982824:DDT982840 CTX982824:CTX982840 CKB982824:CKB982840 CAF982824:CAF982840 BQJ982824:BQJ982840 BGN982824:BGN982840 AWR982824:AWR982840 AMV982824:AMV982840 ACZ982824:ACZ982840 TD982824:TD982840 JH982824:JH982840 L982824:L982840 WVT917288:WVT917304 WLX917288:WLX917304 WCB917288:WCB917304 VSF917288:VSF917304 VIJ917288:VIJ917304 UYN917288:UYN917304 UOR917288:UOR917304 UEV917288:UEV917304 TUZ917288:TUZ917304 TLD917288:TLD917304 TBH917288:TBH917304 SRL917288:SRL917304 SHP917288:SHP917304 RXT917288:RXT917304 RNX917288:RNX917304 REB917288:REB917304 QUF917288:QUF917304 QKJ917288:QKJ917304 QAN917288:QAN917304 PQR917288:PQR917304 PGV917288:PGV917304 OWZ917288:OWZ917304 OND917288:OND917304 ODH917288:ODH917304 NTL917288:NTL917304 NJP917288:NJP917304 MZT917288:MZT917304 MPX917288:MPX917304 MGB917288:MGB917304 LWF917288:LWF917304 LMJ917288:LMJ917304 LCN917288:LCN917304 KSR917288:KSR917304 KIV917288:KIV917304 JYZ917288:JYZ917304 JPD917288:JPD917304 JFH917288:JFH917304 IVL917288:IVL917304 ILP917288:ILP917304 IBT917288:IBT917304 HRX917288:HRX917304 HIB917288:HIB917304 GYF917288:GYF917304 GOJ917288:GOJ917304 GEN917288:GEN917304 FUR917288:FUR917304 FKV917288:FKV917304 FAZ917288:FAZ917304 ERD917288:ERD917304 EHH917288:EHH917304 DXL917288:DXL917304 DNP917288:DNP917304 DDT917288:DDT917304 CTX917288:CTX917304 CKB917288:CKB917304 CAF917288:CAF917304 BQJ917288:BQJ917304 BGN917288:BGN917304 AWR917288:AWR917304 AMV917288:AMV917304 ACZ917288:ACZ917304 TD917288:TD917304 JH917288:JH917304 L917288:L917304 WVT851752:WVT851768 WLX851752:WLX851768 WCB851752:WCB851768 VSF851752:VSF851768 VIJ851752:VIJ851768 UYN851752:UYN851768 UOR851752:UOR851768 UEV851752:UEV851768 TUZ851752:TUZ851768 TLD851752:TLD851768 TBH851752:TBH851768 SRL851752:SRL851768 SHP851752:SHP851768 RXT851752:RXT851768 RNX851752:RNX851768 REB851752:REB851768 QUF851752:QUF851768 QKJ851752:QKJ851768 QAN851752:QAN851768 PQR851752:PQR851768 PGV851752:PGV851768 OWZ851752:OWZ851768 OND851752:OND851768 ODH851752:ODH851768 NTL851752:NTL851768 NJP851752:NJP851768 MZT851752:MZT851768 MPX851752:MPX851768 MGB851752:MGB851768 LWF851752:LWF851768 LMJ851752:LMJ851768 LCN851752:LCN851768 KSR851752:KSR851768 KIV851752:KIV851768 JYZ851752:JYZ851768 JPD851752:JPD851768 JFH851752:JFH851768 IVL851752:IVL851768 ILP851752:ILP851768 IBT851752:IBT851768 HRX851752:HRX851768 HIB851752:HIB851768 GYF851752:GYF851768 GOJ851752:GOJ851768 GEN851752:GEN851768 FUR851752:FUR851768 FKV851752:FKV851768 FAZ851752:FAZ851768 ERD851752:ERD851768 EHH851752:EHH851768 DXL851752:DXL851768 DNP851752:DNP851768 DDT851752:DDT851768 CTX851752:CTX851768 CKB851752:CKB851768 CAF851752:CAF851768 BQJ851752:BQJ851768 BGN851752:BGN851768 AWR851752:AWR851768 AMV851752:AMV851768 ACZ851752:ACZ851768 TD851752:TD851768 JH851752:JH851768 L851752:L851768 WVT786216:WVT786232 WLX786216:WLX786232 WCB786216:WCB786232 VSF786216:VSF786232 VIJ786216:VIJ786232 UYN786216:UYN786232 UOR786216:UOR786232 UEV786216:UEV786232 TUZ786216:TUZ786232 TLD786216:TLD786232 TBH786216:TBH786232 SRL786216:SRL786232 SHP786216:SHP786232 RXT786216:RXT786232 RNX786216:RNX786232 REB786216:REB786232 QUF786216:QUF786232 QKJ786216:QKJ786232 QAN786216:QAN786232 PQR786216:PQR786232 PGV786216:PGV786232 OWZ786216:OWZ786232 OND786216:OND786232 ODH786216:ODH786232 NTL786216:NTL786232 NJP786216:NJP786232 MZT786216:MZT786232 MPX786216:MPX786232 MGB786216:MGB786232 LWF786216:LWF786232 LMJ786216:LMJ786232 LCN786216:LCN786232 KSR786216:KSR786232 KIV786216:KIV786232 JYZ786216:JYZ786232 JPD786216:JPD786232 JFH786216:JFH786232 IVL786216:IVL786232 ILP786216:ILP786232 IBT786216:IBT786232 HRX786216:HRX786232 HIB786216:HIB786232 GYF786216:GYF786232 GOJ786216:GOJ786232 GEN786216:GEN786232 FUR786216:FUR786232 FKV786216:FKV786232 FAZ786216:FAZ786232 ERD786216:ERD786232 EHH786216:EHH786232 DXL786216:DXL786232 DNP786216:DNP786232 DDT786216:DDT786232 CTX786216:CTX786232 CKB786216:CKB786232 CAF786216:CAF786232 BQJ786216:BQJ786232 BGN786216:BGN786232 AWR786216:AWR786232 AMV786216:AMV786232 ACZ786216:ACZ786232 TD786216:TD786232 JH786216:JH786232 L786216:L786232 WVT720680:WVT720696 WLX720680:WLX720696 WCB720680:WCB720696 VSF720680:VSF720696 VIJ720680:VIJ720696 UYN720680:UYN720696 UOR720680:UOR720696 UEV720680:UEV720696 TUZ720680:TUZ720696 TLD720680:TLD720696 TBH720680:TBH720696 SRL720680:SRL720696 SHP720680:SHP720696 RXT720680:RXT720696 RNX720680:RNX720696 REB720680:REB720696 QUF720680:QUF720696 QKJ720680:QKJ720696 QAN720680:QAN720696 PQR720680:PQR720696 PGV720680:PGV720696 OWZ720680:OWZ720696 OND720680:OND720696 ODH720680:ODH720696 NTL720680:NTL720696 NJP720680:NJP720696 MZT720680:MZT720696 MPX720680:MPX720696 MGB720680:MGB720696 LWF720680:LWF720696 LMJ720680:LMJ720696 LCN720680:LCN720696 KSR720680:KSR720696 KIV720680:KIV720696 JYZ720680:JYZ720696 JPD720680:JPD720696 JFH720680:JFH720696 IVL720680:IVL720696 ILP720680:ILP720696 IBT720680:IBT720696 HRX720680:HRX720696 HIB720680:HIB720696 GYF720680:GYF720696 GOJ720680:GOJ720696 GEN720680:GEN720696 FUR720680:FUR720696 FKV720680:FKV720696 FAZ720680:FAZ720696 ERD720680:ERD720696 EHH720680:EHH720696 DXL720680:DXL720696 DNP720680:DNP720696 DDT720680:DDT720696 CTX720680:CTX720696 CKB720680:CKB720696 CAF720680:CAF720696 BQJ720680:BQJ720696 BGN720680:BGN720696 AWR720680:AWR720696 AMV720680:AMV720696 ACZ720680:ACZ720696 TD720680:TD720696 JH720680:JH720696 L720680:L720696 WVT655144:WVT655160 WLX655144:WLX655160 WCB655144:WCB655160 VSF655144:VSF655160 VIJ655144:VIJ655160 UYN655144:UYN655160 UOR655144:UOR655160 UEV655144:UEV655160 TUZ655144:TUZ655160 TLD655144:TLD655160 TBH655144:TBH655160 SRL655144:SRL655160 SHP655144:SHP655160 RXT655144:RXT655160 RNX655144:RNX655160 REB655144:REB655160 QUF655144:QUF655160 QKJ655144:QKJ655160 QAN655144:QAN655160 PQR655144:PQR655160 PGV655144:PGV655160 OWZ655144:OWZ655160 OND655144:OND655160 ODH655144:ODH655160 NTL655144:NTL655160 NJP655144:NJP655160 MZT655144:MZT655160 MPX655144:MPX655160 MGB655144:MGB655160 LWF655144:LWF655160 LMJ655144:LMJ655160 LCN655144:LCN655160 KSR655144:KSR655160 KIV655144:KIV655160 JYZ655144:JYZ655160 JPD655144:JPD655160 JFH655144:JFH655160 IVL655144:IVL655160 ILP655144:ILP655160 IBT655144:IBT655160 HRX655144:HRX655160 HIB655144:HIB655160 GYF655144:GYF655160 GOJ655144:GOJ655160 GEN655144:GEN655160 FUR655144:FUR655160 FKV655144:FKV655160 FAZ655144:FAZ655160 ERD655144:ERD655160 EHH655144:EHH655160 DXL655144:DXL655160 DNP655144:DNP655160 DDT655144:DDT655160 CTX655144:CTX655160 CKB655144:CKB655160 CAF655144:CAF655160 BQJ655144:BQJ655160 BGN655144:BGN655160 AWR655144:AWR655160 AMV655144:AMV655160 ACZ655144:ACZ655160 TD655144:TD655160 JH655144:JH655160 L655144:L655160 WVT589608:WVT589624 WLX589608:WLX589624 WCB589608:WCB589624 VSF589608:VSF589624 VIJ589608:VIJ589624 UYN589608:UYN589624 UOR589608:UOR589624 UEV589608:UEV589624 TUZ589608:TUZ589624 TLD589608:TLD589624 TBH589608:TBH589624 SRL589608:SRL589624 SHP589608:SHP589624 RXT589608:RXT589624 RNX589608:RNX589624 REB589608:REB589624 QUF589608:QUF589624 QKJ589608:QKJ589624 QAN589608:QAN589624 PQR589608:PQR589624 PGV589608:PGV589624 OWZ589608:OWZ589624 OND589608:OND589624 ODH589608:ODH589624 NTL589608:NTL589624 NJP589608:NJP589624 MZT589608:MZT589624 MPX589608:MPX589624 MGB589608:MGB589624 LWF589608:LWF589624 LMJ589608:LMJ589624 LCN589608:LCN589624 KSR589608:KSR589624 KIV589608:KIV589624 JYZ589608:JYZ589624 JPD589608:JPD589624 JFH589608:JFH589624 IVL589608:IVL589624 ILP589608:ILP589624 IBT589608:IBT589624 HRX589608:HRX589624 HIB589608:HIB589624 GYF589608:GYF589624 GOJ589608:GOJ589624 GEN589608:GEN589624 FUR589608:FUR589624 FKV589608:FKV589624 FAZ589608:FAZ589624 ERD589608:ERD589624 EHH589608:EHH589624 DXL589608:DXL589624 DNP589608:DNP589624 DDT589608:DDT589624 CTX589608:CTX589624 CKB589608:CKB589624 CAF589608:CAF589624 BQJ589608:BQJ589624 BGN589608:BGN589624 AWR589608:AWR589624 AMV589608:AMV589624 ACZ589608:ACZ589624 TD589608:TD589624 JH589608:JH589624 L589608:L589624 WVT524072:WVT524088 WLX524072:WLX524088 WCB524072:WCB524088 VSF524072:VSF524088 VIJ524072:VIJ524088 UYN524072:UYN524088 UOR524072:UOR524088 UEV524072:UEV524088 TUZ524072:TUZ524088 TLD524072:TLD524088 TBH524072:TBH524088 SRL524072:SRL524088 SHP524072:SHP524088 RXT524072:RXT524088 RNX524072:RNX524088 REB524072:REB524088 QUF524072:QUF524088 QKJ524072:QKJ524088 QAN524072:QAN524088 PQR524072:PQR524088 PGV524072:PGV524088 OWZ524072:OWZ524088 OND524072:OND524088 ODH524072:ODH524088 NTL524072:NTL524088 NJP524072:NJP524088 MZT524072:MZT524088 MPX524072:MPX524088 MGB524072:MGB524088 LWF524072:LWF524088 LMJ524072:LMJ524088 LCN524072:LCN524088 KSR524072:KSR524088 KIV524072:KIV524088 JYZ524072:JYZ524088 JPD524072:JPD524088 JFH524072:JFH524088 IVL524072:IVL524088 ILP524072:ILP524088 IBT524072:IBT524088 HRX524072:HRX524088 HIB524072:HIB524088 GYF524072:GYF524088 GOJ524072:GOJ524088 GEN524072:GEN524088 FUR524072:FUR524088 FKV524072:FKV524088 FAZ524072:FAZ524088 ERD524072:ERD524088 EHH524072:EHH524088 DXL524072:DXL524088 DNP524072:DNP524088 DDT524072:DDT524088 CTX524072:CTX524088 CKB524072:CKB524088 CAF524072:CAF524088 BQJ524072:BQJ524088 BGN524072:BGN524088 AWR524072:AWR524088 AMV524072:AMV524088 ACZ524072:ACZ524088 TD524072:TD524088 JH524072:JH524088 L524072:L524088 WVT458536:WVT458552 WLX458536:WLX458552 WCB458536:WCB458552 VSF458536:VSF458552 VIJ458536:VIJ458552 UYN458536:UYN458552 UOR458536:UOR458552 UEV458536:UEV458552 TUZ458536:TUZ458552 TLD458536:TLD458552 TBH458536:TBH458552 SRL458536:SRL458552 SHP458536:SHP458552 RXT458536:RXT458552 RNX458536:RNX458552 REB458536:REB458552 QUF458536:QUF458552 QKJ458536:QKJ458552 QAN458536:QAN458552 PQR458536:PQR458552 PGV458536:PGV458552 OWZ458536:OWZ458552 OND458536:OND458552 ODH458536:ODH458552 NTL458536:NTL458552 NJP458536:NJP458552 MZT458536:MZT458552 MPX458536:MPX458552 MGB458536:MGB458552 LWF458536:LWF458552 LMJ458536:LMJ458552 LCN458536:LCN458552 KSR458536:KSR458552 KIV458536:KIV458552 JYZ458536:JYZ458552 JPD458536:JPD458552 JFH458536:JFH458552 IVL458536:IVL458552 ILP458536:ILP458552 IBT458536:IBT458552 HRX458536:HRX458552 HIB458536:HIB458552 GYF458536:GYF458552 GOJ458536:GOJ458552 GEN458536:GEN458552 FUR458536:FUR458552 FKV458536:FKV458552 FAZ458536:FAZ458552 ERD458536:ERD458552 EHH458536:EHH458552 DXL458536:DXL458552 DNP458536:DNP458552 DDT458536:DDT458552 CTX458536:CTX458552 CKB458536:CKB458552 CAF458536:CAF458552 BQJ458536:BQJ458552 BGN458536:BGN458552 AWR458536:AWR458552 AMV458536:AMV458552 ACZ458536:ACZ458552 TD458536:TD458552 JH458536:JH458552 L458536:L458552 WVT393000:WVT393016 WLX393000:WLX393016 WCB393000:WCB393016 VSF393000:VSF393016 VIJ393000:VIJ393016 UYN393000:UYN393016 UOR393000:UOR393016 UEV393000:UEV393016 TUZ393000:TUZ393016 TLD393000:TLD393016 TBH393000:TBH393016 SRL393000:SRL393016 SHP393000:SHP393016 RXT393000:RXT393016 RNX393000:RNX393016 REB393000:REB393016 QUF393000:QUF393016 QKJ393000:QKJ393016 QAN393000:QAN393016 PQR393000:PQR393016 PGV393000:PGV393016 OWZ393000:OWZ393016 OND393000:OND393016 ODH393000:ODH393016 NTL393000:NTL393016 NJP393000:NJP393016 MZT393000:MZT393016 MPX393000:MPX393016 MGB393000:MGB393016 LWF393000:LWF393016 LMJ393000:LMJ393016 LCN393000:LCN393016 KSR393000:KSR393016 KIV393000:KIV393016 JYZ393000:JYZ393016 JPD393000:JPD393016 JFH393000:JFH393016 IVL393000:IVL393016 ILP393000:ILP393016 IBT393000:IBT393016 HRX393000:HRX393016 HIB393000:HIB393016 GYF393000:GYF393016 GOJ393000:GOJ393016 GEN393000:GEN393016 FUR393000:FUR393016 FKV393000:FKV393016 FAZ393000:FAZ393016 ERD393000:ERD393016 EHH393000:EHH393016 DXL393000:DXL393016 DNP393000:DNP393016 DDT393000:DDT393016 CTX393000:CTX393016 CKB393000:CKB393016 CAF393000:CAF393016 BQJ393000:BQJ393016 BGN393000:BGN393016 AWR393000:AWR393016 AMV393000:AMV393016 ACZ393000:ACZ393016 TD393000:TD393016 JH393000:JH393016 L393000:L393016 WVT327464:WVT327480 WLX327464:WLX327480 WCB327464:WCB327480 VSF327464:VSF327480 VIJ327464:VIJ327480 UYN327464:UYN327480 UOR327464:UOR327480 UEV327464:UEV327480 TUZ327464:TUZ327480 TLD327464:TLD327480 TBH327464:TBH327480 SRL327464:SRL327480 SHP327464:SHP327480 RXT327464:RXT327480 RNX327464:RNX327480 REB327464:REB327480 QUF327464:QUF327480 QKJ327464:QKJ327480 QAN327464:QAN327480 PQR327464:PQR327480 PGV327464:PGV327480 OWZ327464:OWZ327480 OND327464:OND327480 ODH327464:ODH327480 NTL327464:NTL327480 NJP327464:NJP327480 MZT327464:MZT327480 MPX327464:MPX327480 MGB327464:MGB327480 LWF327464:LWF327480 LMJ327464:LMJ327480 LCN327464:LCN327480 KSR327464:KSR327480 KIV327464:KIV327480 JYZ327464:JYZ327480 JPD327464:JPD327480 JFH327464:JFH327480 IVL327464:IVL327480 ILP327464:ILP327480 IBT327464:IBT327480 HRX327464:HRX327480 HIB327464:HIB327480 GYF327464:GYF327480 GOJ327464:GOJ327480 GEN327464:GEN327480 FUR327464:FUR327480 FKV327464:FKV327480 FAZ327464:FAZ327480 ERD327464:ERD327480 EHH327464:EHH327480 DXL327464:DXL327480 DNP327464:DNP327480 DDT327464:DDT327480 CTX327464:CTX327480 CKB327464:CKB327480 CAF327464:CAF327480 BQJ327464:BQJ327480 BGN327464:BGN327480 AWR327464:AWR327480 AMV327464:AMV327480 ACZ327464:ACZ327480 TD327464:TD327480 JH327464:JH327480 L327464:L327480 WVT261928:WVT261944 WLX261928:WLX261944 WCB261928:WCB261944 VSF261928:VSF261944 VIJ261928:VIJ261944 UYN261928:UYN261944 UOR261928:UOR261944 UEV261928:UEV261944 TUZ261928:TUZ261944 TLD261928:TLD261944 TBH261928:TBH261944 SRL261928:SRL261944 SHP261928:SHP261944 RXT261928:RXT261944 RNX261928:RNX261944 REB261928:REB261944 QUF261928:QUF261944 QKJ261928:QKJ261944 QAN261928:QAN261944 PQR261928:PQR261944 PGV261928:PGV261944 OWZ261928:OWZ261944 OND261928:OND261944 ODH261928:ODH261944 NTL261928:NTL261944 NJP261928:NJP261944 MZT261928:MZT261944 MPX261928:MPX261944 MGB261928:MGB261944 LWF261928:LWF261944 LMJ261928:LMJ261944 LCN261928:LCN261944 KSR261928:KSR261944 KIV261928:KIV261944 JYZ261928:JYZ261944 JPD261928:JPD261944 JFH261928:JFH261944 IVL261928:IVL261944 ILP261928:ILP261944 IBT261928:IBT261944 HRX261928:HRX261944 HIB261928:HIB261944 GYF261928:GYF261944 GOJ261928:GOJ261944 GEN261928:GEN261944 FUR261928:FUR261944 FKV261928:FKV261944 FAZ261928:FAZ261944 ERD261928:ERD261944 EHH261928:EHH261944 DXL261928:DXL261944 DNP261928:DNP261944 DDT261928:DDT261944 CTX261928:CTX261944 CKB261928:CKB261944 CAF261928:CAF261944 BQJ261928:BQJ261944 BGN261928:BGN261944 AWR261928:AWR261944 AMV261928:AMV261944 ACZ261928:ACZ261944 TD261928:TD261944 JH261928:JH261944 L261928:L261944 WVT196392:WVT196408 WLX196392:WLX196408 WCB196392:WCB196408 VSF196392:VSF196408 VIJ196392:VIJ196408 UYN196392:UYN196408 UOR196392:UOR196408 UEV196392:UEV196408 TUZ196392:TUZ196408 TLD196392:TLD196408 TBH196392:TBH196408 SRL196392:SRL196408 SHP196392:SHP196408 RXT196392:RXT196408 RNX196392:RNX196408 REB196392:REB196408 QUF196392:QUF196408 QKJ196392:QKJ196408 QAN196392:QAN196408 PQR196392:PQR196408 PGV196392:PGV196408 OWZ196392:OWZ196408 OND196392:OND196408 ODH196392:ODH196408 NTL196392:NTL196408 NJP196392:NJP196408 MZT196392:MZT196408 MPX196392:MPX196408 MGB196392:MGB196408 LWF196392:LWF196408 LMJ196392:LMJ196408 LCN196392:LCN196408 KSR196392:KSR196408 KIV196392:KIV196408 JYZ196392:JYZ196408 JPD196392:JPD196408 JFH196392:JFH196408 IVL196392:IVL196408 ILP196392:ILP196408 IBT196392:IBT196408 HRX196392:HRX196408 HIB196392:HIB196408 GYF196392:GYF196408 GOJ196392:GOJ196408 GEN196392:GEN196408 FUR196392:FUR196408 FKV196392:FKV196408 FAZ196392:FAZ196408 ERD196392:ERD196408 EHH196392:EHH196408 DXL196392:DXL196408 DNP196392:DNP196408 DDT196392:DDT196408 CTX196392:CTX196408 CKB196392:CKB196408 CAF196392:CAF196408 BQJ196392:BQJ196408 BGN196392:BGN196408 AWR196392:AWR196408 AMV196392:AMV196408 ACZ196392:ACZ196408 TD196392:TD196408 JH196392:JH196408 L196392:L196408 WVT130856:WVT130872 WLX130856:WLX130872 WCB130856:WCB130872 VSF130856:VSF130872 VIJ130856:VIJ130872 UYN130856:UYN130872 UOR130856:UOR130872 UEV130856:UEV130872 TUZ130856:TUZ130872 TLD130856:TLD130872 TBH130856:TBH130872 SRL130856:SRL130872 SHP130856:SHP130872 RXT130856:RXT130872 RNX130856:RNX130872 REB130856:REB130872 QUF130856:QUF130872 QKJ130856:QKJ130872 QAN130856:QAN130872 PQR130856:PQR130872 PGV130856:PGV130872 OWZ130856:OWZ130872 OND130856:OND130872 ODH130856:ODH130872 NTL130856:NTL130872 NJP130856:NJP130872 MZT130856:MZT130872 MPX130856:MPX130872 MGB130856:MGB130872 LWF130856:LWF130872 LMJ130856:LMJ130872 LCN130856:LCN130872 KSR130856:KSR130872 KIV130856:KIV130872 JYZ130856:JYZ130872 JPD130856:JPD130872 JFH130856:JFH130872 IVL130856:IVL130872 ILP130856:ILP130872 IBT130856:IBT130872 HRX130856:HRX130872 HIB130856:HIB130872 GYF130856:GYF130872 GOJ130856:GOJ130872 GEN130856:GEN130872 FUR130856:FUR130872 FKV130856:FKV130872 FAZ130856:FAZ130872 ERD130856:ERD130872 EHH130856:EHH130872 DXL130856:DXL130872 DNP130856:DNP130872 DDT130856:DDT130872 CTX130856:CTX130872 CKB130856:CKB130872 CAF130856:CAF130872 BQJ130856:BQJ130872 BGN130856:BGN130872 AWR130856:AWR130872 AMV130856:AMV130872 ACZ130856:ACZ130872 TD130856:TD130872 JH130856:JH130872 L130856:L130872 WVT65320:WVT65336 WLX65320:WLX65336 WCB65320:WCB65336 VSF65320:VSF65336 VIJ65320:VIJ65336 UYN65320:UYN65336 UOR65320:UOR65336 UEV65320:UEV65336 TUZ65320:TUZ65336 TLD65320:TLD65336 TBH65320:TBH65336 SRL65320:SRL65336 SHP65320:SHP65336 RXT65320:RXT65336 RNX65320:RNX65336 REB65320:REB65336 QUF65320:QUF65336 QKJ65320:QKJ65336 QAN65320:QAN65336 PQR65320:PQR65336 PGV65320:PGV65336 OWZ65320:OWZ65336 OND65320:OND65336 ODH65320:ODH65336 NTL65320:NTL65336 NJP65320:NJP65336 MZT65320:MZT65336 MPX65320:MPX65336 MGB65320:MGB65336 LWF65320:LWF65336 LMJ65320:LMJ65336 LCN65320:LCN65336 KSR65320:KSR65336 KIV65320:KIV65336 JYZ65320:JYZ65336 JPD65320:JPD65336 JFH65320:JFH65336 IVL65320:IVL65336 ILP65320:ILP65336 IBT65320:IBT65336 HRX65320:HRX65336 HIB65320:HIB65336 GYF65320:GYF65336 GOJ65320:GOJ65336 GEN65320:GEN65336 FUR65320:FUR65336 FKV65320:FKV65336 FAZ65320:FAZ65336 ERD65320:ERD65336 EHH65320:EHH65336 DXL65320:DXL65336 DNP65320:DNP65336 DDT65320:DDT65336 CTX65320:CTX65336 CKB65320:CKB65336 CAF65320:CAF65336 BQJ65320:BQJ65336 BGN65320:BGN65336 AWR65320:AWR65336 AMV65320:AMV65336 ACZ65320:ACZ65336 TD65320:TD65336 JH65320:JH65336 L65320:L65336 WLX982916:WLX982932 WVT983008:WVT983024 WLX983008:WLX983024 WCB983008:WCB983024 VSF983008:VSF983024 VIJ983008:VIJ983024 UYN983008:UYN983024 UOR983008:UOR983024 UEV983008:UEV983024 TUZ983008:TUZ983024 TLD983008:TLD983024 TBH983008:TBH983024 SRL983008:SRL983024 SHP983008:SHP983024 RXT983008:RXT983024 RNX983008:RNX983024 REB983008:REB983024 QUF983008:QUF983024 QKJ983008:QKJ983024 QAN983008:QAN983024 PQR983008:PQR983024 PGV983008:PGV983024 OWZ983008:OWZ983024 OND983008:OND983024 ODH983008:ODH983024 NTL983008:NTL983024 NJP983008:NJP983024 MZT983008:MZT983024 MPX983008:MPX983024 MGB983008:MGB983024 LWF983008:LWF983024 LMJ983008:LMJ983024 LCN983008:LCN983024 KSR983008:KSR983024 KIV983008:KIV983024 JYZ983008:JYZ983024 JPD983008:JPD983024 JFH983008:JFH983024 IVL983008:IVL983024 ILP983008:ILP983024 IBT983008:IBT983024 HRX983008:HRX983024 HIB983008:HIB983024 GYF983008:GYF983024 GOJ983008:GOJ983024 GEN983008:GEN983024 FUR983008:FUR983024 FKV983008:FKV983024 FAZ983008:FAZ983024 ERD983008:ERD983024 EHH983008:EHH983024 DXL983008:DXL983024 DNP983008:DNP983024 DDT983008:DDT983024 CTX983008:CTX983024 CKB983008:CKB983024 CAF983008:CAF983024 BQJ983008:BQJ983024 BGN983008:BGN983024 AWR983008:AWR983024 AMV983008:AMV983024 ACZ983008:ACZ983024 TD983008:TD983024 JH983008:JH983024 L983008:L983024 WVT917472:WVT917488 WLX917472:WLX917488 WCB917472:WCB917488 VSF917472:VSF917488 VIJ917472:VIJ917488 UYN917472:UYN917488 UOR917472:UOR917488 UEV917472:UEV917488 TUZ917472:TUZ917488 TLD917472:TLD917488 TBH917472:TBH917488 SRL917472:SRL917488 SHP917472:SHP917488 RXT917472:RXT917488 RNX917472:RNX917488 REB917472:REB917488 QUF917472:QUF917488 QKJ917472:QKJ917488 QAN917472:QAN917488 PQR917472:PQR917488 PGV917472:PGV917488 OWZ917472:OWZ917488 OND917472:OND917488 ODH917472:ODH917488 NTL917472:NTL917488 NJP917472:NJP917488 MZT917472:MZT917488 MPX917472:MPX917488 MGB917472:MGB917488 LWF917472:LWF917488 LMJ917472:LMJ917488 LCN917472:LCN917488 KSR917472:KSR917488 KIV917472:KIV917488 JYZ917472:JYZ917488 JPD917472:JPD917488 JFH917472:JFH917488 IVL917472:IVL917488 ILP917472:ILP917488 IBT917472:IBT917488 HRX917472:HRX917488 HIB917472:HIB917488 GYF917472:GYF917488 GOJ917472:GOJ917488 GEN917472:GEN917488 FUR917472:FUR917488 FKV917472:FKV917488 FAZ917472:FAZ917488 ERD917472:ERD917488 EHH917472:EHH917488 DXL917472:DXL917488 DNP917472:DNP917488 DDT917472:DDT917488 CTX917472:CTX917488 CKB917472:CKB917488 CAF917472:CAF917488 BQJ917472:BQJ917488 BGN917472:BGN917488 AWR917472:AWR917488 AMV917472:AMV917488 ACZ917472:ACZ917488 TD917472:TD917488 JH917472:JH917488 L917472:L917488 WVT851936:WVT851952 WLX851936:WLX851952 WCB851936:WCB851952 VSF851936:VSF851952 VIJ851936:VIJ851952 UYN851936:UYN851952 UOR851936:UOR851952 UEV851936:UEV851952 TUZ851936:TUZ851952 TLD851936:TLD851952 TBH851936:TBH851952 SRL851936:SRL851952 SHP851936:SHP851952 RXT851936:RXT851952 RNX851936:RNX851952 REB851936:REB851952 QUF851936:QUF851952 QKJ851936:QKJ851952 QAN851936:QAN851952 PQR851936:PQR851952 PGV851936:PGV851952 OWZ851936:OWZ851952 OND851936:OND851952 ODH851936:ODH851952 NTL851936:NTL851952 NJP851936:NJP851952 MZT851936:MZT851952 MPX851936:MPX851952 MGB851936:MGB851952 LWF851936:LWF851952 LMJ851936:LMJ851952 LCN851936:LCN851952 KSR851936:KSR851952 KIV851936:KIV851952 JYZ851936:JYZ851952 JPD851936:JPD851952 JFH851936:JFH851952 IVL851936:IVL851952 ILP851936:ILP851952 IBT851936:IBT851952 HRX851936:HRX851952 HIB851936:HIB851952 GYF851936:GYF851952 GOJ851936:GOJ851952 GEN851936:GEN851952 FUR851936:FUR851952 FKV851936:FKV851952 FAZ851936:FAZ851952 ERD851936:ERD851952 EHH851936:EHH851952 DXL851936:DXL851952 DNP851936:DNP851952 DDT851936:DDT851952 CTX851936:CTX851952 CKB851936:CKB851952 CAF851936:CAF851952 BQJ851936:BQJ851952 BGN851936:BGN851952 AWR851936:AWR851952 AMV851936:AMV851952 ACZ851936:ACZ851952 TD851936:TD851952 JH851936:JH851952 L851936:L851952 WVT786400:WVT786416 WLX786400:WLX786416 WCB786400:WCB786416 VSF786400:VSF786416 VIJ786400:VIJ786416 UYN786400:UYN786416 UOR786400:UOR786416 UEV786400:UEV786416 TUZ786400:TUZ786416 TLD786400:TLD786416 TBH786400:TBH786416 SRL786400:SRL786416 SHP786400:SHP786416 RXT786400:RXT786416 RNX786400:RNX786416 REB786400:REB786416 QUF786400:QUF786416 QKJ786400:QKJ786416 QAN786400:QAN786416 PQR786400:PQR786416 PGV786400:PGV786416 OWZ786400:OWZ786416 OND786400:OND786416 ODH786400:ODH786416 NTL786400:NTL786416 NJP786400:NJP786416 MZT786400:MZT786416 MPX786400:MPX786416 MGB786400:MGB786416 LWF786400:LWF786416 LMJ786400:LMJ786416 LCN786400:LCN786416 KSR786400:KSR786416 KIV786400:KIV786416 JYZ786400:JYZ786416 JPD786400:JPD786416 JFH786400:JFH786416 IVL786400:IVL786416 ILP786400:ILP786416 IBT786400:IBT786416 HRX786400:HRX786416 HIB786400:HIB786416 GYF786400:GYF786416 GOJ786400:GOJ786416 GEN786400:GEN786416 FUR786400:FUR786416 FKV786400:FKV786416 FAZ786400:FAZ786416 ERD786400:ERD786416 EHH786400:EHH786416 DXL786400:DXL786416 DNP786400:DNP786416 DDT786400:DDT786416 CTX786400:CTX786416 CKB786400:CKB786416 CAF786400:CAF786416 BQJ786400:BQJ786416 BGN786400:BGN786416 AWR786400:AWR786416 AMV786400:AMV786416 ACZ786400:ACZ786416 TD786400:TD786416 JH786400:JH786416 L786400:L786416 WVT720864:WVT720880 WLX720864:WLX720880 WCB720864:WCB720880 VSF720864:VSF720880 VIJ720864:VIJ720880 UYN720864:UYN720880 UOR720864:UOR720880 UEV720864:UEV720880 TUZ720864:TUZ720880 TLD720864:TLD720880 TBH720864:TBH720880 SRL720864:SRL720880 SHP720864:SHP720880 RXT720864:RXT720880 RNX720864:RNX720880 REB720864:REB720880 QUF720864:QUF720880 QKJ720864:QKJ720880 QAN720864:QAN720880 PQR720864:PQR720880 PGV720864:PGV720880 OWZ720864:OWZ720880 OND720864:OND720880 ODH720864:ODH720880 NTL720864:NTL720880 NJP720864:NJP720880 MZT720864:MZT720880 MPX720864:MPX720880 MGB720864:MGB720880 LWF720864:LWF720880 LMJ720864:LMJ720880 LCN720864:LCN720880 KSR720864:KSR720880 KIV720864:KIV720880 JYZ720864:JYZ720880 JPD720864:JPD720880 JFH720864:JFH720880 IVL720864:IVL720880 ILP720864:ILP720880 IBT720864:IBT720880 HRX720864:HRX720880 HIB720864:HIB720880 GYF720864:GYF720880 GOJ720864:GOJ720880 GEN720864:GEN720880 FUR720864:FUR720880 FKV720864:FKV720880 FAZ720864:FAZ720880 ERD720864:ERD720880 EHH720864:EHH720880 DXL720864:DXL720880 DNP720864:DNP720880 DDT720864:DDT720880 CTX720864:CTX720880 CKB720864:CKB720880 CAF720864:CAF720880 BQJ720864:BQJ720880 BGN720864:BGN720880 AWR720864:AWR720880 AMV720864:AMV720880 ACZ720864:ACZ720880 TD720864:TD720880 JH720864:JH720880 L720864:L720880 WVT655328:WVT655344 WLX655328:WLX655344 WCB655328:WCB655344 VSF655328:VSF655344 VIJ655328:VIJ655344 UYN655328:UYN655344 UOR655328:UOR655344 UEV655328:UEV655344 TUZ655328:TUZ655344 TLD655328:TLD655344 TBH655328:TBH655344 SRL655328:SRL655344 SHP655328:SHP655344 RXT655328:RXT655344 RNX655328:RNX655344 REB655328:REB655344 QUF655328:QUF655344 QKJ655328:QKJ655344 QAN655328:QAN655344 PQR655328:PQR655344 PGV655328:PGV655344 OWZ655328:OWZ655344 OND655328:OND655344 ODH655328:ODH655344 NTL655328:NTL655344 NJP655328:NJP655344 MZT655328:MZT655344 MPX655328:MPX655344 MGB655328:MGB655344 LWF655328:LWF655344 LMJ655328:LMJ655344 LCN655328:LCN655344 KSR655328:KSR655344 KIV655328:KIV655344 JYZ655328:JYZ655344 JPD655328:JPD655344 JFH655328:JFH655344 IVL655328:IVL655344 ILP655328:ILP655344 IBT655328:IBT655344 HRX655328:HRX655344 HIB655328:HIB655344 GYF655328:GYF655344 GOJ655328:GOJ655344 GEN655328:GEN655344 FUR655328:FUR655344 FKV655328:FKV655344 FAZ655328:FAZ655344 ERD655328:ERD655344 EHH655328:EHH655344 DXL655328:DXL655344 DNP655328:DNP655344 DDT655328:DDT655344 CTX655328:CTX655344 CKB655328:CKB655344 CAF655328:CAF655344 BQJ655328:BQJ655344 BGN655328:BGN655344 AWR655328:AWR655344 AMV655328:AMV655344 ACZ655328:ACZ655344 TD655328:TD655344 JH655328:JH655344 L655328:L655344 WVT589792:WVT589808 WLX589792:WLX589808 WCB589792:WCB589808 VSF589792:VSF589808 VIJ589792:VIJ589808 UYN589792:UYN589808 UOR589792:UOR589808 UEV589792:UEV589808 TUZ589792:TUZ589808 TLD589792:TLD589808 TBH589792:TBH589808 SRL589792:SRL589808 SHP589792:SHP589808 RXT589792:RXT589808 RNX589792:RNX589808 REB589792:REB589808 QUF589792:QUF589808 QKJ589792:QKJ589808 QAN589792:QAN589808 PQR589792:PQR589808 PGV589792:PGV589808 OWZ589792:OWZ589808 OND589792:OND589808 ODH589792:ODH589808 NTL589792:NTL589808 NJP589792:NJP589808 MZT589792:MZT589808 MPX589792:MPX589808 MGB589792:MGB589808 LWF589792:LWF589808 LMJ589792:LMJ589808 LCN589792:LCN589808 KSR589792:KSR589808 KIV589792:KIV589808 JYZ589792:JYZ589808 JPD589792:JPD589808 JFH589792:JFH589808 IVL589792:IVL589808 ILP589792:ILP589808 IBT589792:IBT589808 HRX589792:HRX589808 HIB589792:HIB589808 GYF589792:GYF589808 GOJ589792:GOJ589808 GEN589792:GEN589808 FUR589792:FUR589808 FKV589792:FKV589808 FAZ589792:FAZ589808 ERD589792:ERD589808 EHH589792:EHH589808 DXL589792:DXL589808 DNP589792:DNP589808 DDT589792:DDT589808 CTX589792:CTX589808 CKB589792:CKB589808 CAF589792:CAF589808 BQJ589792:BQJ589808 BGN589792:BGN589808 AWR589792:AWR589808 AMV589792:AMV589808 ACZ589792:ACZ589808 TD589792:TD589808 JH589792:JH589808 L589792:L589808 WVT524256:WVT524272 WLX524256:WLX524272 WCB524256:WCB524272 VSF524256:VSF524272 VIJ524256:VIJ524272 UYN524256:UYN524272 UOR524256:UOR524272 UEV524256:UEV524272 TUZ524256:TUZ524272 TLD524256:TLD524272 TBH524256:TBH524272 SRL524256:SRL524272 SHP524256:SHP524272 RXT524256:RXT524272 RNX524256:RNX524272 REB524256:REB524272 QUF524256:QUF524272 QKJ524256:QKJ524272 QAN524256:QAN524272 PQR524256:PQR524272 PGV524256:PGV524272 OWZ524256:OWZ524272 OND524256:OND524272 ODH524256:ODH524272 NTL524256:NTL524272 NJP524256:NJP524272 MZT524256:MZT524272 MPX524256:MPX524272 MGB524256:MGB524272 LWF524256:LWF524272 LMJ524256:LMJ524272 LCN524256:LCN524272 KSR524256:KSR524272 KIV524256:KIV524272 JYZ524256:JYZ524272 JPD524256:JPD524272 JFH524256:JFH524272 IVL524256:IVL524272 ILP524256:ILP524272 IBT524256:IBT524272 HRX524256:HRX524272 HIB524256:HIB524272 GYF524256:GYF524272 GOJ524256:GOJ524272 GEN524256:GEN524272 FUR524256:FUR524272 FKV524256:FKV524272 FAZ524256:FAZ524272 ERD524256:ERD524272 EHH524256:EHH524272 DXL524256:DXL524272 DNP524256:DNP524272 DDT524256:DDT524272 CTX524256:CTX524272 CKB524256:CKB524272 CAF524256:CAF524272 BQJ524256:BQJ524272 BGN524256:BGN524272 AWR524256:AWR524272 AMV524256:AMV524272 ACZ524256:ACZ524272 TD524256:TD524272 JH524256:JH524272 L524256:L524272 WVT458720:WVT458736 WLX458720:WLX458736 WCB458720:WCB458736 VSF458720:VSF458736 VIJ458720:VIJ458736 UYN458720:UYN458736 UOR458720:UOR458736 UEV458720:UEV458736 TUZ458720:TUZ458736 TLD458720:TLD458736 TBH458720:TBH458736 SRL458720:SRL458736 SHP458720:SHP458736 RXT458720:RXT458736 RNX458720:RNX458736 REB458720:REB458736 QUF458720:QUF458736 QKJ458720:QKJ458736 QAN458720:QAN458736 PQR458720:PQR458736 PGV458720:PGV458736 OWZ458720:OWZ458736 OND458720:OND458736 ODH458720:ODH458736 NTL458720:NTL458736 NJP458720:NJP458736 MZT458720:MZT458736 MPX458720:MPX458736 MGB458720:MGB458736 LWF458720:LWF458736 LMJ458720:LMJ458736 LCN458720:LCN458736 KSR458720:KSR458736 KIV458720:KIV458736 JYZ458720:JYZ458736 JPD458720:JPD458736 JFH458720:JFH458736 IVL458720:IVL458736 ILP458720:ILP458736 IBT458720:IBT458736 HRX458720:HRX458736 HIB458720:HIB458736 GYF458720:GYF458736 GOJ458720:GOJ458736 GEN458720:GEN458736 FUR458720:FUR458736 FKV458720:FKV458736 FAZ458720:FAZ458736 ERD458720:ERD458736 EHH458720:EHH458736 DXL458720:DXL458736 DNP458720:DNP458736 DDT458720:DDT458736 CTX458720:CTX458736 CKB458720:CKB458736 CAF458720:CAF458736 BQJ458720:BQJ458736 BGN458720:BGN458736 AWR458720:AWR458736 AMV458720:AMV458736 ACZ458720:ACZ458736 TD458720:TD458736 JH458720:JH458736 L458720:L458736 WVT393184:WVT393200 WLX393184:WLX393200 WCB393184:WCB393200 VSF393184:VSF393200 VIJ393184:VIJ393200 UYN393184:UYN393200 UOR393184:UOR393200 UEV393184:UEV393200 TUZ393184:TUZ393200 TLD393184:TLD393200 TBH393184:TBH393200 SRL393184:SRL393200 SHP393184:SHP393200 RXT393184:RXT393200 RNX393184:RNX393200 REB393184:REB393200 QUF393184:QUF393200 QKJ393184:QKJ393200 QAN393184:QAN393200 PQR393184:PQR393200 PGV393184:PGV393200 OWZ393184:OWZ393200 OND393184:OND393200 ODH393184:ODH393200 NTL393184:NTL393200 NJP393184:NJP393200 MZT393184:MZT393200 MPX393184:MPX393200 MGB393184:MGB393200 LWF393184:LWF393200 LMJ393184:LMJ393200 LCN393184:LCN393200 KSR393184:KSR393200 KIV393184:KIV393200 JYZ393184:JYZ393200 JPD393184:JPD393200 JFH393184:JFH393200 IVL393184:IVL393200 ILP393184:ILP393200 IBT393184:IBT393200 HRX393184:HRX393200 HIB393184:HIB393200 GYF393184:GYF393200 GOJ393184:GOJ393200 GEN393184:GEN393200 FUR393184:FUR393200 FKV393184:FKV393200 FAZ393184:FAZ393200 ERD393184:ERD393200 EHH393184:EHH393200 DXL393184:DXL393200 DNP393184:DNP393200 DDT393184:DDT393200 CTX393184:CTX393200 CKB393184:CKB393200 CAF393184:CAF393200 BQJ393184:BQJ393200 BGN393184:BGN393200 AWR393184:AWR393200 AMV393184:AMV393200 ACZ393184:ACZ393200 TD393184:TD393200 JH393184:JH393200 L393184:L393200 WVT327648:WVT327664 WLX327648:WLX327664 WCB327648:WCB327664 VSF327648:VSF327664 VIJ327648:VIJ327664 UYN327648:UYN327664 UOR327648:UOR327664 UEV327648:UEV327664 TUZ327648:TUZ327664 TLD327648:TLD327664 TBH327648:TBH327664 SRL327648:SRL327664 SHP327648:SHP327664 RXT327648:RXT327664 RNX327648:RNX327664 REB327648:REB327664 QUF327648:QUF327664 QKJ327648:QKJ327664 QAN327648:QAN327664 PQR327648:PQR327664 PGV327648:PGV327664 OWZ327648:OWZ327664 OND327648:OND327664 ODH327648:ODH327664 NTL327648:NTL327664 NJP327648:NJP327664 MZT327648:MZT327664 MPX327648:MPX327664 MGB327648:MGB327664 LWF327648:LWF327664 LMJ327648:LMJ327664 LCN327648:LCN327664 KSR327648:KSR327664 KIV327648:KIV327664 JYZ327648:JYZ327664 JPD327648:JPD327664 JFH327648:JFH327664 IVL327648:IVL327664 ILP327648:ILP327664 IBT327648:IBT327664 HRX327648:HRX327664 HIB327648:HIB327664 GYF327648:GYF327664 GOJ327648:GOJ327664 GEN327648:GEN327664 FUR327648:FUR327664 FKV327648:FKV327664 FAZ327648:FAZ327664 ERD327648:ERD327664 EHH327648:EHH327664 DXL327648:DXL327664 DNP327648:DNP327664 DDT327648:DDT327664 CTX327648:CTX327664 CKB327648:CKB327664 CAF327648:CAF327664 BQJ327648:BQJ327664 BGN327648:BGN327664 AWR327648:AWR327664 AMV327648:AMV327664 ACZ327648:ACZ327664 TD327648:TD327664 JH327648:JH327664 L327648:L327664 WVT262112:WVT262128 WLX262112:WLX262128 WCB262112:WCB262128 VSF262112:VSF262128 VIJ262112:VIJ262128 UYN262112:UYN262128 UOR262112:UOR262128 UEV262112:UEV262128 TUZ262112:TUZ262128 TLD262112:TLD262128 TBH262112:TBH262128 SRL262112:SRL262128 SHP262112:SHP262128 RXT262112:RXT262128 RNX262112:RNX262128 REB262112:REB262128 QUF262112:QUF262128 QKJ262112:QKJ262128 QAN262112:QAN262128 PQR262112:PQR262128 PGV262112:PGV262128 OWZ262112:OWZ262128 OND262112:OND262128 ODH262112:ODH262128 NTL262112:NTL262128 NJP262112:NJP262128 MZT262112:MZT262128 MPX262112:MPX262128 MGB262112:MGB262128 LWF262112:LWF262128 LMJ262112:LMJ262128 LCN262112:LCN262128 KSR262112:KSR262128 KIV262112:KIV262128 JYZ262112:JYZ262128 JPD262112:JPD262128 JFH262112:JFH262128 IVL262112:IVL262128 ILP262112:ILP262128 IBT262112:IBT262128 HRX262112:HRX262128 HIB262112:HIB262128 GYF262112:GYF262128 GOJ262112:GOJ262128 GEN262112:GEN262128 FUR262112:FUR262128 FKV262112:FKV262128 FAZ262112:FAZ262128 ERD262112:ERD262128 EHH262112:EHH262128 DXL262112:DXL262128 DNP262112:DNP262128 DDT262112:DDT262128 CTX262112:CTX262128 CKB262112:CKB262128 CAF262112:CAF262128 BQJ262112:BQJ262128 BGN262112:BGN262128 AWR262112:AWR262128 AMV262112:AMV262128 ACZ262112:ACZ262128 TD262112:TD262128 JH262112:JH262128 L262112:L262128 WVT196576:WVT196592 WLX196576:WLX196592 WCB196576:WCB196592 VSF196576:VSF196592 VIJ196576:VIJ196592 UYN196576:UYN196592 UOR196576:UOR196592 UEV196576:UEV196592 TUZ196576:TUZ196592 TLD196576:TLD196592 TBH196576:TBH196592 SRL196576:SRL196592 SHP196576:SHP196592 RXT196576:RXT196592 RNX196576:RNX196592 REB196576:REB196592 QUF196576:QUF196592 QKJ196576:QKJ196592 QAN196576:QAN196592 PQR196576:PQR196592 PGV196576:PGV196592 OWZ196576:OWZ196592 OND196576:OND196592 ODH196576:ODH196592 NTL196576:NTL196592 NJP196576:NJP196592 MZT196576:MZT196592 MPX196576:MPX196592 MGB196576:MGB196592 LWF196576:LWF196592 LMJ196576:LMJ196592 LCN196576:LCN196592 KSR196576:KSR196592 KIV196576:KIV196592 JYZ196576:JYZ196592 JPD196576:JPD196592 JFH196576:JFH196592 IVL196576:IVL196592 ILP196576:ILP196592 IBT196576:IBT196592 HRX196576:HRX196592 HIB196576:HIB196592 GYF196576:GYF196592 GOJ196576:GOJ196592 GEN196576:GEN196592 FUR196576:FUR196592 FKV196576:FKV196592 FAZ196576:FAZ196592 ERD196576:ERD196592 EHH196576:EHH196592 DXL196576:DXL196592 DNP196576:DNP196592 DDT196576:DDT196592 CTX196576:CTX196592 CKB196576:CKB196592 CAF196576:CAF196592 BQJ196576:BQJ196592 BGN196576:BGN196592 AWR196576:AWR196592 AMV196576:AMV196592 ACZ196576:ACZ196592 TD196576:TD196592 JH196576:JH196592 L196576:L196592 WVT131040:WVT131056 WLX131040:WLX131056 WCB131040:WCB131056 VSF131040:VSF131056 VIJ131040:VIJ131056 UYN131040:UYN131056 UOR131040:UOR131056 UEV131040:UEV131056 TUZ131040:TUZ131056 TLD131040:TLD131056 TBH131040:TBH131056 SRL131040:SRL131056 SHP131040:SHP131056 RXT131040:RXT131056 RNX131040:RNX131056 REB131040:REB131056 QUF131040:QUF131056 QKJ131040:QKJ131056 QAN131040:QAN131056 PQR131040:PQR131056 PGV131040:PGV131056 OWZ131040:OWZ131056 OND131040:OND131056 ODH131040:ODH131056 NTL131040:NTL131056 NJP131040:NJP131056 MZT131040:MZT131056 MPX131040:MPX131056 MGB131040:MGB131056 LWF131040:LWF131056 LMJ131040:LMJ131056 LCN131040:LCN131056 KSR131040:KSR131056 KIV131040:KIV131056 JYZ131040:JYZ131056 JPD131040:JPD131056 JFH131040:JFH131056 IVL131040:IVL131056 ILP131040:ILP131056 IBT131040:IBT131056 HRX131040:HRX131056 HIB131040:HIB131056 GYF131040:GYF131056 GOJ131040:GOJ131056 GEN131040:GEN131056 FUR131040:FUR131056 FKV131040:FKV131056 FAZ131040:FAZ131056 ERD131040:ERD131056 EHH131040:EHH131056 DXL131040:DXL131056 DNP131040:DNP131056 DDT131040:DDT131056 CTX131040:CTX131056 CKB131040:CKB131056 CAF131040:CAF131056 BQJ131040:BQJ131056 BGN131040:BGN131056 AWR131040:AWR131056 AMV131040:AMV131056 ACZ131040:ACZ131056 TD131040:TD131056 JH131040:JH131056 L131040:L131056 WVT65504:WVT65520 WLX65504:WLX65520 WCB65504:WCB65520 VSF65504:VSF65520 VIJ65504:VIJ65520 UYN65504:UYN65520 UOR65504:UOR65520 UEV65504:UEV65520 TUZ65504:TUZ65520 TLD65504:TLD65520 TBH65504:TBH65520 SRL65504:SRL65520 SHP65504:SHP65520 RXT65504:RXT65520 RNX65504:RNX65520 REB65504:REB65520 QUF65504:QUF65520 QKJ65504:QKJ65520 QAN65504:QAN65520 PQR65504:PQR65520 PGV65504:PGV65520 OWZ65504:OWZ65520 OND65504:OND65520 ODH65504:ODH65520 NTL65504:NTL65520 NJP65504:NJP65520 MZT65504:MZT65520 MPX65504:MPX65520 MGB65504:MGB65520 LWF65504:LWF65520 LMJ65504:LMJ65520 LCN65504:LCN65520 KSR65504:KSR65520 KIV65504:KIV65520 JYZ65504:JYZ65520 JPD65504:JPD65520 JFH65504:JFH65520 IVL65504:IVL65520 ILP65504:ILP65520 IBT65504:IBT65520 HRX65504:HRX65520 HIB65504:HIB65520 GYF65504:GYF65520 GOJ65504:GOJ65520 GEN65504:GEN65520 FUR65504:FUR65520 FKV65504:FKV65520 FAZ65504:FAZ65520 ERD65504:ERD65520 EHH65504:EHH65520 DXL65504:DXL65520 DNP65504:DNP65520 DDT65504:DDT65520 CTX65504:CTX65520 CKB65504:CKB65520 CAF65504:CAF65520 BQJ65504:BQJ65520 BGN65504:BGN65520 AWR65504:AWR65520 AMV65504:AMV65520 ACZ65504:ACZ65520 TD65504:TD65520 JH65504:JH65520 L65504:L65520">
      <formula1>$AB$30:$AB$31</formula1>
    </dataValidation>
    <dataValidation type="list" allowBlank="1" showInputMessage="1" showErrorMessage="1" sqref="J65453 JF65453 TB65453 ACX65453 AMT65453 AWP65453 BGL65453 BQH65453 CAD65453 CJZ65453 CTV65453 DDR65453 DNN65453 DXJ65453 EHF65453 ERB65453 FAX65453 FKT65453 FUP65453 GEL65453 GOH65453 GYD65453 HHZ65453 HRV65453 IBR65453 ILN65453 IVJ65453 JFF65453 JPB65453 JYX65453 KIT65453 KSP65453 LCL65453 LMH65453 LWD65453 MFZ65453 MPV65453 MZR65453 NJN65453 NTJ65453 ODF65453 ONB65453 OWX65453 PGT65453 PQP65453 QAL65453 QKH65453 QUD65453 RDZ65453 RNV65453 RXR65453 SHN65453 SRJ65453 TBF65453 TLB65453 TUX65453 UET65453 UOP65453 UYL65453 VIH65453 VSD65453 WBZ65453 WLV65453 WVR65453 J130989 JF130989 TB130989 ACX130989 AMT130989 AWP130989 BGL130989 BQH130989 CAD130989 CJZ130989 CTV130989 DDR130989 DNN130989 DXJ130989 EHF130989 ERB130989 FAX130989 FKT130989 FUP130989 GEL130989 GOH130989 GYD130989 HHZ130989 HRV130989 IBR130989 ILN130989 IVJ130989 JFF130989 JPB130989 JYX130989 KIT130989 KSP130989 LCL130989 LMH130989 LWD130989 MFZ130989 MPV130989 MZR130989 NJN130989 NTJ130989 ODF130989 ONB130989 OWX130989 PGT130989 PQP130989 QAL130989 QKH130989 QUD130989 RDZ130989 RNV130989 RXR130989 SHN130989 SRJ130989 TBF130989 TLB130989 TUX130989 UET130989 UOP130989 UYL130989 VIH130989 VSD130989 WBZ130989 WLV130989 WVR130989 J196525 JF196525 TB196525 ACX196525 AMT196525 AWP196525 BGL196525 BQH196525 CAD196525 CJZ196525 CTV196525 DDR196525 DNN196525 DXJ196525 EHF196525 ERB196525 FAX196525 FKT196525 FUP196525 GEL196525 GOH196525 GYD196525 HHZ196525 HRV196525 IBR196525 ILN196525 IVJ196525 JFF196525 JPB196525 JYX196525 KIT196525 KSP196525 LCL196525 LMH196525 LWD196525 MFZ196525 MPV196525 MZR196525 NJN196525 NTJ196525 ODF196525 ONB196525 OWX196525 PGT196525 PQP196525 QAL196525 QKH196525 QUD196525 RDZ196525 RNV196525 RXR196525 SHN196525 SRJ196525 TBF196525 TLB196525 TUX196525 UET196525 UOP196525 UYL196525 VIH196525 VSD196525 WBZ196525 WLV196525 WVR196525 J262061 JF262061 TB262061 ACX262061 AMT262061 AWP262061 BGL262061 BQH262061 CAD262061 CJZ262061 CTV262061 DDR262061 DNN262061 DXJ262061 EHF262061 ERB262061 FAX262061 FKT262061 FUP262061 GEL262061 GOH262061 GYD262061 HHZ262061 HRV262061 IBR262061 ILN262061 IVJ262061 JFF262061 JPB262061 JYX262061 KIT262061 KSP262061 LCL262061 LMH262061 LWD262061 MFZ262061 MPV262061 MZR262061 NJN262061 NTJ262061 ODF262061 ONB262061 OWX262061 PGT262061 PQP262061 QAL262061 QKH262061 QUD262061 RDZ262061 RNV262061 RXR262061 SHN262061 SRJ262061 TBF262061 TLB262061 TUX262061 UET262061 UOP262061 UYL262061 VIH262061 VSD262061 WBZ262061 WLV262061 WVR262061 J327597 JF327597 TB327597 ACX327597 AMT327597 AWP327597 BGL327597 BQH327597 CAD327597 CJZ327597 CTV327597 DDR327597 DNN327597 DXJ327597 EHF327597 ERB327597 FAX327597 FKT327597 FUP327597 GEL327597 GOH327597 GYD327597 HHZ327597 HRV327597 IBR327597 ILN327597 IVJ327597 JFF327597 JPB327597 JYX327597 KIT327597 KSP327597 LCL327597 LMH327597 LWD327597 MFZ327597 MPV327597 MZR327597 NJN327597 NTJ327597 ODF327597 ONB327597 OWX327597 PGT327597 PQP327597 QAL327597 QKH327597 QUD327597 RDZ327597 RNV327597 RXR327597 SHN327597 SRJ327597 TBF327597 TLB327597 TUX327597 UET327597 UOP327597 UYL327597 VIH327597 VSD327597 WBZ327597 WLV327597 WVR327597 J393133 JF393133 TB393133 ACX393133 AMT393133 AWP393133 BGL393133 BQH393133 CAD393133 CJZ393133 CTV393133 DDR393133 DNN393133 DXJ393133 EHF393133 ERB393133 FAX393133 FKT393133 FUP393133 GEL393133 GOH393133 GYD393133 HHZ393133 HRV393133 IBR393133 ILN393133 IVJ393133 JFF393133 JPB393133 JYX393133 KIT393133 KSP393133 LCL393133 LMH393133 LWD393133 MFZ393133 MPV393133 MZR393133 NJN393133 NTJ393133 ODF393133 ONB393133 OWX393133 PGT393133 PQP393133 QAL393133 QKH393133 QUD393133 RDZ393133 RNV393133 RXR393133 SHN393133 SRJ393133 TBF393133 TLB393133 TUX393133 UET393133 UOP393133 UYL393133 VIH393133 VSD393133 WBZ393133 WLV393133 WVR393133 J458669 JF458669 TB458669 ACX458669 AMT458669 AWP458669 BGL458669 BQH458669 CAD458669 CJZ458669 CTV458669 DDR458669 DNN458669 DXJ458669 EHF458669 ERB458669 FAX458669 FKT458669 FUP458669 GEL458669 GOH458669 GYD458669 HHZ458669 HRV458669 IBR458669 ILN458669 IVJ458669 JFF458669 JPB458669 JYX458669 KIT458669 KSP458669 LCL458669 LMH458669 LWD458669 MFZ458669 MPV458669 MZR458669 NJN458669 NTJ458669 ODF458669 ONB458669 OWX458669 PGT458669 PQP458669 QAL458669 QKH458669 QUD458669 RDZ458669 RNV458669 RXR458669 SHN458669 SRJ458669 TBF458669 TLB458669 TUX458669 UET458669 UOP458669 UYL458669 VIH458669 VSD458669 WBZ458669 WLV458669 WVR458669 J524205 JF524205 TB524205 ACX524205 AMT524205 AWP524205 BGL524205 BQH524205 CAD524205 CJZ524205 CTV524205 DDR524205 DNN524205 DXJ524205 EHF524205 ERB524205 FAX524205 FKT524205 FUP524205 GEL524205 GOH524205 GYD524205 HHZ524205 HRV524205 IBR524205 ILN524205 IVJ524205 JFF524205 JPB524205 JYX524205 KIT524205 KSP524205 LCL524205 LMH524205 LWD524205 MFZ524205 MPV524205 MZR524205 NJN524205 NTJ524205 ODF524205 ONB524205 OWX524205 PGT524205 PQP524205 QAL524205 QKH524205 QUD524205 RDZ524205 RNV524205 RXR524205 SHN524205 SRJ524205 TBF524205 TLB524205 TUX524205 UET524205 UOP524205 UYL524205 VIH524205 VSD524205 WBZ524205 WLV524205 WVR524205 J589741 JF589741 TB589741 ACX589741 AMT589741 AWP589741 BGL589741 BQH589741 CAD589741 CJZ589741 CTV589741 DDR589741 DNN589741 DXJ589741 EHF589741 ERB589741 FAX589741 FKT589741 FUP589741 GEL589741 GOH589741 GYD589741 HHZ589741 HRV589741 IBR589741 ILN589741 IVJ589741 JFF589741 JPB589741 JYX589741 KIT589741 KSP589741 LCL589741 LMH589741 LWD589741 MFZ589741 MPV589741 MZR589741 NJN589741 NTJ589741 ODF589741 ONB589741 OWX589741 PGT589741 PQP589741 QAL589741 QKH589741 QUD589741 RDZ589741 RNV589741 RXR589741 SHN589741 SRJ589741 TBF589741 TLB589741 TUX589741 UET589741 UOP589741 UYL589741 VIH589741 VSD589741 WBZ589741 WLV589741 WVR589741 J655277 JF655277 TB655277 ACX655277 AMT655277 AWP655277 BGL655277 BQH655277 CAD655277 CJZ655277 CTV655277 DDR655277 DNN655277 DXJ655277 EHF655277 ERB655277 FAX655277 FKT655277 FUP655277 GEL655277 GOH655277 GYD655277 HHZ655277 HRV655277 IBR655277 ILN655277 IVJ655277 JFF655277 JPB655277 JYX655277 KIT655277 KSP655277 LCL655277 LMH655277 LWD655277 MFZ655277 MPV655277 MZR655277 NJN655277 NTJ655277 ODF655277 ONB655277 OWX655277 PGT655277 PQP655277 QAL655277 QKH655277 QUD655277 RDZ655277 RNV655277 RXR655277 SHN655277 SRJ655277 TBF655277 TLB655277 TUX655277 UET655277 UOP655277 UYL655277 VIH655277 VSD655277 WBZ655277 WLV655277 WVR655277 J720813 JF720813 TB720813 ACX720813 AMT720813 AWP720813 BGL720813 BQH720813 CAD720813 CJZ720813 CTV720813 DDR720813 DNN720813 DXJ720813 EHF720813 ERB720813 FAX720813 FKT720813 FUP720813 GEL720813 GOH720813 GYD720813 HHZ720813 HRV720813 IBR720813 ILN720813 IVJ720813 JFF720813 JPB720813 JYX720813 KIT720813 KSP720813 LCL720813 LMH720813 LWD720813 MFZ720813 MPV720813 MZR720813 NJN720813 NTJ720813 ODF720813 ONB720813 OWX720813 PGT720813 PQP720813 QAL720813 QKH720813 QUD720813 RDZ720813 RNV720813 RXR720813 SHN720813 SRJ720813 TBF720813 TLB720813 TUX720813 UET720813 UOP720813 UYL720813 VIH720813 VSD720813 WBZ720813 WLV720813 WVR720813 J786349 JF786349 TB786349 ACX786349 AMT786349 AWP786349 BGL786349 BQH786349 CAD786349 CJZ786349 CTV786349 DDR786349 DNN786349 DXJ786349 EHF786349 ERB786349 FAX786349 FKT786349 FUP786349 GEL786349 GOH786349 GYD786349 HHZ786349 HRV786349 IBR786349 ILN786349 IVJ786349 JFF786349 JPB786349 JYX786349 KIT786349 KSP786349 LCL786349 LMH786349 LWD786349 MFZ786349 MPV786349 MZR786349 NJN786349 NTJ786349 ODF786349 ONB786349 OWX786349 PGT786349 PQP786349 QAL786349 QKH786349 QUD786349 RDZ786349 RNV786349 RXR786349 SHN786349 SRJ786349 TBF786349 TLB786349 TUX786349 UET786349 UOP786349 UYL786349 VIH786349 VSD786349 WBZ786349 WLV786349 WVR786349 J851885 JF851885 TB851885 ACX851885 AMT851885 AWP851885 BGL851885 BQH851885 CAD851885 CJZ851885 CTV851885 DDR851885 DNN851885 DXJ851885 EHF851885 ERB851885 FAX851885 FKT851885 FUP851885 GEL851885 GOH851885 GYD851885 HHZ851885 HRV851885 IBR851885 ILN851885 IVJ851885 JFF851885 JPB851885 JYX851885 KIT851885 KSP851885 LCL851885 LMH851885 LWD851885 MFZ851885 MPV851885 MZR851885 NJN851885 NTJ851885 ODF851885 ONB851885 OWX851885 PGT851885 PQP851885 QAL851885 QKH851885 QUD851885 RDZ851885 RNV851885 RXR851885 SHN851885 SRJ851885 TBF851885 TLB851885 TUX851885 UET851885 UOP851885 UYL851885 VIH851885 VSD851885 WBZ851885 WLV851885 WVR851885 J917421 JF917421 TB917421 ACX917421 AMT917421 AWP917421 BGL917421 BQH917421 CAD917421 CJZ917421 CTV917421 DDR917421 DNN917421 DXJ917421 EHF917421 ERB917421 FAX917421 FKT917421 FUP917421 GEL917421 GOH917421 GYD917421 HHZ917421 HRV917421 IBR917421 ILN917421 IVJ917421 JFF917421 JPB917421 JYX917421 KIT917421 KSP917421 LCL917421 LMH917421 LWD917421 MFZ917421 MPV917421 MZR917421 NJN917421 NTJ917421 ODF917421 ONB917421 OWX917421 PGT917421 PQP917421 QAL917421 QKH917421 QUD917421 RDZ917421 RNV917421 RXR917421 SHN917421 SRJ917421 TBF917421 TLB917421 TUX917421 UET917421 UOP917421 UYL917421 VIH917421 VSD917421 WBZ917421 WLV917421 WVR917421 J982957 JF982957 TB982957 ACX982957 AMT982957 AWP982957 BGL982957 BQH982957 CAD982957 CJZ982957 CTV982957 DDR982957 DNN982957 DXJ982957 EHF982957 ERB982957 FAX982957 FKT982957 FUP982957 GEL982957 GOH982957 GYD982957 HHZ982957 HRV982957 IBR982957 ILN982957 IVJ982957 JFF982957 JPB982957 JYX982957 KIT982957 KSP982957 LCL982957 LMH982957 LWD982957 MFZ982957 MPV982957 MZR982957 NJN982957 NTJ982957 ODF982957 ONB982957 OWX982957 PGT982957 PQP982957 QAL982957 QKH982957 QUD982957 RDZ982957 RNV982957 RXR982957 SHN982957 SRJ982957 TBF982957 TLB982957 TUX982957 UET982957 UOP982957 UYL982957 VIH982957 VSD982957 WBZ982957 WLV982957 WVR982957 WVR982911 IX11 ST11 ACP11 AML11 AWH11 BGD11 BPZ11 BZV11 CJR11 CTN11 DDJ11 DNF11 DXB11 EGX11 EQT11 FAP11 FKL11 FUH11 GED11 GNZ11 GXV11 HHR11 HRN11 IBJ11 ILF11 IVB11 JEX11 JOT11 JYP11 KIL11 KSH11 LCD11 LLZ11 LVV11 MFR11 MPN11 MZJ11 NJF11 NTB11 OCX11 OMT11 OWP11 PGL11 PQH11 QAD11 QJZ11 QTV11 RDR11 RNN11 RXJ11 SHF11 SRB11 TAX11 TKT11 TUP11 UEL11 UOH11 UYD11 VHZ11 VRV11 WBR11 WLN11 WVJ11 B65315 IX65315 ST65315 ACP65315 AML65315 AWH65315 BGD65315 BPZ65315 BZV65315 CJR65315 CTN65315 DDJ65315 DNF65315 DXB65315 EGX65315 EQT65315 FAP65315 FKL65315 FUH65315 GED65315 GNZ65315 GXV65315 HHR65315 HRN65315 IBJ65315 ILF65315 IVB65315 JEX65315 JOT65315 JYP65315 KIL65315 KSH65315 LCD65315 LLZ65315 LVV65315 MFR65315 MPN65315 MZJ65315 NJF65315 NTB65315 OCX65315 OMT65315 OWP65315 PGL65315 PQH65315 QAD65315 QJZ65315 QTV65315 RDR65315 RNN65315 RXJ65315 SHF65315 SRB65315 TAX65315 TKT65315 TUP65315 UEL65315 UOH65315 UYD65315 VHZ65315 VRV65315 WBR65315 WLN65315 WVJ65315 B130851 IX130851 ST130851 ACP130851 AML130851 AWH130851 BGD130851 BPZ130851 BZV130851 CJR130851 CTN130851 DDJ130851 DNF130851 DXB130851 EGX130851 EQT130851 FAP130851 FKL130851 FUH130851 GED130851 GNZ130851 GXV130851 HHR130851 HRN130851 IBJ130851 ILF130851 IVB130851 JEX130851 JOT130851 JYP130851 KIL130851 KSH130851 LCD130851 LLZ130851 LVV130851 MFR130851 MPN130851 MZJ130851 NJF130851 NTB130851 OCX130851 OMT130851 OWP130851 PGL130851 PQH130851 QAD130851 QJZ130851 QTV130851 RDR130851 RNN130851 RXJ130851 SHF130851 SRB130851 TAX130851 TKT130851 TUP130851 UEL130851 UOH130851 UYD130851 VHZ130851 VRV130851 WBR130851 WLN130851 WVJ130851 B196387 IX196387 ST196387 ACP196387 AML196387 AWH196387 BGD196387 BPZ196387 BZV196387 CJR196387 CTN196387 DDJ196387 DNF196387 DXB196387 EGX196387 EQT196387 FAP196387 FKL196387 FUH196387 GED196387 GNZ196387 GXV196387 HHR196387 HRN196387 IBJ196387 ILF196387 IVB196387 JEX196387 JOT196387 JYP196387 KIL196387 KSH196387 LCD196387 LLZ196387 LVV196387 MFR196387 MPN196387 MZJ196387 NJF196387 NTB196387 OCX196387 OMT196387 OWP196387 PGL196387 PQH196387 QAD196387 QJZ196387 QTV196387 RDR196387 RNN196387 RXJ196387 SHF196387 SRB196387 TAX196387 TKT196387 TUP196387 UEL196387 UOH196387 UYD196387 VHZ196387 VRV196387 WBR196387 WLN196387 WVJ196387 B261923 IX261923 ST261923 ACP261923 AML261923 AWH261923 BGD261923 BPZ261923 BZV261923 CJR261923 CTN261923 DDJ261923 DNF261923 DXB261923 EGX261923 EQT261923 FAP261923 FKL261923 FUH261923 GED261923 GNZ261923 GXV261923 HHR261923 HRN261923 IBJ261923 ILF261923 IVB261923 JEX261923 JOT261923 JYP261923 KIL261923 KSH261923 LCD261923 LLZ261923 LVV261923 MFR261923 MPN261923 MZJ261923 NJF261923 NTB261923 OCX261923 OMT261923 OWP261923 PGL261923 PQH261923 QAD261923 QJZ261923 QTV261923 RDR261923 RNN261923 RXJ261923 SHF261923 SRB261923 TAX261923 TKT261923 TUP261923 UEL261923 UOH261923 UYD261923 VHZ261923 VRV261923 WBR261923 WLN261923 WVJ261923 B327459 IX327459 ST327459 ACP327459 AML327459 AWH327459 BGD327459 BPZ327459 BZV327459 CJR327459 CTN327459 DDJ327459 DNF327459 DXB327459 EGX327459 EQT327459 FAP327459 FKL327459 FUH327459 GED327459 GNZ327459 GXV327459 HHR327459 HRN327459 IBJ327459 ILF327459 IVB327459 JEX327459 JOT327459 JYP327459 KIL327459 KSH327459 LCD327459 LLZ327459 LVV327459 MFR327459 MPN327459 MZJ327459 NJF327459 NTB327459 OCX327459 OMT327459 OWP327459 PGL327459 PQH327459 QAD327459 QJZ327459 QTV327459 RDR327459 RNN327459 RXJ327459 SHF327459 SRB327459 TAX327459 TKT327459 TUP327459 UEL327459 UOH327459 UYD327459 VHZ327459 VRV327459 WBR327459 WLN327459 WVJ327459 B392995 IX392995 ST392995 ACP392995 AML392995 AWH392995 BGD392995 BPZ392995 BZV392995 CJR392995 CTN392995 DDJ392995 DNF392995 DXB392995 EGX392995 EQT392995 FAP392995 FKL392995 FUH392995 GED392995 GNZ392995 GXV392995 HHR392995 HRN392995 IBJ392995 ILF392995 IVB392995 JEX392995 JOT392995 JYP392995 KIL392995 KSH392995 LCD392995 LLZ392995 LVV392995 MFR392995 MPN392995 MZJ392995 NJF392995 NTB392995 OCX392995 OMT392995 OWP392995 PGL392995 PQH392995 QAD392995 QJZ392995 QTV392995 RDR392995 RNN392995 RXJ392995 SHF392995 SRB392995 TAX392995 TKT392995 TUP392995 UEL392995 UOH392995 UYD392995 VHZ392995 VRV392995 WBR392995 WLN392995 WVJ392995 B458531 IX458531 ST458531 ACP458531 AML458531 AWH458531 BGD458531 BPZ458531 BZV458531 CJR458531 CTN458531 DDJ458531 DNF458531 DXB458531 EGX458531 EQT458531 FAP458531 FKL458531 FUH458531 GED458531 GNZ458531 GXV458531 HHR458531 HRN458531 IBJ458531 ILF458531 IVB458531 JEX458531 JOT458531 JYP458531 KIL458531 KSH458531 LCD458531 LLZ458531 LVV458531 MFR458531 MPN458531 MZJ458531 NJF458531 NTB458531 OCX458531 OMT458531 OWP458531 PGL458531 PQH458531 QAD458531 QJZ458531 QTV458531 RDR458531 RNN458531 RXJ458531 SHF458531 SRB458531 TAX458531 TKT458531 TUP458531 UEL458531 UOH458531 UYD458531 VHZ458531 VRV458531 WBR458531 WLN458531 WVJ458531 B524067 IX524067 ST524067 ACP524067 AML524067 AWH524067 BGD524067 BPZ524067 BZV524067 CJR524067 CTN524067 DDJ524067 DNF524067 DXB524067 EGX524067 EQT524067 FAP524067 FKL524067 FUH524067 GED524067 GNZ524067 GXV524067 HHR524067 HRN524067 IBJ524067 ILF524067 IVB524067 JEX524067 JOT524067 JYP524067 KIL524067 KSH524067 LCD524067 LLZ524067 LVV524067 MFR524067 MPN524067 MZJ524067 NJF524067 NTB524067 OCX524067 OMT524067 OWP524067 PGL524067 PQH524067 QAD524067 QJZ524067 QTV524067 RDR524067 RNN524067 RXJ524067 SHF524067 SRB524067 TAX524067 TKT524067 TUP524067 UEL524067 UOH524067 UYD524067 VHZ524067 VRV524067 WBR524067 WLN524067 WVJ524067 B589603 IX589603 ST589603 ACP589603 AML589603 AWH589603 BGD589603 BPZ589603 BZV589603 CJR589603 CTN589603 DDJ589603 DNF589603 DXB589603 EGX589603 EQT589603 FAP589603 FKL589603 FUH589603 GED589603 GNZ589603 GXV589603 HHR589603 HRN589603 IBJ589603 ILF589603 IVB589603 JEX589603 JOT589603 JYP589603 KIL589603 KSH589603 LCD589603 LLZ589603 LVV589603 MFR589603 MPN589603 MZJ589603 NJF589603 NTB589603 OCX589603 OMT589603 OWP589603 PGL589603 PQH589603 QAD589603 QJZ589603 QTV589603 RDR589603 RNN589603 RXJ589603 SHF589603 SRB589603 TAX589603 TKT589603 TUP589603 UEL589603 UOH589603 UYD589603 VHZ589603 VRV589603 WBR589603 WLN589603 WVJ589603 B655139 IX655139 ST655139 ACP655139 AML655139 AWH655139 BGD655139 BPZ655139 BZV655139 CJR655139 CTN655139 DDJ655139 DNF655139 DXB655139 EGX655139 EQT655139 FAP655139 FKL655139 FUH655139 GED655139 GNZ655139 GXV655139 HHR655139 HRN655139 IBJ655139 ILF655139 IVB655139 JEX655139 JOT655139 JYP655139 KIL655139 KSH655139 LCD655139 LLZ655139 LVV655139 MFR655139 MPN655139 MZJ655139 NJF655139 NTB655139 OCX655139 OMT655139 OWP655139 PGL655139 PQH655139 QAD655139 QJZ655139 QTV655139 RDR655139 RNN655139 RXJ655139 SHF655139 SRB655139 TAX655139 TKT655139 TUP655139 UEL655139 UOH655139 UYD655139 VHZ655139 VRV655139 WBR655139 WLN655139 WVJ655139 B720675 IX720675 ST720675 ACP720675 AML720675 AWH720675 BGD720675 BPZ720675 BZV720675 CJR720675 CTN720675 DDJ720675 DNF720675 DXB720675 EGX720675 EQT720675 FAP720675 FKL720675 FUH720675 GED720675 GNZ720675 GXV720675 HHR720675 HRN720675 IBJ720675 ILF720675 IVB720675 JEX720675 JOT720675 JYP720675 KIL720675 KSH720675 LCD720675 LLZ720675 LVV720675 MFR720675 MPN720675 MZJ720675 NJF720675 NTB720675 OCX720675 OMT720675 OWP720675 PGL720675 PQH720675 QAD720675 QJZ720675 QTV720675 RDR720675 RNN720675 RXJ720675 SHF720675 SRB720675 TAX720675 TKT720675 TUP720675 UEL720675 UOH720675 UYD720675 VHZ720675 VRV720675 WBR720675 WLN720675 WVJ720675 B786211 IX786211 ST786211 ACP786211 AML786211 AWH786211 BGD786211 BPZ786211 BZV786211 CJR786211 CTN786211 DDJ786211 DNF786211 DXB786211 EGX786211 EQT786211 FAP786211 FKL786211 FUH786211 GED786211 GNZ786211 GXV786211 HHR786211 HRN786211 IBJ786211 ILF786211 IVB786211 JEX786211 JOT786211 JYP786211 KIL786211 KSH786211 LCD786211 LLZ786211 LVV786211 MFR786211 MPN786211 MZJ786211 NJF786211 NTB786211 OCX786211 OMT786211 OWP786211 PGL786211 PQH786211 QAD786211 QJZ786211 QTV786211 RDR786211 RNN786211 RXJ786211 SHF786211 SRB786211 TAX786211 TKT786211 TUP786211 UEL786211 UOH786211 UYD786211 VHZ786211 VRV786211 WBR786211 WLN786211 WVJ786211 B851747 IX851747 ST851747 ACP851747 AML851747 AWH851747 BGD851747 BPZ851747 BZV851747 CJR851747 CTN851747 DDJ851747 DNF851747 DXB851747 EGX851747 EQT851747 FAP851747 FKL851747 FUH851747 GED851747 GNZ851747 GXV851747 HHR851747 HRN851747 IBJ851747 ILF851747 IVB851747 JEX851747 JOT851747 JYP851747 KIL851747 KSH851747 LCD851747 LLZ851747 LVV851747 MFR851747 MPN851747 MZJ851747 NJF851747 NTB851747 OCX851747 OMT851747 OWP851747 PGL851747 PQH851747 QAD851747 QJZ851747 QTV851747 RDR851747 RNN851747 RXJ851747 SHF851747 SRB851747 TAX851747 TKT851747 TUP851747 UEL851747 UOH851747 UYD851747 VHZ851747 VRV851747 WBR851747 WLN851747 WVJ851747 B917283 IX917283 ST917283 ACP917283 AML917283 AWH917283 BGD917283 BPZ917283 BZV917283 CJR917283 CTN917283 DDJ917283 DNF917283 DXB917283 EGX917283 EQT917283 FAP917283 FKL917283 FUH917283 GED917283 GNZ917283 GXV917283 HHR917283 HRN917283 IBJ917283 ILF917283 IVB917283 JEX917283 JOT917283 JYP917283 KIL917283 KSH917283 LCD917283 LLZ917283 LVV917283 MFR917283 MPN917283 MZJ917283 NJF917283 NTB917283 OCX917283 OMT917283 OWP917283 PGL917283 PQH917283 QAD917283 QJZ917283 QTV917283 RDR917283 RNN917283 RXJ917283 SHF917283 SRB917283 TAX917283 TKT917283 TUP917283 UEL917283 UOH917283 UYD917283 VHZ917283 VRV917283 WBR917283 WLN917283 WVJ917283 B982819 IX982819 ST982819 ACP982819 AML982819 AWH982819 BGD982819 BPZ982819 BZV982819 CJR982819 CTN982819 DDJ982819 DNF982819 DXB982819 EGX982819 EQT982819 FAP982819 FKL982819 FUH982819 GED982819 GNZ982819 GXV982819 HHR982819 HRN982819 IBJ982819 ILF982819 IVB982819 JEX982819 JOT982819 JYP982819 KIL982819 KSH982819 LCD982819 LLZ982819 LVV982819 MFR982819 MPN982819 MZJ982819 NJF982819 NTB982819 OCX982819 OMT982819 OWP982819 PGL982819 PQH982819 QAD982819 QJZ982819 QTV982819 RDR982819 RNN982819 RXJ982819 SHF982819 SRB982819 TAX982819 TKT982819 TUP982819 UEL982819 UOH982819 UYD982819 VHZ982819 VRV982819 WBR982819 WLN982819 WVJ982819 J65361 JF65361 TB65361 ACX65361 AMT65361 AWP65361 BGL65361 BQH65361 CAD65361 CJZ65361 CTV65361 DDR65361 DNN65361 DXJ65361 EHF65361 ERB65361 FAX65361 FKT65361 FUP65361 GEL65361 GOH65361 GYD65361 HHZ65361 HRV65361 IBR65361 ILN65361 IVJ65361 JFF65361 JPB65361 JYX65361 KIT65361 KSP65361 LCL65361 LMH65361 LWD65361 MFZ65361 MPV65361 MZR65361 NJN65361 NTJ65361 ODF65361 ONB65361 OWX65361 PGT65361 PQP65361 QAL65361 QKH65361 QUD65361 RDZ65361 RNV65361 RXR65361 SHN65361 SRJ65361 TBF65361 TLB65361 TUX65361 UET65361 UOP65361 UYL65361 VIH65361 VSD65361 WBZ65361 WLV65361 WVR65361 J130897 JF130897 TB130897 ACX130897 AMT130897 AWP130897 BGL130897 BQH130897 CAD130897 CJZ130897 CTV130897 DDR130897 DNN130897 DXJ130897 EHF130897 ERB130897 FAX130897 FKT130897 FUP130897 GEL130897 GOH130897 GYD130897 HHZ130897 HRV130897 IBR130897 ILN130897 IVJ130897 JFF130897 JPB130897 JYX130897 KIT130897 KSP130897 LCL130897 LMH130897 LWD130897 MFZ130897 MPV130897 MZR130897 NJN130897 NTJ130897 ODF130897 ONB130897 OWX130897 PGT130897 PQP130897 QAL130897 QKH130897 QUD130897 RDZ130897 RNV130897 RXR130897 SHN130897 SRJ130897 TBF130897 TLB130897 TUX130897 UET130897 UOP130897 UYL130897 VIH130897 VSD130897 WBZ130897 WLV130897 WVR130897 J196433 JF196433 TB196433 ACX196433 AMT196433 AWP196433 BGL196433 BQH196433 CAD196433 CJZ196433 CTV196433 DDR196433 DNN196433 DXJ196433 EHF196433 ERB196433 FAX196433 FKT196433 FUP196433 GEL196433 GOH196433 GYD196433 HHZ196433 HRV196433 IBR196433 ILN196433 IVJ196433 JFF196433 JPB196433 JYX196433 KIT196433 KSP196433 LCL196433 LMH196433 LWD196433 MFZ196433 MPV196433 MZR196433 NJN196433 NTJ196433 ODF196433 ONB196433 OWX196433 PGT196433 PQP196433 QAL196433 QKH196433 QUD196433 RDZ196433 RNV196433 RXR196433 SHN196433 SRJ196433 TBF196433 TLB196433 TUX196433 UET196433 UOP196433 UYL196433 VIH196433 VSD196433 WBZ196433 WLV196433 WVR196433 J261969 JF261969 TB261969 ACX261969 AMT261969 AWP261969 BGL261969 BQH261969 CAD261969 CJZ261969 CTV261969 DDR261969 DNN261969 DXJ261969 EHF261969 ERB261969 FAX261969 FKT261969 FUP261969 GEL261969 GOH261969 GYD261969 HHZ261969 HRV261969 IBR261969 ILN261969 IVJ261969 JFF261969 JPB261969 JYX261969 KIT261969 KSP261969 LCL261969 LMH261969 LWD261969 MFZ261969 MPV261969 MZR261969 NJN261969 NTJ261969 ODF261969 ONB261969 OWX261969 PGT261969 PQP261969 QAL261969 QKH261969 QUD261969 RDZ261969 RNV261969 RXR261969 SHN261969 SRJ261969 TBF261969 TLB261969 TUX261969 UET261969 UOP261969 UYL261969 VIH261969 VSD261969 WBZ261969 WLV261969 WVR261969 J327505 JF327505 TB327505 ACX327505 AMT327505 AWP327505 BGL327505 BQH327505 CAD327505 CJZ327505 CTV327505 DDR327505 DNN327505 DXJ327505 EHF327505 ERB327505 FAX327505 FKT327505 FUP327505 GEL327505 GOH327505 GYD327505 HHZ327505 HRV327505 IBR327505 ILN327505 IVJ327505 JFF327505 JPB327505 JYX327505 KIT327505 KSP327505 LCL327505 LMH327505 LWD327505 MFZ327505 MPV327505 MZR327505 NJN327505 NTJ327505 ODF327505 ONB327505 OWX327505 PGT327505 PQP327505 QAL327505 QKH327505 QUD327505 RDZ327505 RNV327505 RXR327505 SHN327505 SRJ327505 TBF327505 TLB327505 TUX327505 UET327505 UOP327505 UYL327505 VIH327505 VSD327505 WBZ327505 WLV327505 WVR327505 J393041 JF393041 TB393041 ACX393041 AMT393041 AWP393041 BGL393041 BQH393041 CAD393041 CJZ393041 CTV393041 DDR393041 DNN393041 DXJ393041 EHF393041 ERB393041 FAX393041 FKT393041 FUP393041 GEL393041 GOH393041 GYD393041 HHZ393041 HRV393041 IBR393041 ILN393041 IVJ393041 JFF393041 JPB393041 JYX393041 KIT393041 KSP393041 LCL393041 LMH393041 LWD393041 MFZ393041 MPV393041 MZR393041 NJN393041 NTJ393041 ODF393041 ONB393041 OWX393041 PGT393041 PQP393041 QAL393041 QKH393041 QUD393041 RDZ393041 RNV393041 RXR393041 SHN393041 SRJ393041 TBF393041 TLB393041 TUX393041 UET393041 UOP393041 UYL393041 VIH393041 VSD393041 WBZ393041 WLV393041 WVR393041 J458577 JF458577 TB458577 ACX458577 AMT458577 AWP458577 BGL458577 BQH458577 CAD458577 CJZ458577 CTV458577 DDR458577 DNN458577 DXJ458577 EHF458577 ERB458577 FAX458577 FKT458577 FUP458577 GEL458577 GOH458577 GYD458577 HHZ458577 HRV458577 IBR458577 ILN458577 IVJ458577 JFF458577 JPB458577 JYX458577 KIT458577 KSP458577 LCL458577 LMH458577 LWD458577 MFZ458577 MPV458577 MZR458577 NJN458577 NTJ458577 ODF458577 ONB458577 OWX458577 PGT458577 PQP458577 QAL458577 QKH458577 QUD458577 RDZ458577 RNV458577 RXR458577 SHN458577 SRJ458577 TBF458577 TLB458577 TUX458577 UET458577 UOP458577 UYL458577 VIH458577 VSD458577 WBZ458577 WLV458577 WVR458577 J524113 JF524113 TB524113 ACX524113 AMT524113 AWP524113 BGL524113 BQH524113 CAD524113 CJZ524113 CTV524113 DDR524113 DNN524113 DXJ524113 EHF524113 ERB524113 FAX524113 FKT524113 FUP524113 GEL524113 GOH524113 GYD524113 HHZ524113 HRV524113 IBR524113 ILN524113 IVJ524113 JFF524113 JPB524113 JYX524113 KIT524113 KSP524113 LCL524113 LMH524113 LWD524113 MFZ524113 MPV524113 MZR524113 NJN524113 NTJ524113 ODF524113 ONB524113 OWX524113 PGT524113 PQP524113 QAL524113 QKH524113 QUD524113 RDZ524113 RNV524113 RXR524113 SHN524113 SRJ524113 TBF524113 TLB524113 TUX524113 UET524113 UOP524113 UYL524113 VIH524113 VSD524113 WBZ524113 WLV524113 WVR524113 J589649 JF589649 TB589649 ACX589649 AMT589649 AWP589649 BGL589649 BQH589649 CAD589649 CJZ589649 CTV589649 DDR589649 DNN589649 DXJ589649 EHF589649 ERB589649 FAX589649 FKT589649 FUP589649 GEL589649 GOH589649 GYD589649 HHZ589649 HRV589649 IBR589649 ILN589649 IVJ589649 JFF589649 JPB589649 JYX589649 KIT589649 KSP589649 LCL589649 LMH589649 LWD589649 MFZ589649 MPV589649 MZR589649 NJN589649 NTJ589649 ODF589649 ONB589649 OWX589649 PGT589649 PQP589649 QAL589649 QKH589649 QUD589649 RDZ589649 RNV589649 RXR589649 SHN589649 SRJ589649 TBF589649 TLB589649 TUX589649 UET589649 UOP589649 UYL589649 VIH589649 VSD589649 WBZ589649 WLV589649 WVR589649 J655185 JF655185 TB655185 ACX655185 AMT655185 AWP655185 BGL655185 BQH655185 CAD655185 CJZ655185 CTV655185 DDR655185 DNN655185 DXJ655185 EHF655185 ERB655185 FAX655185 FKT655185 FUP655185 GEL655185 GOH655185 GYD655185 HHZ655185 HRV655185 IBR655185 ILN655185 IVJ655185 JFF655185 JPB655185 JYX655185 KIT655185 KSP655185 LCL655185 LMH655185 LWD655185 MFZ655185 MPV655185 MZR655185 NJN655185 NTJ655185 ODF655185 ONB655185 OWX655185 PGT655185 PQP655185 QAL655185 QKH655185 QUD655185 RDZ655185 RNV655185 RXR655185 SHN655185 SRJ655185 TBF655185 TLB655185 TUX655185 UET655185 UOP655185 UYL655185 VIH655185 VSD655185 WBZ655185 WLV655185 WVR655185 J720721 JF720721 TB720721 ACX720721 AMT720721 AWP720721 BGL720721 BQH720721 CAD720721 CJZ720721 CTV720721 DDR720721 DNN720721 DXJ720721 EHF720721 ERB720721 FAX720721 FKT720721 FUP720721 GEL720721 GOH720721 GYD720721 HHZ720721 HRV720721 IBR720721 ILN720721 IVJ720721 JFF720721 JPB720721 JYX720721 KIT720721 KSP720721 LCL720721 LMH720721 LWD720721 MFZ720721 MPV720721 MZR720721 NJN720721 NTJ720721 ODF720721 ONB720721 OWX720721 PGT720721 PQP720721 QAL720721 QKH720721 QUD720721 RDZ720721 RNV720721 RXR720721 SHN720721 SRJ720721 TBF720721 TLB720721 TUX720721 UET720721 UOP720721 UYL720721 VIH720721 VSD720721 WBZ720721 WLV720721 WVR720721 J786257 JF786257 TB786257 ACX786257 AMT786257 AWP786257 BGL786257 BQH786257 CAD786257 CJZ786257 CTV786257 DDR786257 DNN786257 DXJ786257 EHF786257 ERB786257 FAX786257 FKT786257 FUP786257 GEL786257 GOH786257 GYD786257 HHZ786257 HRV786257 IBR786257 ILN786257 IVJ786257 JFF786257 JPB786257 JYX786257 KIT786257 KSP786257 LCL786257 LMH786257 LWD786257 MFZ786257 MPV786257 MZR786257 NJN786257 NTJ786257 ODF786257 ONB786257 OWX786257 PGT786257 PQP786257 QAL786257 QKH786257 QUD786257 RDZ786257 RNV786257 RXR786257 SHN786257 SRJ786257 TBF786257 TLB786257 TUX786257 UET786257 UOP786257 UYL786257 VIH786257 VSD786257 WBZ786257 WLV786257 WVR786257 J851793 JF851793 TB851793 ACX851793 AMT851793 AWP851793 BGL851793 BQH851793 CAD851793 CJZ851793 CTV851793 DDR851793 DNN851793 DXJ851793 EHF851793 ERB851793 FAX851793 FKT851793 FUP851793 GEL851793 GOH851793 GYD851793 HHZ851793 HRV851793 IBR851793 ILN851793 IVJ851793 JFF851793 JPB851793 JYX851793 KIT851793 KSP851793 LCL851793 LMH851793 LWD851793 MFZ851793 MPV851793 MZR851793 NJN851793 NTJ851793 ODF851793 ONB851793 OWX851793 PGT851793 PQP851793 QAL851793 QKH851793 QUD851793 RDZ851793 RNV851793 RXR851793 SHN851793 SRJ851793 TBF851793 TLB851793 TUX851793 UET851793 UOP851793 UYL851793 VIH851793 VSD851793 WBZ851793 WLV851793 WVR851793 J917329 JF917329 TB917329 ACX917329 AMT917329 AWP917329 BGL917329 BQH917329 CAD917329 CJZ917329 CTV917329 DDR917329 DNN917329 DXJ917329 EHF917329 ERB917329 FAX917329 FKT917329 FUP917329 GEL917329 GOH917329 GYD917329 HHZ917329 HRV917329 IBR917329 ILN917329 IVJ917329 JFF917329 JPB917329 JYX917329 KIT917329 KSP917329 LCL917329 LMH917329 LWD917329 MFZ917329 MPV917329 MZR917329 NJN917329 NTJ917329 ODF917329 ONB917329 OWX917329 PGT917329 PQP917329 QAL917329 QKH917329 QUD917329 RDZ917329 RNV917329 RXR917329 SHN917329 SRJ917329 TBF917329 TLB917329 TUX917329 UET917329 UOP917329 UYL917329 VIH917329 VSD917329 WBZ917329 WLV917329 WVR917329 J982865 JF982865 TB982865 ACX982865 AMT982865 AWP982865 BGL982865 BQH982865 CAD982865 CJZ982865 CTV982865 DDR982865 DNN982865 DXJ982865 EHF982865 ERB982865 FAX982865 FKT982865 FUP982865 GEL982865 GOH982865 GYD982865 HHZ982865 HRV982865 IBR982865 ILN982865 IVJ982865 JFF982865 JPB982865 JYX982865 KIT982865 KSP982865 LCL982865 LMH982865 LWD982865 MFZ982865 MPV982865 MZR982865 NJN982865 NTJ982865 ODF982865 ONB982865 OWX982865 PGT982865 PQP982865 QAL982865 QKH982865 QUD982865 RDZ982865 RNV982865 RXR982865 SHN982865 SRJ982865 TBF982865 TLB982865 TUX982865 UET982865 UOP982865 UYL982865 VIH982865 VSD982865 WBZ982865 WLV982865 WVR982865 J65499 JF65499 TB65499 ACX65499 AMT65499 AWP65499 BGL65499 BQH65499 CAD65499 CJZ65499 CTV65499 DDR65499 DNN65499 DXJ65499 EHF65499 ERB65499 FAX65499 FKT65499 FUP65499 GEL65499 GOH65499 GYD65499 HHZ65499 HRV65499 IBR65499 ILN65499 IVJ65499 JFF65499 JPB65499 JYX65499 KIT65499 KSP65499 LCL65499 LMH65499 LWD65499 MFZ65499 MPV65499 MZR65499 NJN65499 NTJ65499 ODF65499 ONB65499 OWX65499 PGT65499 PQP65499 QAL65499 QKH65499 QUD65499 RDZ65499 RNV65499 RXR65499 SHN65499 SRJ65499 TBF65499 TLB65499 TUX65499 UET65499 UOP65499 UYL65499 VIH65499 VSD65499 WBZ65499 WLV65499 WVR65499 J131035 JF131035 TB131035 ACX131035 AMT131035 AWP131035 BGL131035 BQH131035 CAD131035 CJZ131035 CTV131035 DDR131035 DNN131035 DXJ131035 EHF131035 ERB131035 FAX131035 FKT131035 FUP131035 GEL131035 GOH131035 GYD131035 HHZ131035 HRV131035 IBR131035 ILN131035 IVJ131035 JFF131035 JPB131035 JYX131035 KIT131035 KSP131035 LCL131035 LMH131035 LWD131035 MFZ131035 MPV131035 MZR131035 NJN131035 NTJ131035 ODF131035 ONB131035 OWX131035 PGT131035 PQP131035 QAL131035 QKH131035 QUD131035 RDZ131035 RNV131035 RXR131035 SHN131035 SRJ131035 TBF131035 TLB131035 TUX131035 UET131035 UOP131035 UYL131035 VIH131035 VSD131035 WBZ131035 WLV131035 WVR131035 J196571 JF196571 TB196571 ACX196571 AMT196571 AWP196571 BGL196571 BQH196571 CAD196571 CJZ196571 CTV196571 DDR196571 DNN196571 DXJ196571 EHF196571 ERB196571 FAX196571 FKT196571 FUP196571 GEL196571 GOH196571 GYD196571 HHZ196571 HRV196571 IBR196571 ILN196571 IVJ196571 JFF196571 JPB196571 JYX196571 KIT196571 KSP196571 LCL196571 LMH196571 LWD196571 MFZ196571 MPV196571 MZR196571 NJN196571 NTJ196571 ODF196571 ONB196571 OWX196571 PGT196571 PQP196571 QAL196571 QKH196571 QUD196571 RDZ196571 RNV196571 RXR196571 SHN196571 SRJ196571 TBF196571 TLB196571 TUX196571 UET196571 UOP196571 UYL196571 VIH196571 VSD196571 WBZ196571 WLV196571 WVR196571 J262107 JF262107 TB262107 ACX262107 AMT262107 AWP262107 BGL262107 BQH262107 CAD262107 CJZ262107 CTV262107 DDR262107 DNN262107 DXJ262107 EHF262107 ERB262107 FAX262107 FKT262107 FUP262107 GEL262107 GOH262107 GYD262107 HHZ262107 HRV262107 IBR262107 ILN262107 IVJ262107 JFF262107 JPB262107 JYX262107 KIT262107 KSP262107 LCL262107 LMH262107 LWD262107 MFZ262107 MPV262107 MZR262107 NJN262107 NTJ262107 ODF262107 ONB262107 OWX262107 PGT262107 PQP262107 QAL262107 QKH262107 QUD262107 RDZ262107 RNV262107 RXR262107 SHN262107 SRJ262107 TBF262107 TLB262107 TUX262107 UET262107 UOP262107 UYL262107 VIH262107 VSD262107 WBZ262107 WLV262107 WVR262107 J327643 JF327643 TB327643 ACX327643 AMT327643 AWP327643 BGL327643 BQH327643 CAD327643 CJZ327643 CTV327643 DDR327643 DNN327643 DXJ327643 EHF327643 ERB327643 FAX327643 FKT327643 FUP327643 GEL327643 GOH327643 GYD327643 HHZ327643 HRV327643 IBR327643 ILN327643 IVJ327643 JFF327643 JPB327643 JYX327643 KIT327643 KSP327643 LCL327643 LMH327643 LWD327643 MFZ327643 MPV327643 MZR327643 NJN327643 NTJ327643 ODF327643 ONB327643 OWX327643 PGT327643 PQP327643 QAL327643 QKH327643 QUD327643 RDZ327643 RNV327643 RXR327643 SHN327643 SRJ327643 TBF327643 TLB327643 TUX327643 UET327643 UOP327643 UYL327643 VIH327643 VSD327643 WBZ327643 WLV327643 WVR327643 J393179 JF393179 TB393179 ACX393179 AMT393179 AWP393179 BGL393179 BQH393179 CAD393179 CJZ393179 CTV393179 DDR393179 DNN393179 DXJ393179 EHF393179 ERB393179 FAX393179 FKT393179 FUP393179 GEL393179 GOH393179 GYD393179 HHZ393179 HRV393179 IBR393179 ILN393179 IVJ393179 JFF393179 JPB393179 JYX393179 KIT393179 KSP393179 LCL393179 LMH393179 LWD393179 MFZ393179 MPV393179 MZR393179 NJN393179 NTJ393179 ODF393179 ONB393179 OWX393179 PGT393179 PQP393179 QAL393179 QKH393179 QUD393179 RDZ393179 RNV393179 RXR393179 SHN393179 SRJ393179 TBF393179 TLB393179 TUX393179 UET393179 UOP393179 UYL393179 VIH393179 VSD393179 WBZ393179 WLV393179 WVR393179 J458715 JF458715 TB458715 ACX458715 AMT458715 AWP458715 BGL458715 BQH458715 CAD458715 CJZ458715 CTV458715 DDR458715 DNN458715 DXJ458715 EHF458715 ERB458715 FAX458715 FKT458715 FUP458715 GEL458715 GOH458715 GYD458715 HHZ458715 HRV458715 IBR458715 ILN458715 IVJ458715 JFF458715 JPB458715 JYX458715 KIT458715 KSP458715 LCL458715 LMH458715 LWD458715 MFZ458715 MPV458715 MZR458715 NJN458715 NTJ458715 ODF458715 ONB458715 OWX458715 PGT458715 PQP458715 QAL458715 QKH458715 QUD458715 RDZ458715 RNV458715 RXR458715 SHN458715 SRJ458715 TBF458715 TLB458715 TUX458715 UET458715 UOP458715 UYL458715 VIH458715 VSD458715 WBZ458715 WLV458715 WVR458715 J524251 JF524251 TB524251 ACX524251 AMT524251 AWP524251 BGL524251 BQH524251 CAD524251 CJZ524251 CTV524251 DDR524251 DNN524251 DXJ524251 EHF524251 ERB524251 FAX524251 FKT524251 FUP524251 GEL524251 GOH524251 GYD524251 HHZ524251 HRV524251 IBR524251 ILN524251 IVJ524251 JFF524251 JPB524251 JYX524251 KIT524251 KSP524251 LCL524251 LMH524251 LWD524251 MFZ524251 MPV524251 MZR524251 NJN524251 NTJ524251 ODF524251 ONB524251 OWX524251 PGT524251 PQP524251 QAL524251 QKH524251 QUD524251 RDZ524251 RNV524251 RXR524251 SHN524251 SRJ524251 TBF524251 TLB524251 TUX524251 UET524251 UOP524251 UYL524251 VIH524251 VSD524251 WBZ524251 WLV524251 WVR524251 J589787 JF589787 TB589787 ACX589787 AMT589787 AWP589787 BGL589787 BQH589787 CAD589787 CJZ589787 CTV589787 DDR589787 DNN589787 DXJ589787 EHF589787 ERB589787 FAX589787 FKT589787 FUP589787 GEL589787 GOH589787 GYD589787 HHZ589787 HRV589787 IBR589787 ILN589787 IVJ589787 JFF589787 JPB589787 JYX589787 KIT589787 KSP589787 LCL589787 LMH589787 LWD589787 MFZ589787 MPV589787 MZR589787 NJN589787 NTJ589787 ODF589787 ONB589787 OWX589787 PGT589787 PQP589787 QAL589787 QKH589787 QUD589787 RDZ589787 RNV589787 RXR589787 SHN589787 SRJ589787 TBF589787 TLB589787 TUX589787 UET589787 UOP589787 UYL589787 VIH589787 VSD589787 WBZ589787 WLV589787 WVR589787 J655323 JF655323 TB655323 ACX655323 AMT655323 AWP655323 BGL655323 BQH655323 CAD655323 CJZ655323 CTV655323 DDR655323 DNN655323 DXJ655323 EHF655323 ERB655323 FAX655323 FKT655323 FUP655323 GEL655323 GOH655323 GYD655323 HHZ655323 HRV655323 IBR655323 ILN655323 IVJ655323 JFF655323 JPB655323 JYX655323 KIT655323 KSP655323 LCL655323 LMH655323 LWD655323 MFZ655323 MPV655323 MZR655323 NJN655323 NTJ655323 ODF655323 ONB655323 OWX655323 PGT655323 PQP655323 QAL655323 QKH655323 QUD655323 RDZ655323 RNV655323 RXR655323 SHN655323 SRJ655323 TBF655323 TLB655323 TUX655323 UET655323 UOP655323 UYL655323 VIH655323 VSD655323 WBZ655323 WLV655323 WVR655323 J720859 JF720859 TB720859 ACX720859 AMT720859 AWP720859 BGL720859 BQH720859 CAD720859 CJZ720859 CTV720859 DDR720859 DNN720859 DXJ720859 EHF720859 ERB720859 FAX720859 FKT720859 FUP720859 GEL720859 GOH720859 GYD720859 HHZ720859 HRV720859 IBR720859 ILN720859 IVJ720859 JFF720859 JPB720859 JYX720859 KIT720859 KSP720859 LCL720859 LMH720859 LWD720859 MFZ720859 MPV720859 MZR720859 NJN720859 NTJ720859 ODF720859 ONB720859 OWX720859 PGT720859 PQP720859 QAL720859 QKH720859 QUD720859 RDZ720859 RNV720859 RXR720859 SHN720859 SRJ720859 TBF720859 TLB720859 TUX720859 UET720859 UOP720859 UYL720859 VIH720859 VSD720859 WBZ720859 WLV720859 WVR720859 J786395 JF786395 TB786395 ACX786395 AMT786395 AWP786395 BGL786395 BQH786395 CAD786395 CJZ786395 CTV786395 DDR786395 DNN786395 DXJ786395 EHF786395 ERB786395 FAX786395 FKT786395 FUP786395 GEL786395 GOH786395 GYD786395 HHZ786395 HRV786395 IBR786395 ILN786395 IVJ786395 JFF786395 JPB786395 JYX786395 KIT786395 KSP786395 LCL786395 LMH786395 LWD786395 MFZ786395 MPV786395 MZR786395 NJN786395 NTJ786395 ODF786395 ONB786395 OWX786395 PGT786395 PQP786395 QAL786395 QKH786395 QUD786395 RDZ786395 RNV786395 RXR786395 SHN786395 SRJ786395 TBF786395 TLB786395 TUX786395 UET786395 UOP786395 UYL786395 VIH786395 VSD786395 WBZ786395 WLV786395 WVR786395 J851931 JF851931 TB851931 ACX851931 AMT851931 AWP851931 BGL851931 BQH851931 CAD851931 CJZ851931 CTV851931 DDR851931 DNN851931 DXJ851931 EHF851931 ERB851931 FAX851931 FKT851931 FUP851931 GEL851931 GOH851931 GYD851931 HHZ851931 HRV851931 IBR851931 ILN851931 IVJ851931 JFF851931 JPB851931 JYX851931 KIT851931 KSP851931 LCL851931 LMH851931 LWD851931 MFZ851931 MPV851931 MZR851931 NJN851931 NTJ851931 ODF851931 ONB851931 OWX851931 PGT851931 PQP851931 QAL851931 QKH851931 QUD851931 RDZ851931 RNV851931 RXR851931 SHN851931 SRJ851931 TBF851931 TLB851931 TUX851931 UET851931 UOP851931 UYL851931 VIH851931 VSD851931 WBZ851931 WLV851931 WVR851931 J917467 JF917467 TB917467 ACX917467 AMT917467 AWP917467 BGL917467 BQH917467 CAD917467 CJZ917467 CTV917467 DDR917467 DNN917467 DXJ917467 EHF917467 ERB917467 FAX917467 FKT917467 FUP917467 GEL917467 GOH917467 GYD917467 HHZ917467 HRV917467 IBR917467 ILN917467 IVJ917467 JFF917467 JPB917467 JYX917467 KIT917467 KSP917467 LCL917467 LMH917467 LWD917467 MFZ917467 MPV917467 MZR917467 NJN917467 NTJ917467 ODF917467 ONB917467 OWX917467 PGT917467 PQP917467 QAL917467 QKH917467 QUD917467 RDZ917467 RNV917467 RXR917467 SHN917467 SRJ917467 TBF917467 TLB917467 TUX917467 UET917467 UOP917467 UYL917467 VIH917467 VSD917467 WBZ917467 WLV917467 WVR917467 J983003 JF983003 TB983003 ACX983003 AMT983003 AWP983003 BGL983003 BQH983003 CAD983003 CJZ983003 CTV983003 DDR983003 DNN983003 DXJ983003 EHF983003 ERB983003 FAX983003 FKT983003 FUP983003 GEL983003 GOH983003 GYD983003 HHZ983003 HRV983003 IBR983003 ILN983003 IVJ983003 JFF983003 JPB983003 JYX983003 KIT983003 KSP983003 LCL983003 LMH983003 LWD983003 MFZ983003 MPV983003 MZR983003 NJN983003 NTJ983003 ODF983003 ONB983003 OWX983003 PGT983003 PQP983003 QAL983003 QKH983003 QUD983003 RDZ983003 RNV983003 RXR983003 SHN983003 SRJ983003 TBF983003 TLB983003 TUX983003 UET983003 UOP983003 UYL983003 VIH983003 VSD983003 WBZ983003 WLV983003 WVR983003 J65407 JF65407 TB65407 ACX65407 AMT65407 AWP65407 BGL65407 BQH65407 CAD65407 CJZ65407 CTV65407 DDR65407 DNN65407 DXJ65407 EHF65407 ERB65407 FAX65407 FKT65407 FUP65407 GEL65407 GOH65407 GYD65407 HHZ65407 HRV65407 IBR65407 ILN65407 IVJ65407 JFF65407 JPB65407 JYX65407 KIT65407 KSP65407 LCL65407 LMH65407 LWD65407 MFZ65407 MPV65407 MZR65407 NJN65407 NTJ65407 ODF65407 ONB65407 OWX65407 PGT65407 PQP65407 QAL65407 QKH65407 QUD65407 RDZ65407 RNV65407 RXR65407 SHN65407 SRJ65407 TBF65407 TLB65407 TUX65407 UET65407 UOP65407 UYL65407 VIH65407 VSD65407 WBZ65407 WLV65407 WVR65407 J130943 JF130943 TB130943 ACX130943 AMT130943 AWP130943 BGL130943 BQH130943 CAD130943 CJZ130943 CTV130943 DDR130943 DNN130943 DXJ130943 EHF130943 ERB130943 FAX130943 FKT130943 FUP130943 GEL130943 GOH130943 GYD130943 HHZ130943 HRV130943 IBR130943 ILN130943 IVJ130943 JFF130943 JPB130943 JYX130943 KIT130943 KSP130943 LCL130943 LMH130943 LWD130943 MFZ130943 MPV130943 MZR130943 NJN130943 NTJ130943 ODF130943 ONB130943 OWX130943 PGT130943 PQP130943 QAL130943 QKH130943 QUD130943 RDZ130943 RNV130943 RXR130943 SHN130943 SRJ130943 TBF130943 TLB130943 TUX130943 UET130943 UOP130943 UYL130943 VIH130943 VSD130943 WBZ130943 WLV130943 WVR130943 J196479 JF196479 TB196479 ACX196479 AMT196479 AWP196479 BGL196479 BQH196479 CAD196479 CJZ196479 CTV196479 DDR196479 DNN196479 DXJ196479 EHF196479 ERB196479 FAX196479 FKT196479 FUP196479 GEL196479 GOH196479 GYD196479 HHZ196479 HRV196479 IBR196479 ILN196479 IVJ196479 JFF196479 JPB196479 JYX196479 KIT196479 KSP196479 LCL196479 LMH196479 LWD196479 MFZ196479 MPV196479 MZR196479 NJN196479 NTJ196479 ODF196479 ONB196479 OWX196479 PGT196479 PQP196479 QAL196479 QKH196479 QUD196479 RDZ196479 RNV196479 RXR196479 SHN196479 SRJ196479 TBF196479 TLB196479 TUX196479 UET196479 UOP196479 UYL196479 VIH196479 VSD196479 WBZ196479 WLV196479 WVR196479 J262015 JF262015 TB262015 ACX262015 AMT262015 AWP262015 BGL262015 BQH262015 CAD262015 CJZ262015 CTV262015 DDR262015 DNN262015 DXJ262015 EHF262015 ERB262015 FAX262015 FKT262015 FUP262015 GEL262015 GOH262015 GYD262015 HHZ262015 HRV262015 IBR262015 ILN262015 IVJ262015 JFF262015 JPB262015 JYX262015 KIT262015 KSP262015 LCL262015 LMH262015 LWD262015 MFZ262015 MPV262015 MZR262015 NJN262015 NTJ262015 ODF262015 ONB262015 OWX262015 PGT262015 PQP262015 QAL262015 QKH262015 QUD262015 RDZ262015 RNV262015 RXR262015 SHN262015 SRJ262015 TBF262015 TLB262015 TUX262015 UET262015 UOP262015 UYL262015 VIH262015 VSD262015 WBZ262015 WLV262015 WVR262015 J327551 JF327551 TB327551 ACX327551 AMT327551 AWP327551 BGL327551 BQH327551 CAD327551 CJZ327551 CTV327551 DDR327551 DNN327551 DXJ327551 EHF327551 ERB327551 FAX327551 FKT327551 FUP327551 GEL327551 GOH327551 GYD327551 HHZ327551 HRV327551 IBR327551 ILN327551 IVJ327551 JFF327551 JPB327551 JYX327551 KIT327551 KSP327551 LCL327551 LMH327551 LWD327551 MFZ327551 MPV327551 MZR327551 NJN327551 NTJ327551 ODF327551 ONB327551 OWX327551 PGT327551 PQP327551 QAL327551 QKH327551 QUD327551 RDZ327551 RNV327551 RXR327551 SHN327551 SRJ327551 TBF327551 TLB327551 TUX327551 UET327551 UOP327551 UYL327551 VIH327551 VSD327551 WBZ327551 WLV327551 WVR327551 J393087 JF393087 TB393087 ACX393087 AMT393087 AWP393087 BGL393087 BQH393087 CAD393087 CJZ393087 CTV393087 DDR393087 DNN393087 DXJ393087 EHF393087 ERB393087 FAX393087 FKT393087 FUP393087 GEL393087 GOH393087 GYD393087 HHZ393087 HRV393087 IBR393087 ILN393087 IVJ393087 JFF393087 JPB393087 JYX393087 KIT393087 KSP393087 LCL393087 LMH393087 LWD393087 MFZ393087 MPV393087 MZR393087 NJN393087 NTJ393087 ODF393087 ONB393087 OWX393087 PGT393087 PQP393087 QAL393087 QKH393087 QUD393087 RDZ393087 RNV393087 RXR393087 SHN393087 SRJ393087 TBF393087 TLB393087 TUX393087 UET393087 UOP393087 UYL393087 VIH393087 VSD393087 WBZ393087 WLV393087 WVR393087 J458623 JF458623 TB458623 ACX458623 AMT458623 AWP458623 BGL458623 BQH458623 CAD458623 CJZ458623 CTV458623 DDR458623 DNN458623 DXJ458623 EHF458623 ERB458623 FAX458623 FKT458623 FUP458623 GEL458623 GOH458623 GYD458623 HHZ458623 HRV458623 IBR458623 ILN458623 IVJ458623 JFF458623 JPB458623 JYX458623 KIT458623 KSP458623 LCL458623 LMH458623 LWD458623 MFZ458623 MPV458623 MZR458623 NJN458623 NTJ458623 ODF458623 ONB458623 OWX458623 PGT458623 PQP458623 QAL458623 QKH458623 QUD458623 RDZ458623 RNV458623 RXR458623 SHN458623 SRJ458623 TBF458623 TLB458623 TUX458623 UET458623 UOP458623 UYL458623 VIH458623 VSD458623 WBZ458623 WLV458623 WVR458623 J524159 JF524159 TB524159 ACX524159 AMT524159 AWP524159 BGL524159 BQH524159 CAD524159 CJZ524159 CTV524159 DDR524159 DNN524159 DXJ524159 EHF524159 ERB524159 FAX524159 FKT524159 FUP524159 GEL524159 GOH524159 GYD524159 HHZ524159 HRV524159 IBR524159 ILN524159 IVJ524159 JFF524159 JPB524159 JYX524159 KIT524159 KSP524159 LCL524159 LMH524159 LWD524159 MFZ524159 MPV524159 MZR524159 NJN524159 NTJ524159 ODF524159 ONB524159 OWX524159 PGT524159 PQP524159 QAL524159 QKH524159 QUD524159 RDZ524159 RNV524159 RXR524159 SHN524159 SRJ524159 TBF524159 TLB524159 TUX524159 UET524159 UOP524159 UYL524159 VIH524159 VSD524159 WBZ524159 WLV524159 WVR524159 J589695 JF589695 TB589695 ACX589695 AMT589695 AWP589695 BGL589695 BQH589695 CAD589695 CJZ589695 CTV589695 DDR589695 DNN589695 DXJ589695 EHF589695 ERB589695 FAX589695 FKT589695 FUP589695 GEL589695 GOH589695 GYD589695 HHZ589695 HRV589695 IBR589695 ILN589695 IVJ589695 JFF589695 JPB589695 JYX589695 KIT589695 KSP589695 LCL589695 LMH589695 LWD589695 MFZ589695 MPV589695 MZR589695 NJN589695 NTJ589695 ODF589695 ONB589695 OWX589695 PGT589695 PQP589695 QAL589695 QKH589695 QUD589695 RDZ589695 RNV589695 RXR589695 SHN589695 SRJ589695 TBF589695 TLB589695 TUX589695 UET589695 UOP589695 UYL589695 VIH589695 VSD589695 WBZ589695 WLV589695 WVR589695 J655231 JF655231 TB655231 ACX655231 AMT655231 AWP655231 BGL655231 BQH655231 CAD655231 CJZ655231 CTV655231 DDR655231 DNN655231 DXJ655231 EHF655231 ERB655231 FAX655231 FKT655231 FUP655231 GEL655231 GOH655231 GYD655231 HHZ655231 HRV655231 IBR655231 ILN655231 IVJ655231 JFF655231 JPB655231 JYX655231 KIT655231 KSP655231 LCL655231 LMH655231 LWD655231 MFZ655231 MPV655231 MZR655231 NJN655231 NTJ655231 ODF655231 ONB655231 OWX655231 PGT655231 PQP655231 QAL655231 QKH655231 QUD655231 RDZ655231 RNV655231 RXR655231 SHN655231 SRJ655231 TBF655231 TLB655231 TUX655231 UET655231 UOP655231 UYL655231 VIH655231 VSD655231 WBZ655231 WLV655231 WVR655231 J720767 JF720767 TB720767 ACX720767 AMT720767 AWP720767 BGL720767 BQH720767 CAD720767 CJZ720767 CTV720767 DDR720767 DNN720767 DXJ720767 EHF720767 ERB720767 FAX720767 FKT720767 FUP720767 GEL720767 GOH720767 GYD720767 HHZ720767 HRV720767 IBR720767 ILN720767 IVJ720767 JFF720767 JPB720767 JYX720767 KIT720767 KSP720767 LCL720767 LMH720767 LWD720767 MFZ720767 MPV720767 MZR720767 NJN720767 NTJ720767 ODF720767 ONB720767 OWX720767 PGT720767 PQP720767 QAL720767 QKH720767 QUD720767 RDZ720767 RNV720767 RXR720767 SHN720767 SRJ720767 TBF720767 TLB720767 TUX720767 UET720767 UOP720767 UYL720767 VIH720767 VSD720767 WBZ720767 WLV720767 WVR720767 J786303 JF786303 TB786303 ACX786303 AMT786303 AWP786303 BGL786303 BQH786303 CAD786303 CJZ786303 CTV786303 DDR786303 DNN786303 DXJ786303 EHF786303 ERB786303 FAX786303 FKT786303 FUP786303 GEL786303 GOH786303 GYD786303 HHZ786303 HRV786303 IBR786303 ILN786303 IVJ786303 JFF786303 JPB786303 JYX786303 KIT786303 KSP786303 LCL786303 LMH786303 LWD786303 MFZ786303 MPV786303 MZR786303 NJN786303 NTJ786303 ODF786303 ONB786303 OWX786303 PGT786303 PQP786303 QAL786303 QKH786303 QUD786303 RDZ786303 RNV786303 RXR786303 SHN786303 SRJ786303 TBF786303 TLB786303 TUX786303 UET786303 UOP786303 UYL786303 VIH786303 VSD786303 WBZ786303 WLV786303 WVR786303 J851839 JF851839 TB851839 ACX851839 AMT851839 AWP851839 BGL851839 BQH851839 CAD851839 CJZ851839 CTV851839 DDR851839 DNN851839 DXJ851839 EHF851839 ERB851839 FAX851839 FKT851839 FUP851839 GEL851839 GOH851839 GYD851839 HHZ851839 HRV851839 IBR851839 ILN851839 IVJ851839 JFF851839 JPB851839 JYX851839 KIT851839 KSP851839 LCL851839 LMH851839 LWD851839 MFZ851839 MPV851839 MZR851839 NJN851839 NTJ851839 ODF851839 ONB851839 OWX851839 PGT851839 PQP851839 QAL851839 QKH851839 QUD851839 RDZ851839 RNV851839 RXR851839 SHN851839 SRJ851839 TBF851839 TLB851839 TUX851839 UET851839 UOP851839 UYL851839 VIH851839 VSD851839 WBZ851839 WLV851839 WVR851839 J917375 JF917375 TB917375 ACX917375 AMT917375 AWP917375 BGL917375 BQH917375 CAD917375 CJZ917375 CTV917375 DDR917375 DNN917375 DXJ917375 EHF917375 ERB917375 FAX917375 FKT917375 FUP917375 GEL917375 GOH917375 GYD917375 HHZ917375 HRV917375 IBR917375 ILN917375 IVJ917375 JFF917375 JPB917375 JYX917375 KIT917375 KSP917375 LCL917375 LMH917375 LWD917375 MFZ917375 MPV917375 MZR917375 NJN917375 NTJ917375 ODF917375 ONB917375 OWX917375 PGT917375 PQP917375 QAL917375 QKH917375 QUD917375 RDZ917375 RNV917375 RXR917375 SHN917375 SRJ917375 TBF917375 TLB917375 TUX917375 UET917375 UOP917375 UYL917375 VIH917375 VSD917375 WBZ917375 WLV917375 WVR917375 J982911 JF982911 TB982911 ACX982911 AMT982911 AWP982911 BGL982911 BQH982911 CAD982911 CJZ982911 CTV982911 DDR982911 DNN982911 DXJ982911 EHF982911 ERB982911 FAX982911 FKT982911 FUP982911 GEL982911 GOH982911 GYD982911 HHZ982911 HRV982911 IBR982911 ILN982911 IVJ982911 JFF982911 JPB982911 JYX982911 KIT982911 KSP982911 LCL982911 LMH982911 LWD982911 MFZ982911 MPV982911 MZR982911 NJN982911 NTJ982911 ODF982911 ONB982911 OWX982911 PGT982911 PQP982911 QAL982911 QKH982911 QUD982911 RDZ982911 RNV982911 RXR982911 SHN982911 SRJ982911 TBF982911 TLB982911 TUX982911 UET982911 UOP982911 UYL982911 VIH982911 VSD982911 WBZ982911 WLV982911">
      <formula1>"　,事業部,部,室,支社"</formula1>
    </dataValidation>
    <dataValidation type="list" allowBlank="1" showInputMessage="1" showErrorMessage="1" sqref="WVN982962:WVN982978 F30:F129 WVO30:WVO129 WLS30:WLS129 JC30:JC129 SY30:SY129 ACU30:ACU129 AMQ30:AMQ129 AWM30:AWM129 BGI30:BGI129 BQE30:BQE129 CAA30:CAA129 CJW30:CJW129 CTS30:CTS129 DDO30:DDO129 DNK30:DNK129 DXG30:DXG129 EHC30:EHC129 EQY30:EQY129 FAU30:FAU129 FKQ30:FKQ129 FUM30:FUM129 GEI30:GEI129 GOE30:GOE129 GYA30:GYA129 HHW30:HHW129 HRS30:HRS129 IBO30:IBO129 ILK30:ILK129 IVG30:IVG129 JFC30:JFC129 JOY30:JOY129 JYU30:JYU129 KIQ30:KIQ129 KSM30:KSM129 LCI30:LCI129 LME30:LME129 LWA30:LWA129 MFW30:MFW129 MPS30:MPS129 MZO30:MZO129 NJK30:NJK129 NTG30:NTG129 ODC30:ODC129 OMY30:OMY129 OWU30:OWU129 PGQ30:PGQ129 PQM30:PQM129 QAI30:QAI129 QKE30:QKE129 QUA30:QUA129 RDW30:RDW129 RNS30:RNS129 RXO30:RXO129 SHK30:SHK129 SRG30:SRG129 TBC30:TBC129 TKY30:TKY129 TUU30:TUU129 UEQ30:UEQ129 UOM30:UOM129 UYI30:UYI129 VIE30:VIE129 VSA30:VSA129 WBW30:WBW129 WBV982962:WBV982978 VRZ982962:VRZ982978 VID982962:VID982978 UYH982962:UYH982978 UOL982962:UOL982978 UEP982962:UEP982978 TUT982962:TUT982978 TKX982962:TKX982978 TBB982962:TBB982978 SRF982962:SRF982978 SHJ982962:SHJ982978 RXN982962:RXN982978 RNR982962:RNR982978 RDV982962:RDV982978 QTZ982962:QTZ982978 QKD982962:QKD982978 QAH982962:QAH982978 PQL982962:PQL982978 PGP982962:PGP982978 OWT982962:OWT982978 OMX982962:OMX982978 ODB982962:ODB982978 NTF982962:NTF982978 NJJ982962:NJJ982978 MZN982962:MZN982978 MPR982962:MPR982978 MFV982962:MFV982978 LVZ982962:LVZ982978 LMD982962:LMD982978 LCH982962:LCH982978 KSL982962:KSL982978 KIP982962:KIP982978 JYT982962:JYT982978 JOX982962:JOX982978 JFB982962:JFB982978 IVF982962:IVF982978 ILJ982962:ILJ982978 IBN982962:IBN982978 HRR982962:HRR982978 HHV982962:HHV982978 GXZ982962:GXZ982978 GOD982962:GOD982978 GEH982962:GEH982978 FUL982962:FUL982978 FKP982962:FKP982978 FAT982962:FAT982978 EQX982962:EQX982978 EHB982962:EHB982978 DXF982962:DXF982978 DNJ982962:DNJ982978 DDN982962:DDN982978 CTR982962:CTR982978 CJV982962:CJV982978 BZZ982962:BZZ982978 BQD982962:BQD982978 BGH982962:BGH982978 AWL982962:AWL982978 AMP982962:AMP982978 ACT982962:ACT982978 SX982962:SX982978 JB982962:JB982978 F982962:F982978 WVN917426:WVN917442 WLR917426:WLR917442 WBV917426:WBV917442 VRZ917426:VRZ917442 VID917426:VID917442 UYH917426:UYH917442 UOL917426:UOL917442 UEP917426:UEP917442 TUT917426:TUT917442 TKX917426:TKX917442 TBB917426:TBB917442 SRF917426:SRF917442 SHJ917426:SHJ917442 RXN917426:RXN917442 RNR917426:RNR917442 RDV917426:RDV917442 QTZ917426:QTZ917442 QKD917426:QKD917442 QAH917426:QAH917442 PQL917426:PQL917442 PGP917426:PGP917442 OWT917426:OWT917442 OMX917426:OMX917442 ODB917426:ODB917442 NTF917426:NTF917442 NJJ917426:NJJ917442 MZN917426:MZN917442 MPR917426:MPR917442 MFV917426:MFV917442 LVZ917426:LVZ917442 LMD917426:LMD917442 LCH917426:LCH917442 KSL917426:KSL917442 KIP917426:KIP917442 JYT917426:JYT917442 JOX917426:JOX917442 JFB917426:JFB917442 IVF917426:IVF917442 ILJ917426:ILJ917442 IBN917426:IBN917442 HRR917426:HRR917442 HHV917426:HHV917442 GXZ917426:GXZ917442 GOD917426:GOD917442 GEH917426:GEH917442 FUL917426:FUL917442 FKP917426:FKP917442 FAT917426:FAT917442 EQX917426:EQX917442 EHB917426:EHB917442 DXF917426:DXF917442 DNJ917426:DNJ917442 DDN917426:DDN917442 CTR917426:CTR917442 CJV917426:CJV917442 BZZ917426:BZZ917442 BQD917426:BQD917442 BGH917426:BGH917442 AWL917426:AWL917442 AMP917426:AMP917442 ACT917426:ACT917442 SX917426:SX917442 JB917426:JB917442 F917426:F917442 WVN851890:WVN851906 WLR851890:WLR851906 WBV851890:WBV851906 VRZ851890:VRZ851906 VID851890:VID851906 UYH851890:UYH851906 UOL851890:UOL851906 UEP851890:UEP851906 TUT851890:TUT851906 TKX851890:TKX851906 TBB851890:TBB851906 SRF851890:SRF851906 SHJ851890:SHJ851906 RXN851890:RXN851906 RNR851890:RNR851906 RDV851890:RDV851906 QTZ851890:QTZ851906 QKD851890:QKD851906 QAH851890:QAH851906 PQL851890:PQL851906 PGP851890:PGP851906 OWT851890:OWT851906 OMX851890:OMX851906 ODB851890:ODB851906 NTF851890:NTF851906 NJJ851890:NJJ851906 MZN851890:MZN851906 MPR851890:MPR851906 MFV851890:MFV851906 LVZ851890:LVZ851906 LMD851890:LMD851906 LCH851890:LCH851906 KSL851890:KSL851906 KIP851890:KIP851906 JYT851890:JYT851906 JOX851890:JOX851906 JFB851890:JFB851906 IVF851890:IVF851906 ILJ851890:ILJ851906 IBN851890:IBN851906 HRR851890:HRR851906 HHV851890:HHV851906 GXZ851890:GXZ851906 GOD851890:GOD851906 GEH851890:GEH851906 FUL851890:FUL851906 FKP851890:FKP851906 FAT851890:FAT851906 EQX851890:EQX851906 EHB851890:EHB851906 DXF851890:DXF851906 DNJ851890:DNJ851906 DDN851890:DDN851906 CTR851890:CTR851906 CJV851890:CJV851906 BZZ851890:BZZ851906 BQD851890:BQD851906 BGH851890:BGH851906 AWL851890:AWL851906 AMP851890:AMP851906 ACT851890:ACT851906 SX851890:SX851906 JB851890:JB851906 F851890:F851906 WVN786354:WVN786370 WLR786354:WLR786370 WBV786354:WBV786370 VRZ786354:VRZ786370 VID786354:VID786370 UYH786354:UYH786370 UOL786354:UOL786370 UEP786354:UEP786370 TUT786354:TUT786370 TKX786354:TKX786370 TBB786354:TBB786370 SRF786354:SRF786370 SHJ786354:SHJ786370 RXN786354:RXN786370 RNR786354:RNR786370 RDV786354:RDV786370 QTZ786354:QTZ786370 QKD786354:QKD786370 QAH786354:QAH786370 PQL786354:PQL786370 PGP786354:PGP786370 OWT786354:OWT786370 OMX786354:OMX786370 ODB786354:ODB786370 NTF786354:NTF786370 NJJ786354:NJJ786370 MZN786354:MZN786370 MPR786354:MPR786370 MFV786354:MFV786370 LVZ786354:LVZ786370 LMD786354:LMD786370 LCH786354:LCH786370 KSL786354:KSL786370 KIP786354:KIP786370 JYT786354:JYT786370 JOX786354:JOX786370 JFB786354:JFB786370 IVF786354:IVF786370 ILJ786354:ILJ786370 IBN786354:IBN786370 HRR786354:HRR786370 HHV786354:HHV786370 GXZ786354:GXZ786370 GOD786354:GOD786370 GEH786354:GEH786370 FUL786354:FUL786370 FKP786354:FKP786370 FAT786354:FAT786370 EQX786354:EQX786370 EHB786354:EHB786370 DXF786354:DXF786370 DNJ786354:DNJ786370 DDN786354:DDN786370 CTR786354:CTR786370 CJV786354:CJV786370 BZZ786354:BZZ786370 BQD786354:BQD786370 BGH786354:BGH786370 AWL786354:AWL786370 AMP786354:AMP786370 ACT786354:ACT786370 SX786354:SX786370 JB786354:JB786370 F786354:F786370 WVN720818:WVN720834 WLR720818:WLR720834 WBV720818:WBV720834 VRZ720818:VRZ720834 VID720818:VID720834 UYH720818:UYH720834 UOL720818:UOL720834 UEP720818:UEP720834 TUT720818:TUT720834 TKX720818:TKX720834 TBB720818:TBB720834 SRF720818:SRF720834 SHJ720818:SHJ720834 RXN720818:RXN720834 RNR720818:RNR720834 RDV720818:RDV720834 QTZ720818:QTZ720834 QKD720818:QKD720834 QAH720818:QAH720834 PQL720818:PQL720834 PGP720818:PGP720834 OWT720818:OWT720834 OMX720818:OMX720834 ODB720818:ODB720834 NTF720818:NTF720834 NJJ720818:NJJ720834 MZN720818:MZN720834 MPR720818:MPR720834 MFV720818:MFV720834 LVZ720818:LVZ720834 LMD720818:LMD720834 LCH720818:LCH720834 KSL720818:KSL720834 KIP720818:KIP720834 JYT720818:JYT720834 JOX720818:JOX720834 JFB720818:JFB720834 IVF720818:IVF720834 ILJ720818:ILJ720834 IBN720818:IBN720834 HRR720818:HRR720834 HHV720818:HHV720834 GXZ720818:GXZ720834 GOD720818:GOD720834 GEH720818:GEH720834 FUL720818:FUL720834 FKP720818:FKP720834 FAT720818:FAT720834 EQX720818:EQX720834 EHB720818:EHB720834 DXF720818:DXF720834 DNJ720818:DNJ720834 DDN720818:DDN720834 CTR720818:CTR720834 CJV720818:CJV720834 BZZ720818:BZZ720834 BQD720818:BQD720834 BGH720818:BGH720834 AWL720818:AWL720834 AMP720818:AMP720834 ACT720818:ACT720834 SX720818:SX720834 JB720818:JB720834 F720818:F720834 WVN655282:WVN655298 WLR655282:WLR655298 WBV655282:WBV655298 VRZ655282:VRZ655298 VID655282:VID655298 UYH655282:UYH655298 UOL655282:UOL655298 UEP655282:UEP655298 TUT655282:TUT655298 TKX655282:TKX655298 TBB655282:TBB655298 SRF655282:SRF655298 SHJ655282:SHJ655298 RXN655282:RXN655298 RNR655282:RNR655298 RDV655282:RDV655298 QTZ655282:QTZ655298 QKD655282:QKD655298 QAH655282:QAH655298 PQL655282:PQL655298 PGP655282:PGP655298 OWT655282:OWT655298 OMX655282:OMX655298 ODB655282:ODB655298 NTF655282:NTF655298 NJJ655282:NJJ655298 MZN655282:MZN655298 MPR655282:MPR655298 MFV655282:MFV655298 LVZ655282:LVZ655298 LMD655282:LMD655298 LCH655282:LCH655298 KSL655282:KSL655298 KIP655282:KIP655298 JYT655282:JYT655298 JOX655282:JOX655298 JFB655282:JFB655298 IVF655282:IVF655298 ILJ655282:ILJ655298 IBN655282:IBN655298 HRR655282:HRR655298 HHV655282:HHV655298 GXZ655282:GXZ655298 GOD655282:GOD655298 GEH655282:GEH655298 FUL655282:FUL655298 FKP655282:FKP655298 FAT655282:FAT655298 EQX655282:EQX655298 EHB655282:EHB655298 DXF655282:DXF655298 DNJ655282:DNJ655298 DDN655282:DDN655298 CTR655282:CTR655298 CJV655282:CJV655298 BZZ655282:BZZ655298 BQD655282:BQD655298 BGH655282:BGH655298 AWL655282:AWL655298 AMP655282:AMP655298 ACT655282:ACT655298 SX655282:SX655298 JB655282:JB655298 F655282:F655298 WVN589746:WVN589762 WLR589746:WLR589762 WBV589746:WBV589762 VRZ589746:VRZ589762 VID589746:VID589762 UYH589746:UYH589762 UOL589746:UOL589762 UEP589746:UEP589762 TUT589746:TUT589762 TKX589746:TKX589762 TBB589746:TBB589762 SRF589746:SRF589762 SHJ589746:SHJ589762 RXN589746:RXN589762 RNR589746:RNR589762 RDV589746:RDV589762 QTZ589746:QTZ589762 QKD589746:QKD589762 QAH589746:QAH589762 PQL589746:PQL589762 PGP589746:PGP589762 OWT589746:OWT589762 OMX589746:OMX589762 ODB589746:ODB589762 NTF589746:NTF589762 NJJ589746:NJJ589762 MZN589746:MZN589762 MPR589746:MPR589762 MFV589746:MFV589762 LVZ589746:LVZ589762 LMD589746:LMD589762 LCH589746:LCH589762 KSL589746:KSL589762 KIP589746:KIP589762 JYT589746:JYT589762 JOX589746:JOX589762 JFB589746:JFB589762 IVF589746:IVF589762 ILJ589746:ILJ589762 IBN589746:IBN589762 HRR589746:HRR589762 HHV589746:HHV589762 GXZ589746:GXZ589762 GOD589746:GOD589762 GEH589746:GEH589762 FUL589746:FUL589762 FKP589746:FKP589762 FAT589746:FAT589762 EQX589746:EQX589762 EHB589746:EHB589762 DXF589746:DXF589762 DNJ589746:DNJ589762 DDN589746:DDN589762 CTR589746:CTR589762 CJV589746:CJV589762 BZZ589746:BZZ589762 BQD589746:BQD589762 BGH589746:BGH589762 AWL589746:AWL589762 AMP589746:AMP589762 ACT589746:ACT589762 SX589746:SX589762 JB589746:JB589762 F589746:F589762 WVN524210:WVN524226 WLR524210:WLR524226 WBV524210:WBV524226 VRZ524210:VRZ524226 VID524210:VID524226 UYH524210:UYH524226 UOL524210:UOL524226 UEP524210:UEP524226 TUT524210:TUT524226 TKX524210:TKX524226 TBB524210:TBB524226 SRF524210:SRF524226 SHJ524210:SHJ524226 RXN524210:RXN524226 RNR524210:RNR524226 RDV524210:RDV524226 QTZ524210:QTZ524226 QKD524210:QKD524226 QAH524210:QAH524226 PQL524210:PQL524226 PGP524210:PGP524226 OWT524210:OWT524226 OMX524210:OMX524226 ODB524210:ODB524226 NTF524210:NTF524226 NJJ524210:NJJ524226 MZN524210:MZN524226 MPR524210:MPR524226 MFV524210:MFV524226 LVZ524210:LVZ524226 LMD524210:LMD524226 LCH524210:LCH524226 KSL524210:KSL524226 KIP524210:KIP524226 JYT524210:JYT524226 JOX524210:JOX524226 JFB524210:JFB524226 IVF524210:IVF524226 ILJ524210:ILJ524226 IBN524210:IBN524226 HRR524210:HRR524226 HHV524210:HHV524226 GXZ524210:GXZ524226 GOD524210:GOD524226 GEH524210:GEH524226 FUL524210:FUL524226 FKP524210:FKP524226 FAT524210:FAT524226 EQX524210:EQX524226 EHB524210:EHB524226 DXF524210:DXF524226 DNJ524210:DNJ524226 DDN524210:DDN524226 CTR524210:CTR524226 CJV524210:CJV524226 BZZ524210:BZZ524226 BQD524210:BQD524226 BGH524210:BGH524226 AWL524210:AWL524226 AMP524210:AMP524226 ACT524210:ACT524226 SX524210:SX524226 JB524210:JB524226 F524210:F524226 WVN458674:WVN458690 WLR458674:WLR458690 WBV458674:WBV458690 VRZ458674:VRZ458690 VID458674:VID458690 UYH458674:UYH458690 UOL458674:UOL458690 UEP458674:UEP458690 TUT458674:TUT458690 TKX458674:TKX458690 TBB458674:TBB458690 SRF458674:SRF458690 SHJ458674:SHJ458690 RXN458674:RXN458690 RNR458674:RNR458690 RDV458674:RDV458690 QTZ458674:QTZ458690 QKD458674:QKD458690 QAH458674:QAH458690 PQL458674:PQL458690 PGP458674:PGP458690 OWT458674:OWT458690 OMX458674:OMX458690 ODB458674:ODB458690 NTF458674:NTF458690 NJJ458674:NJJ458690 MZN458674:MZN458690 MPR458674:MPR458690 MFV458674:MFV458690 LVZ458674:LVZ458690 LMD458674:LMD458690 LCH458674:LCH458690 KSL458674:KSL458690 KIP458674:KIP458690 JYT458674:JYT458690 JOX458674:JOX458690 JFB458674:JFB458690 IVF458674:IVF458690 ILJ458674:ILJ458690 IBN458674:IBN458690 HRR458674:HRR458690 HHV458674:HHV458690 GXZ458674:GXZ458690 GOD458674:GOD458690 GEH458674:GEH458690 FUL458674:FUL458690 FKP458674:FKP458690 FAT458674:FAT458690 EQX458674:EQX458690 EHB458674:EHB458690 DXF458674:DXF458690 DNJ458674:DNJ458690 DDN458674:DDN458690 CTR458674:CTR458690 CJV458674:CJV458690 BZZ458674:BZZ458690 BQD458674:BQD458690 BGH458674:BGH458690 AWL458674:AWL458690 AMP458674:AMP458690 ACT458674:ACT458690 SX458674:SX458690 JB458674:JB458690 F458674:F458690 WVN393138:WVN393154 WLR393138:WLR393154 WBV393138:WBV393154 VRZ393138:VRZ393154 VID393138:VID393154 UYH393138:UYH393154 UOL393138:UOL393154 UEP393138:UEP393154 TUT393138:TUT393154 TKX393138:TKX393154 TBB393138:TBB393154 SRF393138:SRF393154 SHJ393138:SHJ393154 RXN393138:RXN393154 RNR393138:RNR393154 RDV393138:RDV393154 QTZ393138:QTZ393154 QKD393138:QKD393154 QAH393138:QAH393154 PQL393138:PQL393154 PGP393138:PGP393154 OWT393138:OWT393154 OMX393138:OMX393154 ODB393138:ODB393154 NTF393138:NTF393154 NJJ393138:NJJ393154 MZN393138:MZN393154 MPR393138:MPR393154 MFV393138:MFV393154 LVZ393138:LVZ393154 LMD393138:LMD393154 LCH393138:LCH393154 KSL393138:KSL393154 KIP393138:KIP393154 JYT393138:JYT393154 JOX393138:JOX393154 JFB393138:JFB393154 IVF393138:IVF393154 ILJ393138:ILJ393154 IBN393138:IBN393154 HRR393138:HRR393154 HHV393138:HHV393154 GXZ393138:GXZ393154 GOD393138:GOD393154 GEH393138:GEH393154 FUL393138:FUL393154 FKP393138:FKP393154 FAT393138:FAT393154 EQX393138:EQX393154 EHB393138:EHB393154 DXF393138:DXF393154 DNJ393138:DNJ393154 DDN393138:DDN393154 CTR393138:CTR393154 CJV393138:CJV393154 BZZ393138:BZZ393154 BQD393138:BQD393154 BGH393138:BGH393154 AWL393138:AWL393154 AMP393138:AMP393154 ACT393138:ACT393154 SX393138:SX393154 JB393138:JB393154 F393138:F393154 WVN327602:WVN327618 WLR327602:WLR327618 WBV327602:WBV327618 VRZ327602:VRZ327618 VID327602:VID327618 UYH327602:UYH327618 UOL327602:UOL327618 UEP327602:UEP327618 TUT327602:TUT327618 TKX327602:TKX327618 TBB327602:TBB327618 SRF327602:SRF327618 SHJ327602:SHJ327618 RXN327602:RXN327618 RNR327602:RNR327618 RDV327602:RDV327618 QTZ327602:QTZ327618 QKD327602:QKD327618 QAH327602:QAH327618 PQL327602:PQL327618 PGP327602:PGP327618 OWT327602:OWT327618 OMX327602:OMX327618 ODB327602:ODB327618 NTF327602:NTF327618 NJJ327602:NJJ327618 MZN327602:MZN327618 MPR327602:MPR327618 MFV327602:MFV327618 LVZ327602:LVZ327618 LMD327602:LMD327618 LCH327602:LCH327618 KSL327602:KSL327618 KIP327602:KIP327618 JYT327602:JYT327618 JOX327602:JOX327618 JFB327602:JFB327618 IVF327602:IVF327618 ILJ327602:ILJ327618 IBN327602:IBN327618 HRR327602:HRR327618 HHV327602:HHV327618 GXZ327602:GXZ327618 GOD327602:GOD327618 GEH327602:GEH327618 FUL327602:FUL327618 FKP327602:FKP327618 FAT327602:FAT327618 EQX327602:EQX327618 EHB327602:EHB327618 DXF327602:DXF327618 DNJ327602:DNJ327618 DDN327602:DDN327618 CTR327602:CTR327618 CJV327602:CJV327618 BZZ327602:BZZ327618 BQD327602:BQD327618 BGH327602:BGH327618 AWL327602:AWL327618 AMP327602:AMP327618 ACT327602:ACT327618 SX327602:SX327618 JB327602:JB327618 F327602:F327618 WVN262066:WVN262082 WLR262066:WLR262082 WBV262066:WBV262082 VRZ262066:VRZ262082 VID262066:VID262082 UYH262066:UYH262082 UOL262066:UOL262082 UEP262066:UEP262082 TUT262066:TUT262082 TKX262066:TKX262082 TBB262066:TBB262082 SRF262066:SRF262082 SHJ262066:SHJ262082 RXN262066:RXN262082 RNR262066:RNR262082 RDV262066:RDV262082 QTZ262066:QTZ262082 QKD262066:QKD262082 QAH262066:QAH262082 PQL262066:PQL262082 PGP262066:PGP262082 OWT262066:OWT262082 OMX262066:OMX262082 ODB262066:ODB262082 NTF262066:NTF262082 NJJ262066:NJJ262082 MZN262066:MZN262082 MPR262066:MPR262082 MFV262066:MFV262082 LVZ262066:LVZ262082 LMD262066:LMD262082 LCH262066:LCH262082 KSL262066:KSL262082 KIP262066:KIP262082 JYT262066:JYT262082 JOX262066:JOX262082 JFB262066:JFB262082 IVF262066:IVF262082 ILJ262066:ILJ262082 IBN262066:IBN262082 HRR262066:HRR262082 HHV262066:HHV262082 GXZ262066:GXZ262082 GOD262066:GOD262082 GEH262066:GEH262082 FUL262066:FUL262082 FKP262066:FKP262082 FAT262066:FAT262082 EQX262066:EQX262082 EHB262066:EHB262082 DXF262066:DXF262082 DNJ262066:DNJ262082 DDN262066:DDN262082 CTR262066:CTR262082 CJV262066:CJV262082 BZZ262066:BZZ262082 BQD262066:BQD262082 BGH262066:BGH262082 AWL262066:AWL262082 AMP262066:AMP262082 ACT262066:ACT262082 SX262066:SX262082 JB262066:JB262082 F262066:F262082 WVN196530:WVN196546 WLR196530:WLR196546 WBV196530:WBV196546 VRZ196530:VRZ196546 VID196530:VID196546 UYH196530:UYH196546 UOL196530:UOL196546 UEP196530:UEP196546 TUT196530:TUT196546 TKX196530:TKX196546 TBB196530:TBB196546 SRF196530:SRF196546 SHJ196530:SHJ196546 RXN196530:RXN196546 RNR196530:RNR196546 RDV196530:RDV196546 QTZ196530:QTZ196546 QKD196530:QKD196546 QAH196530:QAH196546 PQL196530:PQL196546 PGP196530:PGP196546 OWT196530:OWT196546 OMX196530:OMX196546 ODB196530:ODB196546 NTF196530:NTF196546 NJJ196530:NJJ196546 MZN196530:MZN196546 MPR196530:MPR196546 MFV196530:MFV196546 LVZ196530:LVZ196546 LMD196530:LMD196546 LCH196530:LCH196546 KSL196530:KSL196546 KIP196530:KIP196546 JYT196530:JYT196546 JOX196530:JOX196546 JFB196530:JFB196546 IVF196530:IVF196546 ILJ196530:ILJ196546 IBN196530:IBN196546 HRR196530:HRR196546 HHV196530:HHV196546 GXZ196530:GXZ196546 GOD196530:GOD196546 GEH196530:GEH196546 FUL196530:FUL196546 FKP196530:FKP196546 FAT196530:FAT196546 EQX196530:EQX196546 EHB196530:EHB196546 DXF196530:DXF196546 DNJ196530:DNJ196546 DDN196530:DDN196546 CTR196530:CTR196546 CJV196530:CJV196546 BZZ196530:BZZ196546 BQD196530:BQD196546 BGH196530:BGH196546 AWL196530:AWL196546 AMP196530:AMP196546 ACT196530:ACT196546 SX196530:SX196546 JB196530:JB196546 F196530:F196546 WVN130994:WVN131010 WLR130994:WLR131010 WBV130994:WBV131010 VRZ130994:VRZ131010 VID130994:VID131010 UYH130994:UYH131010 UOL130994:UOL131010 UEP130994:UEP131010 TUT130994:TUT131010 TKX130994:TKX131010 TBB130994:TBB131010 SRF130994:SRF131010 SHJ130994:SHJ131010 RXN130994:RXN131010 RNR130994:RNR131010 RDV130994:RDV131010 QTZ130994:QTZ131010 QKD130994:QKD131010 QAH130994:QAH131010 PQL130994:PQL131010 PGP130994:PGP131010 OWT130994:OWT131010 OMX130994:OMX131010 ODB130994:ODB131010 NTF130994:NTF131010 NJJ130994:NJJ131010 MZN130994:MZN131010 MPR130994:MPR131010 MFV130994:MFV131010 LVZ130994:LVZ131010 LMD130994:LMD131010 LCH130994:LCH131010 KSL130994:KSL131010 KIP130994:KIP131010 JYT130994:JYT131010 JOX130994:JOX131010 JFB130994:JFB131010 IVF130994:IVF131010 ILJ130994:ILJ131010 IBN130994:IBN131010 HRR130994:HRR131010 HHV130994:HHV131010 GXZ130994:GXZ131010 GOD130994:GOD131010 GEH130994:GEH131010 FUL130994:FUL131010 FKP130994:FKP131010 FAT130994:FAT131010 EQX130994:EQX131010 EHB130994:EHB131010 DXF130994:DXF131010 DNJ130994:DNJ131010 DDN130994:DDN131010 CTR130994:CTR131010 CJV130994:CJV131010 BZZ130994:BZZ131010 BQD130994:BQD131010 BGH130994:BGH131010 AWL130994:AWL131010 AMP130994:AMP131010 ACT130994:ACT131010 SX130994:SX131010 JB130994:JB131010 F130994:F131010 WVN65458:WVN65474 WLR65458:WLR65474 WBV65458:WBV65474 VRZ65458:VRZ65474 VID65458:VID65474 UYH65458:UYH65474 UOL65458:UOL65474 UEP65458:UEP65474 TUT65458:TUT65474 TKX65458:TKX65474 TBB65458:TBB65474 SRF65458:SRF65474 SHJ65458:SHJ65474 RXN65458:RXN65474 RNR65458:RNR65474 RDV65458:RDV65474 QTZ65458:QTZ65474 QKD65458:QKD65474 QAH65458:QAH65474 PQL65458:PQL65474 PGP65458:PGP65474 OWT65458:OWT65474 OMX65458:OMX65474 ODB65458:ODB65474 NTF65458:NTF65474 NJJ65458:NJJ65474 MZN65458:MZN65474 MPR65458:MPR65474 MFV65458:MFV65474 LVZ65458:LVZ65474 LMD65458:LMD65474 LCH65458:LCH65474 KSL65458:KSL65474 KIP65458:KIP65474 JYT65458:JYT65474 JOX65458:JOX65474 JFB65458:JFB65474 IVF65458:IVF65474 ILJ65458:ILJ65474 IBN65458:IBN65474 HRR65458:HRR65474 HHV65458:HHV65474 GXZ65458:GXZ65474 GOD65458:GOD65474 GEH65458:GEH65474 FUL65458:FUL65474 FKP65458:FKP65474 FAT65458:FAT65474 EQX65458:EQX65474 EHB65458:EHB65474 DXF65458:DXF65474 DNJ65458:DNJ65474 DDN65458:DDN65474 CTR65458:CTR65474 CJV65458:CJV65474 BZZ65458:BZZ65474 BQD65458:BQD65474 BGH65458:BGH65474 AWL65458:AWL65474 AMP65458:AMP65474 ACT65458:ACT65474 SX65458:SX65474 JB65458:JB65474 F65458:F65474 WVN982916:WVN982932 WLR982916:WLR982932 WBV982916:WBV982932 VRZ982916:VRZ982932 VID982916:VID982932 UYH982916:UYH982932 UOL982916:UOL982932 UEP982916:UEP982932 TUT982916:TUT982932 TKX982916:TKX982932 TBB982916:TBB982932 SRF982916:SRF982932 SHJ982916:SHJ982932 RXN982916:RXN982932 RNR982916:RNR982932 RDV982916:RDV982932 QTZ982916:QTZ982932 QKD982916:QKD982932 QAH982916:QAH982932 PQL982916:PQL982932 PGP982916:PGP982932 OWT982916:OWT982932 OMX982916:OMX982932 ODB982916:ODB982932 NTF982916:NTF982932 NJJ982916:NJJ982932 MZN982916:MZN982932 MPR982916:MPR982932 MFV982916:MFV982932 LVZ982916:LVZ982932 LMD982916:LMD982932 LCH982916:LCH982932 KSL982916:KSL982932 KIP982916:KIP982932 JYT982916:JYT982932 JOX982916:JOX982932 JFB982916:JFB982932 IVF982916:IVF982932 ILJ982916:ILJ982932 IBN982916:IBN982932 HRR982916:HRR982932 HHV982916:HHV982932 GXZ982916:GXZ982932 GOD982916:GOD982932 GEH982916:GEH982932 FUL982916:FUL982932 FKP982916:FKP982932 FAT982916:FAT982932 EQX982916:EQX982932 EHB982916:EHB982932 DXF982916:DXF982932 DNJ982916:DNJ982932 DDN982916:DDN982932 CTR982916:CTR982932 CJV982916:CJV982932 BZZ982916:BZZ982932 BQD982916:BQD982932 BGH982916:BGH982932 AWL982916:AWL982932 AMP982916:AMP982932 ACT982916:ACT982932 SX982916:SX982932 JB982916:JB982932 F982916:F982932 WVN917380:WVN917396 WLR917380:WLR917396 WBV917380:WBV917396 VRZ917380:VRZ917396 VID917380:VID917396 UYH917380:UYH917396 UOL917380:UOL917396 UEP917380:UEP917396 TUT917380:TUT917396 TKX917380:TKX917396 TBB917380:TBB917396 SRF917380:SRF917396 SHJ917380:SHJ917396 RXN917380:RXN917396 RNR917380:RNR917396 RDV917380:RDV917396 QTZ917380:QTZ917396 QKD917380:QKD917396 QAH917380:QAH917396 PQL917380:PQL917396 PGP917380:PGP917396 OWT917380:OWT917396 OMX917380:OMX917396 ODB917380:ODB917396 NTF917380:NTF917396 NJJ917380:NJJ917396 MZN917380:MZN917396 MPR917380:MPR917396 MFV917380:MFV917396 LVZ917380:LVZ917396 LMD917380:LMD917396 LCH917380:LCH917396 KSL917380:KSL917396 KIP917380:KIP917396 JYT917380:JYT917396 JOX917380:JOX917396 JFB917380:JFB917396 IVF917380:IVF917396 ILJ917380:ILJ917396 IBN917380:IBN917396 HRR917380:HRR917396 HHV917380:HHV917396 GXZ917380:GXZ917396 GOD917380:GOD917396 GEH917380:GEH917396 FUL917380:FUL917396 FKP917380:FKP917396 FAT917380:FAT917396 EQX917380:EQX917396 EHB917380:EHB917396 DXF917380:DXF917396 DNJ917380:DNJ917396 DDN917380:DDN917396 CTR917380:CTR917396 CJV917380:CJV917396 BZZ917380:BZZ917396 BQD917380:BQD917396 BGH917380:BGH917396 AWL917380:AWL917396 AMP917380:AMP917396 ACT917380:ACT917396 SX917380:SX917396 JB917380:JB917396 F917380:F917396 WVN851844:WVN851860 WLR851844:WLR851860 WBV851844:WBV851860 VRZ851844:VRZ851860 VID851844:VID851860 UYH851844:UYH851860 UOL851844:UOL851860 UEP851844:UEP851860 TUT851844:TUT851860 TKX851844:TKX851860 TBB851844:TBB851860 SRF851844:SRF851860 SHJ851844:SHJ851860 RXN851844:RXN851860 RNR851844:RNR851860 RDV851844:RDV851860 QTZ851844:QTZ851860 QKD851844:QKD851860 QAH851844:QAH851860 PQL851844:PQL851860 PGP851844:PGP851860 OWT851844:OWT851860 OMX851844:OMX851860 ODB851844:ODB851860 NTF851844:NTF851860 NJJ851844:NJJ851860 MZN851844:MZN851860 MPR851844:MPR851860 MFV851844:MFV851860 LVZ851844:LVZ851860 LMD851844:LMD851860 LCH851844:LCH851860 KSL851844:KSL851860 KIP851844:KIP851860 JYT851844:JYT851860 JOX851844:JOX851860 JFB851844:JFB851860 IVF851844:IVF851860 ILJ851844:ILJ851860 IBN851844:IBN851860 HRR851844:HRR851860 HHV851844:HHV851860 GXZ851844:GXZ851860 GOD851844:GOD851860 GEH851844:GEH851860 FUL851844:FUL851860 FKP851844:FKP851860 FAT851844:FAT851860 EQX851844:EQX851860 EHB851844:EHB851860 DXF851844:DXF851860 DNJ851844:DNJ851860 DDN851844:DDN851860 CTR851844:CTR851860 CJV851844:CJV851860 BZZ851844:BZZ851860 BQD851844:BQD851860 BGH851844:BGH851860 AWL851844:AWL851860 AMP851844:AMP851860 ACT851844:ACT851860 SX851844:SX851860 JB851844:JB851860 F851844:F851860 WVN786308:WVN786324 WLR786308:WLR786324 WBV786308:WBV786324 VRZ786308:VRZ786324 VID786308:VID786324 UYH786308:UYH786324 UOL786308:UOL786324 UEP786308:UEP786324 TUT786308:TUT786324 TKX786308:TKX786324 TBB786308:TBB786324 SRF786308:SRF786324 SHJ786308:SHJ786324 RXN786308:RXN786324 RNR786308:RNR786324 RDV786308:RDV786324 QTZ786308:QTZ786324 QKD786308:QKD786324 QAH786308:QAH786324 PQL786308:PQL786324 PGP786308:PGP786324 OWT786308:OWT786324 OMX786308:OMX786324 ODB786308:ODB786324 NTF786308:NTF786324 NJJ786308:NJJ786324 MZN786308:MZN786324 MPR786308:MPR786324 MFV786308:MFV786324 LVZ786308:LVZ786324 LMD786308:LMD786324 LCH786308:LCH786324 KSL786308:KSL786324 KIP786308:KIP786324 JYT786308:JYT786324 JOX786308:JOX786324 JFB786308:JFB786324 IVF786308:IVF786324 ILJ786308:ILJ786324 IBN786308:IBN786324 HRR786308:HRR786324 HHV786308:HHV786324 GXZ786308:GXZ786324 GOD786308:GOD786324 GEH786308:GEH786324 FUL786308:FUL786324 FKP786308:FKP786324 FAT786308:FAT786324 EQX786308:EQX786324 EHB786308:EHB786324 DXF786308:DXF786324 DNJ786308:DNJ786324 DDN786308:DDN786324 CTR786308:CTR786324 CJV786308:CJV786324 BZZ786308:BZZ786324 BQD786308:BQD786324 BGH786308:BGH786324 AWL786308:AWL786324 AMP786308:AMP786324 ACT786308:ACT786324 SX786308:SX786324 JB786308:JB786324 F786308:F786324 WVN720772:WVN720788 WLR720772:WLR720788 WBV720772:WBV720788 VRZ720772:VRZ720788 VID720772:VID720788 UYH720772:UYH720788 UOL720772:UOL720788 UEP720772:UEP720788 TUT720772:TUT720788 TKX720772:TKX720788 TBB720772:TBB720788 SRF720772:SRF720788 SHJ720772:SHJ720788 RXN720772:RXN720788 RNR720772:RNR720788 RDV720772:RDV720788 QTZ720772:QTZ720788 QKD720772:QKD720788 QAH720772:QAH720788 PQL720772:PQL720788 PGP720772:PGP720788 OWT720772:OWT720788 OMX720772:OMX720788 ODB720772:ODB720788 NTF720772:NTF720788 NJJ720772:NJJ720788 MZN720772:MZN720788 MPR720772:MPR720788 MFV720772:MFV720788 LVZ720772:LVZ720788 LMD720772:LMD720788 LCH720772:LCH720788 KSL720772:KSL720788 KIP720772:KIP720788 JYT720772:JYT720788 JOX720772:JOX720788 JFB720772:JFB720788 IVF720772:IVF720788 ILJ720772:ILJ720788 IBN720772:IBN720788 HRR720772:HRR720788 HHV720772:HHV720788 GXZ720772:GXZ720788 GOD720772:GOD720788 GEH720772:GEH720788 FUL720772:FUL720788 FKP720772:FKP720788 FAT720772:FAT720788 EQX720772:EQX720788 EHB720772:EHB720788 DXF720772:DXF720788 DNJ720772:DNJ720788 DDN720772:DDN720788 CTR720772:CTR720788 CJV720772:CJV720788 BZZ720772:BZZ720788 BQD720772:BQD720788 BGH720772:BGH720788 AWL720772:AWL720788 AMP720772:AMP720788 ACT720772:ACT720788 SX720772:SX720788 JB720772:JB720788 F720772:F720788 WVN655236:WVN655252 WLR655236:WLR655252 WBV655236:WBV655252 VRZ655236:VRZ655252 VID655236:VID655252 UYH655236:UYH655252 UOL655236:UOL655252 UEP655236:UEP655252 TUT655236:TUT655252 TKX655236:TKX655252 TBB655236:TBB655252 SRF655236:SRF655252 SHJ655236:SHJ655252 RXN655236:RXN655252 RNR655236:RNR655252 RDV655236:RDV655252 QTZ655236:QTZ655252 QKD655236:QKD655252 QAH655236:QAH655252 PQL655236:PQL655252 PGP655236:PGP655252 OWT655236:OWT655252 OMX655236:OMX655252 ODB655236:ODB655252 NTF655236:NTF655252 NJJ655236:NJJ655252 MZN655236:MZN655252 MPR655236:MPR655252 MFV655236:MFV655252 LVZ655236:LVZ655252 LMD655236:LMD655252 LCH655236:LCH655252 KSL655236:KSL655252 KIP655236:KIP655252 JYT655236:JYT655252 JOX655236:JOX655252 JFB655236:JFB655252 IVF655236:IVF655252 ILJ655236:ILJ655252 IBN655236:IBN655252 HRR655236:HRR655252 HHV655236:HHV655252 GXZ655236:GXZ655252 GOD655236:GOD655252 GEH655236:GEH655252 FUL655236:FUL655252 FKP655236:FKP655252 FAT655236:FAT655252 EQX655236:EQX655252 EHB655236:EHB655252 DXF655236:DXF655252 DNJ655236:DNJ655252 DDN655236:DDN655252 CTR655236:CTR655252 CJV655236:CJV655252 BZZ655236:BZZ655252 BQD655236:BQD655252 BGH655236:BGH655252 AWL655236:AWL655252 AMP655236:AMP655252 ACT655236:ACT655252 SX655236:SX655252 JB655236:JB655252 F655236:F655252 WVN589700:WVN589716 WLR589700:WLR589716 WBV589700:WBV589716 VRZ589700:VRZ589716 VID589700:VID589716 UYH589700:UYH589716 UOL589700:UOL589716 UEP589700:UEP589716 TUT589700:TUT589716 TKX589700:TKX589716 TBB589700:TBB589716 SRF589700:SRF589716 SHJ589700:SHJ589716 RXN589700:RXN589716 RNR589700:RNR589716 RDV589700:RDV589716 QTZ589700:QTZ589716 QKD589700:QKD589716 QAH589700:QAH589716 PQL589700:PQL589716 PGP589700:PGP589716 OWT589700:OWT589716 OMX589700:OMX589716 ODB589700:ODB589716 NTF589700:NTF589716 NJJ589700:NJJ589716 MZN589700:MZN589716 MPR589700:MPR589716 MFV589700:MFV589716 LVZ589700:LVZ589716 LMD589700:LMD589716 LCH589700:LCH589716 KSL589700:KSL589716 KIP589700:KIP589716 JYT589700:JYT589716 JOX589700:JOX589716 JFB589700:JFB589716 IVF589700:IVF589716 ILJ589700:ILJ589716 IBN589700:IBN589716 HRR589700:HRR589716 HHV589700:HHV589716 GXZ589700:GXZ589716 GOD589700:GOD589716 GEH589700:GEH589716 FUL589700:FUL589716 FKP589700:FKP589716 FAT589700:FAT589716 EQX589700:EQX589716 EHB589700:EHB589716 DXF589700:DXF589716 DNJ589700:DNJ589716 DDN589700:DDN589716 CTR589700:CTR589716 CJV589700:CJV589716 BZZ589700:BZZ589716 BQD589700:BQD589716 BGH589700:BGH589716 AWL589700:AWL589716 AMP589700:AMP589716 ACT589700:ACT589716 SX589700:SX589716 JB589700:JB589716 F589700:F589716 WVN524164:WVN524180 WLR524164:WLR524180 WBV524164:WBV524180 VRZ524164:VRZ524180 VID524164:VID524180 UYH524164:UYH524180 UOL524164:UOL524180 UEP524164:UEP524180 TUT524164:TUT524180 TKX524164:TKX524180 TBB524164:TBB524180 SRF524164:SRF524180 SHJ524164:SHJ524180 RXN524164:RXN524180 RNR524164:RNR524180 RDV524164:RDV524180 QTZ524164:QTZ524180 QKD524164:QKD524180 QAH524164:QAH524180 PQL524164:PQL524180 PGP524164:PGP524180 OWT524164:OWT524180 OMX524164:OMX524180 ODB524164:ODB524180 NTF524164:NTF524180 NJJ524164:NJJ524180 MZN524164:MZN524180 MPR524164:MPR524180 MFV524164:MFV524180 LVZ524164:LVZ524180 LMD524164:LMD524180 LCH524164:LCH524180 KSL524164:KSL524180 KIP524164:KIP524180 JYT524164:JYT524180 JOX524164:JOX524180 JFB524164:JFB524180 IVF524164:IVF524180 ILJ524164:ILJ524180 IBN524164:IBN524180 HRR524164:HRR524180 HHV524164:HHV524180 GXZ524164:GXZ524180 GOD524164:GOD524180 GEH524164:GEH524180 FUL524164:FUL524180 FKP524164:FKP524180 FAT524164:FAT524180 EQX524164:EQX524180 EHB524164:EHB524180 DXF524164:DXF524180 DNJ524164:DNJ524180 DDN524164:DDN524180 CTR524164:CTR524180 CJV524164:CJV524180 BZZ524164:BZZ524180 BQD524164:BQD524180 BGH524164:BGH524180 AWL524164:AWL524180 AMP524164:AMP524180 ACT524164:ACT524180 SX524164:SX524180 JB524164:JB524180 F524164:F524180 WVN458628:WVN458644 WLR458628:WLR458644 WBV458628:WBV458644 VRZ458628:VRZ458644 VID458628:VID458644 UYH458628:UYH458644 UOL458628:UOL458644 UEP458628:UEP458644 TUT458628:TUT458644 TKX458628:TKX458644 TBB458628:TBB458644 SRF458628:SRF458644 SHJ458628:SHJ458644 RXN458628:RXN458644 RNR458628:RNR458644 RDV458628:RDV458644 QTZ458628:QTZ458644 QKD458628:QKD458644 QAH458628:QAH458644 PQL458628:PQL458644 PGP458628:PGP458644 OWT458628:OWT458644 OMX458628:OMX458644 ODB458628:ODB458644 NTF458628:NTF458644 NJJ458628:NJJ458644 MZN458628:MZN458644 MPR458628:MPR458644 MFV458628:MFV458644 LVZ458628:LVZ458644 LMD458628:LMD458644 LCH458628:LCH458644 KSL458628:KSL458644 KIP458628:KIP458644 JYT458628:JYT458644 JOX458628:JOX458644 JFB458628:JFB458644 IVF458628:IVF458644 ILJ458628:ILJ458644 IBN458628:IBN458644 HRR458628:HRR458644 HHV458628:HHV458644 GXZ458628:GXZ458644 GOD458628:GOD458644 GEH458628:GEH458644 FUL458628:FUL458644 FKP458628:FKP458644 FAT458628:FAT458644 EQX458628:EQX458644 EHB458628:EHB458644 DXF458628:DXF458644 DNJ458628:DNJ458644 DDN458628:DDN458644 CTR458628:CTR458644 CJV458628:CJV458644 BZZ458628:BZZ458644 BQD458628:BQD458644 BGH458628:BGH458644 AWL458628:AWL458644 AMP458628:AMP458644 ACT458628:ACT458644 SX458628:SX458644 JB458628:JB458644 F458628:F458644 WVN393092:WVN393108 WLR393092:WLR393108 WBV393092:WBV393108 VRZ393092:VRZ393108 VID393092:VID393108 UYH393092:UYH393108 UOL393092:UOL393108 UEP393092:UEP393108 TUT393092:TUT393108 TKX393092:TKX393108 TBB393092:TBB393108 SRF393092:SRF393108 SHJ393092:SHJ393108 RXN393092:RXN393108 RNR393092:RNR393108 RDV393092:RDV393108 QTZ393092:QTZ393108 QKD393092:QKD393108 QAH393092:QAH393108 PQL393092:PQL393108 PGP393092:PGP393108 OWT393092:OWT393108 OMX393092:OMX393108 ODB393092:ODB393108 NTF393092:NTF393108 NJJ393092:NJJ393108 MZN393092:MZN393108 MPR393092:MPR393108 MFV393092:MFV393108 LVZ393092:LVZ393108 LMD393092:LMD393108 LCH393092:LCH393108 KSL393092:KSL393108 KIP393092:KIP393108 JYT393092:JYT393108 JOX393092:JOX393108 JFB393092:JFB393108 IVF393092:IVF393108 ILJ393092:ILJ393108 IBN393092:IBN393108 HRR393092:HRR393108 HHV393092:HHV393108 GXZ393092:GXZ393108 GOD393092:GOD393108 GEH393092:GEH393108 FUL393092:FUL393108 FKP393092:FKP393108 FAT393092:FAT393108 EQX393092:EQX393108 EHB393092:EHB393108 DXF393092:DXF393108 DNJ393092:DNJ393108 DDN393092:DDN393108 CTR393092:CTR393108 CJV393092:CJV393108 BZZ393092:BZZ393108 BQD393092:BQD393108 BGH393092:BGH393108 AWL393092:AWL393108 AMP393092:AMP393108 ACT393092:ACT393108 SX393092:SX393108 JB393092:JB393108 F393092:F393108 WVN327556:WVN327572 WLR327556:WLR327572 WBV327556:WBV327572 VRZ327556:VRZ327572 VID327556:VID327572 UYH327556:UYH327572 UOL327556:UOL327572 UEP327556:UEP327572 TUT327556:TUT327572 TKX327556:TKX327572 TBB327556:TBB327572 SRF327556:SRF327572 SHJ327556:SHJ327572 RXN327556:RXN327572 RNR327556:RNR327572 RDV327556:RDV327572 QTZ327556:QTZ327572 QKD327556:QKD327572 QAH327556:QAH327572 PQL327556:PQL327572 PGP327556:PGP327572 OWT327556:OWT327572 OMX327556:OMX327572 ODB327556:ODB327572 NTF327556:NTF327572 NJJ327556:NJJ327572 MZN327556:MZN327572 MPR327556:MPR327572 MFV327556:MFV327572 LVZ327556:LVZ327572 LMD327556:LMD327572 LCH327556:LCH327572 KSL327556:KSL327572 KIP327556:KIP327572 JYT327556:JYT327572 JOX327556:JOX327572 JFB327556:JFB327572 IVF327556:IVF327572 ILJ327556:ILJ327572 IBN327556:IBN327572 HRR327556:HRR327572 HHV327556:HHV327572 GXZ327556:GXZ327572 GOD327556:GOD327572 GEH327556:GEH327572 FUL327556:FUL327572 FKP327556:FKP327572 FAT327556:FAT327572 EQX327556:EQX327572 EHB327556:EHB327572 DXF327556:DXF327572 DNJ327556:DNJ327572 DDN327556:DDN327572 CTR327556:CTR327572 CJV327556:CJV327572 BZZ327556:BZZ327572 BQD327556:BQD327572 BGH327556:BGH327572 AWL327556:AWL327572 AMP327556:AMP327572 ACT327556:ACT327572 SX327556:SX327572 JB327556:JB327572 F327556:F327572 WVN262020:WVN262036 WLR262020:WLR262036 WBV262020:WBV262036 VRZ262020:VRZ262036 VID262020:VID262036 UYH262020:UYH262036 UOL262020:UOL262036 UEP262020:UEP262036 TUT262020:TUT262036 TKX262020:TKX262036 TBB262020:TBB262036 SRF262020:SRF262036 SHJ262020:SHJ262036 RXN262020:RXN262036 RNR262020:RNR262036 RDV262020:RDV262036 QTZ262020:QTZ262036 QKD262020:QKD262036 QAH262020:QAH262036 PQL262020:PQL262036 PGP262020:PGP262036 OWT262020:OWT262036 OMX262020:OMX262036 ODB262020:ODB262036 NTF262020:NTF262036 NJJ262020:NJJ262036 MZN262020:MZN262036 MPR262020:MPR262036 MFV262020:MFV262036 LVZ262020:LVZ262036 LMD262020:LMD262036 LCH262020:LCH262036 KSL262020:KSL262036 KIP262020:KIP262036 JYT262020:JYT262036 JOX262020:JOX262036 JFB262020:JFB262036 IVF262020:IVF262036 ILJ262020:ILJ262036 IBN262020:IBN262036 HRR262020:HRR262036 HHV262020:HHV262036 GXZ262020:GXZ262036 GOD262020:GOD262036 GEH262020:GEH262036 FUL262020:FUL262036 FKP262020:FKP262036 FAT262020:FAT262036 EQX262020:EQX262036 EHB262020:EHB262036 DXF262020:DXF262036 DNJ262020:DNJ262036 DDN262020:DDN262036 CTR262020:CTR262036 CJV262020:CJV262036 BZZ262020:BZZ262036 BQD262020:BQD262036 BGH262020:BGH262036 AWL262020:AWL262036 AMP262020:AMP262036 ACT262020:ACT262036 SX262020:SX262036 JB262020:JB262036 F262020:F262036 WVN196484:WVN196500 WLR196484:WLR196500 WBV196484:WBV196500 VRZ196484:VRZ196500 VID196484:VID196500 UYH196484:UYH196500 UOL196484:UOL196500 UEP196484:UEP196500 TUT196484:TUT196500 TKX196484:TKX196500 TBB196484:TBB196500 SRF196484:SRF196500 SHJ196484:SHJ196500 RXN196484:RXN196500 RNR196484:RNR196500 RDV196484:RDV196500 QTZ196484:QTZ196500 QKD196484:QKD196500 QAH196484:QAH196500 PQL196484:PQL196500 PGP196484:PGP196500 OWT196484:OWT196500 OMX196484:OMX196500 ODB196484:ODB196500 NTF196484:NTF196500 NJJ196484:NJJ196500 MZN196484:MZN196500 MPR196484:MPR196500 MFV196484:MFV196500 LVZ196484:LVZ196500 LMD196484:LMD196500 LCH196484:LCH196500 KSL196484:KSL196500 KIP196484:KIP196500 JYT196484:JYT196500 JOX196484:JOX196500 JFB196484:JFB196500 IVF196484:IVF196500 ILJ196484:ILJ196500 IBN196484:IBN196500 HRR196484:HRR196500 HHV196484:HHV196500 GXZ196484:GXZ196500 GOD196484:GOD196500 GEH196484:GEH196500 FUL196484:FUL196500 FKP196484:FKP196500 FAT196484:FAT196500 EQX196484:EQX196500 EHB196484:EHB196500 DXF196484:DXF196500 DNJ196484:DNJ196500 DDN196484:DDN196500 CTR196484:CTR196500 CJV196484:CJV196500 BZZ196484:BZZ196500 BQD196484:BQD196500 BGH196484:BGH196500 AWL196484:AWL196500 AMP196484:AMP196500 ACT196484:ACT196500 SX196484:SX196500 JB196484:JB196500 F196484:F196500 WVN130948:WVN130964 WLR130948:WLR130964 WBV130948:WBV130964 VRZ130948:VRZ130964 VID130948:VID130964 UYH130948:UYH130964 UOL130948:UOL130964 UEP130948:UEP130964 TUT130948:TUT130964 TKX130948:TKX130964 TBB130948:TBB130964 SRF130948:SRF130964 SHJ130948:SHJ130964 RXN130948:RXN130964 RNR130948:RNR130964 RDV130948:RDV130964 QTZ130948:QTZ130964 QKD130948:QKD130964 QAH130948:QAH130964 PQL130948:PQL130964 PGP130948:PGP130964 OWT130948:OWT130964 OMX130948:OMX130964 ODB130948:ODB130964 NTF130948:NTF130964 NJJ130948:NJJ130964 MZN130948:MZN130964 MPR130948:MPR130964 MFV130948:MFV130964 LVZ130948:LVZ130964 LMD130948:LMD130964 LCH130948:LCH130964 KSL130948:KSL130964 KIP130948:KIP130964 JYT130948:JYT130964 JOX130948:JOX130964 JFB130948:JFB130964 IVF130948:IVF130964 ILJ130948:ILJ130964 IBN130948:IBN130964 HRR130948:HRR130964 HHV130948:HHV130964 GXZ130948:GXZ130964 GOD130948:GOD130964 GEH130948:GEH130964 FUL130948:FUL130964 FKP130948:FKP130964 FAT130948:FAT130964 EQX130948:EQX130964 EHB130948:EHB130964 DXF130948:DXF130964 DNJ130948:DNJ130964 DDN130948:DDN130964 CTR130948:CTR130964 CJV130948:CJV130964 BZZ130948:BZZ130964 BQD130948:BQD130964 BGH130948:BGH130964 AWL130948:AWL130964 AMP130948:AMP130964 ACT130948:ACT130964 SX130948:SX130964 JB130948:JB130964 F130948:F130964 WVN65412:WVN65428 WLR65412:WLR65428 WBV65412:WBV65428 VRZ65412:VRZ65428 VID65412:VID65428 UYH65412:UYH65428 UOL65412:UOL65428 UEP65412:UEP65428 TUT65412:TUT65428 TKX65412:TKX65428 TBB65412:TBB65428 SRF65412:SRF65428 SHJ65412:SHJ65428 RXN65412:RXN65428 RNR65412:RNR65428 RDV65412:RDV65428 QTZ65412:QTZ65428 QKD65412:QKD65428 QAH65412:QAH65428 PQL65412:PQL65428 PGP65412:PGP65428 OWT65412:OWT65428 OMX65412:OMX65428 ODB65412:ODB65428 NTF65412:NTF65428 NJJ65412:NJJ65428 MZN65412:MZN65428 MPR65412:MPR65428 MFV65412:MFV65428 LVZ65412:LVZ65428 LMD65412:LMD65428 LCH65412:LCH65428 KSL65412:KSL65428 KIP65412:KIP65428 JYT65412:JYT65428 JOX65412:JOX65428 JFB65412:JFB65428 IVF65412:IVF65428 ILJ65412:ILJ65428 IBN65412:IBN65428 HRR65412:HRR65428 HHV65412:HHV65428 GXZ65412:GXZ65428 GOD65412:GOD65428 GEH65412:GEH65428 FUL65412:FUL65428 FKP65412:FKP65428 FAT65412:FAT65428 EQX65412:EQX65428 EHB65412:EHB65428 DXF65412:DXF65428 DNJ65412:DNJ65428 DDN65412:DDN65428 CTR65412:CTR65428 CJV65412:CJV65428 BZZ65412:BZZ65428 BQD65412:BQD65428 BGH65412:BGH65428 AWL65412:AWL65428 AMP65412:AMP65428 ACT65412:ACT65428 SX65412:SX65428 JB65412:JB65428 F65412:F65428 WVN982870:WVN982886 WLR982870:WLR982886 WBV982870:WBV982886 VRZ982870:VRZ982886 VID982870:VID982886 UYH982870:UYH982886 UOL982870:UOL982886 UEP982870:UEP982886 TUT982870:TUT982886 TKX982870:TKX982886 TBB982870:TBB982886 SRF982870:SRF982886 SHJ982870:SHJ982886 RXN982870:RXN982886 RNR982870:RNR982886 RDV982870:RDV982886 QTZ982870:QTZ982886 QKD982870:QKD982886 QAH982870:QAH982886 PQL982870:PQL982886 PGP982870:PGP982886 OWT982870:OWT982886 OMX982870:OMX982886 ODB982870:ODB982886 NTF982870:NTF982886 NJJ982870:NJJ982886 MZN982870:MZN982886 MPR982870:MPR982886 MFV982870:MFV982886 LVZ982870:LVZ982886 LMD982870:LMD982886 LCH982870:LCH982886 KSL982870:KSL982886 KIP982870:KIP982886 JYT982870:JYT982886 JOX982870:JOX982886 JFB982870:JFB982886 IVF982870:IVF982886 ILJ982870:ILJ982886 IBN982870:IBN982886 HRR982870:HRR982886 HHV982870:HHV982886 GXZ982870:GXZ982886 GOD982870:GOD982886 GEH982870:GEH982886 FUL982870:FUL982886 FKP982870:FKP982886 FAT982870:FAT982886 EQX982870:EQX982886 EHB982870:EHB982886 DXF982870:DXF982886 DNJ982870:DNJ982886 DDN982870:DDN982886 CTR982870:CTR982886 CJV982870:CJV982886 BZZ982870:BZZ982886 BQD982870:BQD982886 BGH982870:BGH982886 AWL982870:AWL982886 AMP982870:AMP982886 ACT982870:ACT982886 SX982870:SX982886 JB982870:JB982886 F982870:F982886 WVN917334:WVN917350 WLR917334:WLR917350 WBV917334:WBV917350 VRZ917334:VRZ917350 VID917334:VID917350 UYH917334:UYH917350 UOL917334:UOL917350 UEP917334:UEP917350 TUT917334:TUT917350 TKX917334:TKX917350 TBB917334:TBB917350 SRF917334:SRF917350 SHJ917334:SHJ917350 RXN917334:RXN917350 RNR917334:RNR917350 RDV917334:RDV917350 QTZ917334:QTZ917350 QKD917334:QKD917350 QAH917334:QAH917350 PQL917334:PQL917350 PGP917334:PGP917350 OWT917334:OWT917350 OMX917334:OMX917350 ODB917334:ODB917350 NTF917334:NTF917350 NJJ917334:NJJ917350 MZN917334:MZN917350 MPR917334:MPR917350 MFV917334:MFV917350 LVZ917334:LVZ917350 LMD917334:LMD917350 LCH917334:LCH917350 KSL917334:KSL917350 KIP917334:KIP917350 JYT917334:JYT917350 JOX917334:JOX917350 JFB917334:JFB917350 IVF917334:IVF917350 ILJ917334:ILJ917350 IBN917334:IBN917350 HRR917334:HRR917350 HHV917334:HHV917350 GXZ917334:GXZ917350 GOD917334:GOD917350 GEH917334:GEH917350 FUL917334:FUL917350 FKP917334:FKP917350 FAT917334:FAT917350 EQX917334:EQX917350 EHB917334:EHB917350 DXF917334:DXF917350 DNJ917334:DNJ917350 DDN917334:DDN917350 CTR917334:CTR917350 CJV917334:CJV917350 BZZ917334:BZZ917350 BQD917334:BQD917350 BGH917334:BGH917350 AWL917334:AWL917350 AMP917334:AMP917350 ACT917334:ACT917350 SX917334:SX917350 JB917334:JB917350 F917334:F917350 WVN851798:WVN851814 WLR851798:WLR851814 WBV851798:WBV851814 VRZ851798:VRZ851814 VID851798:VID851814 UYH851798:UYH851814 UOL851798:UOL851814 UEP851798:UEP851814 TUT851798:TUT851814 TKX851798:TKX851814 TBB851798:TBB851814 SRF851798:SRF851814 SHJ851798:SHJ851814 RXN851798:RXN851814 RNR851798:RNR851814 RDV851798:RDV851814 QTZ851798:QTZ851814 QKD851798:QKD851814 QAH851798:QAH851814 PQL851798:PQL851814 PGP851798:PGP851814 OWT851798:OWT851814 OMX851798:OMX851814 ODB851798:ODB851814 NTF851798:NTF851814 NJJ851798:NJJ851814 MZN851798:MZN851814 MPR851798:MPR851814 MFV851798:MFV851814 LVZ851798:LVZ851814 LMD851798:LMD851814 LCH851798:LCH851814 KSL851798:KSL851814 KIP851798:KIP851814 JYT851798:JYT851814 JOX851798:JOX851814 JFB851798:JFB851814 IVF851798:IVF851814 ILJ851798:ILJ851814 IBN851798:IBN851814 HRR851798:HRR851814 HHV851798:HHV851814 GXZ851798:GXZ851814 GOD851798:GOD851814 GEH851798:GEH851814 FUL851798:FUL851814 FKP851798:FKP851814 FAT851798:FAT851814 EQX851798:EQX851814 EHB851798:EHB851814 DXF851798:DXF851814 DNJ851798:DNJ851814 DDN851798:DDN851814 CTR851798:CTR851814 CJV851798:CJV851814 BZZ851798:BZZ851814 BQD851798:BQD851814 BGH851798:BGH851814 AWL851798:AWL851814 AMP851798:AMP851814 ACT851798:ACT851814 SX851798:SX851814 JB851798:JB851814 F851798:F851814 WVN786262:WVN786278 WLR786262:WLR786278 WBV786262:WBV786278 VRZ786262:VRZ786278 VID786262:VID786278 UYH786262:UYH786278 UOL786262:UOL786278 UEP786262:UEP786278 TUT786262:TUT786278 TKX786262:TKX786278 TBB786262:TBB786278 SRF786262:SRF786278 SHJ786262:SHJ786278 RXN786262:RXN786278 RNR786262:RNR786278 RDV786262:RDV786278 QTZ786262:QTZ786278 QKD786262:QKD786278 QAH786262:QAH786278 PQL786262:PQL786278 PGP786262:PGP786278 OWT786262:OWT786278 OMX786262:OMX786278 ODB786262:ODB786278 NTF786262:NTF786278 NJJ786262:NJJ786278 MZN786262:MZN786278 MPR786262:MPR786278 MFV786262:MFV786278 LVZ786262:LVZ786278 LMD786262:LMD786278 LCH786262:LCH786278 KSL786262:KSL786278 KIP786262:KIP786278 JYT786262:JYT786278 JOX786262:JOX786278 JFB786262:JFB786278 IVF786262:IVF786278 ILJ786262:ILJ786278 IBN786262:IBN786278 HRR786262:HRR786278 HHV786262:HHV786278 GXZ786262:GXZ786278 GOD786262:GOD786278 GEH786262:GEH786278 FUL786262:FUL786278 FKP786262:FKP786278 FAT786262:FAT786278 EQX786262:EQX786278 EHB786262:EHB786278 DXF786262:DXF786278 DNJ786262:DNJ786278 DDN786262:DDN786278 CTR786262:CTR786278 CJV786262:CJV786278 BZZ786262:BZZ786278 BQD786262:BQD786278 BGH786262:BGH786278 AWL786262:AWL786278 AMP786262:AMP786278 ACT786262:ACT786278 SX786262:SX786278 JB786262:JB786278 F786262:F786278 WVN720726:WVN720742 WLR720726:WLR720742 WBV720726:WBV720742 VRZ720726:VRZ720742 VID720726:VID720742 UYH720726:UYH720742 UOL720726:UOL720742 UEP720726:UEP720742 TUT720726:TUT720742 TKX720726:TKX720742 TBB720726:TBB720742 SRF720726:SRF720742 SHJ720726:SHJ720742 RXN720726:RXN720742 RNR720726:RNR720742 RDV720726:RDV720742 QTZ720726:QTZ720742 QKD720726:QKD720742 QAH720726:QAH720742 PQL720726:PQL720742 PGP720726:PGP720742 OWT720726:OWT720742 OMX720726:OMX720742 ODB720726:ODB720742 NTF720726:NTF720742 NJJ720726:NJJ720742 MZN720726:MZN720742 MPR720726:MPR720742 MFV720726:MFV720742 LVZ720726:LVZ720742 LMD720726:LMD720742 LCH720726:LCH720742 KSL720726:KSL720742 KIP720726:KIP720742 JYT720726:JYT720742 JOX720726:JOX720742 JFB720726:JFB720742 IVF720726:IVF720742 ILJ720726:ILJ720742 IBN720726:IBN720742 HRR720726:HRR720742 HHV720726:HHV720742 GXZ720726:GXZ720742 GOD720726:GOD720742 GEH720726:GEH720742 FUL720726:FUL720742 FKP720726:FKP720742 FAT720726:FAT720742 EQX720726:EQX720742 EHB720726:EHB720742 DXF720726:DXF720742 DNJ720726:DNJ720742 DDN720726:DDN720742 CTR720726:CTR720742 CJV720726:CJV720742 BZZ720726:BZZ720742 BQD720726:BQD720742 BGH720726:BGH720742 AWL720726:AWL720742 AMP720726:AMP720742 ACT720726:ACT720742 SX720726:SX720742 JB720726:JB720742 F720726:F720742 WVN655190:WVN655206 WLR655190:WLR655206 WBV655190:WBV655206 VRZ655190:VRZ655206 VID655190:VID655206 UYH655190:UYH655206 UOL655190:UOL655206 UEP655190:UEP655206 TUT655190:TUT655206 TKX655190:TKX655206 TBB655190:TBB655206 SRF655190:SRF655206 SHJ655190:SHJ655206 RXN655190:RXN655206 RNR655190:RNR655206 RDV655190:RDV655206 QTZ655190:QTZ655206 QKD655190:QKD655206 QAH655190:QAH655206 PQL655190:PQL655206 PGP655190:PGP655206 OWT655190:OWT655206 OMX655190:OMX655206 ODB655190:ODB655206 NTF655190:NTF655206 NJJ655190:NJJ655206 MZN655190:MZN655206 MPR655190:MPR655206 MFV655190:MFV655206 LVZ655190:LVZ655206 LMD655190:LMD655206 LCH655190:LCH655206 KSL655190:KSL655206 KIP655190:KIP655206 JYT655190:JYT655206 JOX655190:JOX655206 JFB655190:JFB655206 IVF655190:IVF655206 ILJ655190:ILJ655206 IBN655190:IBN655206 HRR655190:HRR655206 HHV655190:HHV655206 GXZ655190:GXZ655206 GOD655190:GOD655206 GEH655190:GEH655206 FUL655190:FUL655206 FKP655190:FKP655206 FAT655190:FAT655206 EQX655190:EQX655206 EHB655190:EHB655206 DXF655190:DXF655206 DNJ655190:DNJ655206 DDN655190:DDN655206 CTR655190:CTR655206 CJV655190:CJV655206 BZZ655190:BZZ655206 BQD655190:BQD655206 BGH655190:BGH655206 AWL655190:AWL655206 AMP655190:AMP655206 ACT655190:ACT655206 SX655190:SX655206 JB655190:JB655206 F655190:F655206 WVN589654:WVN589670 WLR589654:WLR589670 WBV589654:WBV589670 VRZ589654:VRZ589670 VID589654:VID589670 UYH589654:UYH589670 UOL589654:UOL589670 UEP589654:UEP589670 TUT589654:TUT589670 TKX589654:TKX589670 TBB589654:TBB589670 SRF589654:SRF589670 SHJ589654:SHJ589670 RXN589654:RXN589670 RNR589654:RNR589670 RDV589654:RDV589670 QTZ589654:QTZ589670 QKD589654:QKD589670 QAH589654:QAH589670 PQL589654:PQL589670 PGP589654:PGP589670 OWT589654:OWT589670 OMX589654:OMX589670 ODB589654:ODB589670 NTF589654:NTF589670 NJJ589654:NJJ589670 MZN589654:MZN589670 MPR589654:MPR589670 MFV589654:MFV589670 LVZ589654:LVZ589670 LMD589654:LMD589670 LCH589654:LCH589670 KSL589654:KSL589670 KIP589654:KIP589670 JYT589654:JYT589670 JOX589654:JOX589670 JFB589654:JFB589670 IVF589654:IVF589670 ILJ589654:ILJ589670 IBN589654:IBN589670 HRR589654:HRR589670 HHV589654:HHV589670 GXZ589654:GXZ589670 GOD589654:GOD589670 GEH589654:GEH589670 FUL589654:FUL589670 FKP589654:FKP589670 FAT589654:FAT589670 EQX589654:EQX589670 EHB589654:EHB589670 DXF589654:DXF589670 DNJ589654:DNJ589670 DDN589654:DDN589670 CTR589654:CTR589670 CJV589654:CJV589670 BZZ589654:BZZ589670 BQD589654:BQD589670 BGH589654:BGH589670 AWL589654:AWL589670 AMP589654:AMP589670 ACT589654:ACT589670 SX589654:SX589670 JB589654:JB589670 F589654:F589670 WVN524118:WVN524134 WLR524118:WLR524134 WBV524118:WBV524134 VRZ524118:VRZ524134 VID524118:VID524134 UYH524118:UYH524134 UOL524118:UOL524134 UEP524118:UEP524134 TUT524118:TUT524134 TKX524118:TKX524134 TBB524118:TBB524134 SRF524118:SRF524134 SHJ524118:SHJ524134 RXN524118:RXN524134 RNR524118:RNR524134 RDV524118:RDV524134 QTZ524118:QTZ524134 QKD524118:QKD524134 QAH524118:QAH524134 PQL524118:PQL524134 PGP524118:PGP524134 OWT524118:OWT524134 OMX524118:OMX524134 ODB524118:ODB524134 NTF524118:NTF524134 NJJ524118:NJJ524134 MZN524118:MZN524134 MPR524118:MPR524134 MFV524118:MFV524134 LVZ524118:LVZ524134 LMD524118:LMD524134 LCH524118:LCH524134 KSL524118:KSL524134 KIP524118:KIP524134 JYT524118:JYT524134 JOX524118:JOX524134 JFB524118:JFB524134 IVF524118:IVF524134 ILJ524118:ILJ524134 IBN524118:IBN524134 HRR524118:HRR524134 HHV524118:HHV524134 GXZ524118:GXZ524134 GOD524118:GOD524134 GEH524118:GEH524134 FUL524118:FUL524134 FKP524118:FKP524134 FAT524118:FAT524134 EQX524118:EQX524134 EHB524118:EHB524134 DXF524118:DXF524134 DNJ524118:DNJ524134 DDN524118:DDN524134 CTR524118:CTR524134 CJV524118:CJV524134 BZZ524118:BZZ524134 BQD524118:BQD524134 BGH524118:BGH524134 AWL524118:AWL524134 AMP524118:AMP524134 ACT524118:ACT524134 SX524118:SX524134 JB524118:JB524134 F524118:F524134 WVN458582:WVN458598 WLR458582:WLR458598 WBV458582:WBV458598 VRZ458582:VRZ458598 VID458582:VID458598 UYH458582:UYH458598 UOL458582:UOL458598 UEP458582:UEP458598 TUT458582:TUT458598 TKX458582:TKX458598 TBB458582:TBB458598 SRF458582:SRF458598 SHJ458582:SHJ458598 RXN458582:RXN458598 RNR458582:RNR458598 RDV458582:RDV458598 QTZ458582:QTZ458598 QKD458582:QKD458598 QAH458582:QAH458598 PQL458582:PQL458598 PGP458582:PGP458598 OWT458582:OWT458598 OMX458582:OMX458598 ODB458582:ODB458598 NTF458582:NTF458598 NJJ458582:NJJ458598 MZN458582:MZN458598 MPR458582:MPR458598 MFV458582:MFV458598 LVZ458582:LVZ458598 LMD458582:LMD458598 LCH458582:LCH458598 KSL458582:KSL458598 KIP458582:KIP458598 JYT458582:JYT458598 JOX458582:JOX458598 JFB458582:JFB458598 IVF458582:IVF458598 ILJ458582:ILJ458598 IBN458582:IBN458598 HRR458582:HRR458598 HHV458582:HHV458598 GXZ458582:GXZ458598 GOD458582:GOD458598 GEH458582:GEH458598 FUL458582:FUL458598 FKP458582:FKP458598 FAT458582:FAT458598 EQX458582:EQX458598 EHB458582:EHB458598 DXF458582:DXF458598 DNJ458582:DNJ458598 DDN458582:DDN458598 CTR458582:CTR458598 CJV458582:CJV458598 BZZ458582:BZZ458598 BQD458582:BQD458598 BGH458582:BGH458598 AWL458582:AWL458598 AMP458582:AMP458598 ACT458582:ACT458598 SX458582:SX458598 JB458582:JB458598 F458582:F458598 WVN393046:WVN393062 WLR393046:WLR393062 WBV393046:WBV393062 VRZ393046:VRZ393062 VID393046:VID393062 UYH393046:UYH393062 UOL393046:UOL393062 UEP393046:UEP393062 TUT393046:TUT393062 TKX393046:TKX393062 TBB393046:TBB393062 SRF393046:SRF393062 SHJ393046:SHJ393062 RXN393046:RXN393062 RNR393046:RNR393062 RDV393046:RDV393062 QTZ393046:QTZ393062 QKD393046:QKD393062 QAH393046:QAH393062 PQL393046:PQL393062 PGP393046:PGP393062 OWT393046:OWT393062 OMX393046:OMX393062 ODB393046:ODB393062 NTF393046:NTF393062 NJJ393046:NJJ393062 MZN393046:MZN393062 MPR393046:MPR393062 MFV393046:MFV393062 LVZ393046:LVZ393062 LMD393046:LMD393062 LCH393046:LCH393062 KSL393046:KSL393062 KIP393046:KIP393062 JYT393046:JYT393062 JOX393046:JOX393062 JFB393046:JFB393062 IVF393046:IVF393062 ILJ393046:ILJ393062 IBN393046:IBN393062 HRR393046:HRR393062 HHV393046:HHV393062 GXZ393046:GXZ393062 GOD393046:GOD393062 GEH393046:GEH393062 FUL393046:FUL393062 FKP393046:FKP393062 FAT393046:FAT393062 EQX393046:EQX393062 EHB393046:EHB393062 DXF393046:DXF393062 DNJ393046:DNJ393062 DDN393046:DDN393062 CTR393046:CTR393062 CJV393046:CJV393062 BZZ393046:BZZ393062 BQD393046:BQD393062 BGH393046:BGH393062 AWL393046:AWL393062 AMP393046:AMP393062 ACT393046:ACT393062 SX393046:SX393062 JB393046:JB393062 F393046:F393062 WVN327510:WVN327526 WLR327510:WLR327526 WBV327510:WBV327526 VRZ327510:VRZ327526 VID327510:VID327526 UYH327510:UYH327526 UOL327510:UOL327526 UEP327510:UEP327526 TUT327510:TUT327526 TKX327510:TKX327526 TBB327510:TBB327526 SRF327510:SRF327526 SHJ327510:SHJ327526 RXN327510:RXN327526 RNR327510:RNR327526 RDV327510:RDV327526 QTZ327510:QTZ327526 QKD327510:QKD327526 QAH327510:QAH327526 PQL327510:PQL327526 PGP327510:PGP327526 OWT327510:OWT327526 OMX327510:OMX327526 ODB327510:ODB327526 NTF327510:NTF327526 NJJ327510:NJJ327526 MZN327510:MZN327526 MPR327510:MPR327526 MFV327510:MFV327526 LVZ327510:LVZ327526 LMD327510:LMD327526 LCH327510:LCH327526 KSL327510:KSL327526 KIP327510:KIP327526 JYT327510:JYT327526 JOX327510:JOX327526 JFB327510:JFB327526 IVF327510:IVF327526 ILJ327510:ILJ327526 IBN327510:IBN327526 HRR327510:HRR327526 HHV327510:HHV327526 GXZ327510:GXZ327526 GOD327510:GOD327526 GEH327510:GEH327526 FUL327510:FUL327526 FKP327510:FKP327526 FAT327510:FAT327526 EQX327510:EQX327526 EHB327510:EHB327526 DXF327510:DXF327526 DNJ327510:DNJ327526 DDN327510:DDN327526 CTR327510:CTR327526 CJV327510:CJV327526 BZZ327510:BZZ327526 BQD327510:BQD327526 BGH327510:BGH327526 AWL327510:AWL327526 AMP327510:AMP327526 ACT327510:ACT327526 SX327510:SX327526 JB327510:JB327526 F327510:F327526 WVN261974:WVN261990 WLR261974:WLR261990 WBV261974:WBV261990 VRZ261974:VRZ261990 VID261974:VID261990 UYH261974:UYH261990 UOL261974:UOL261990 UEP261974:UEP261990 TUT261974:TUT261990 TKX261974:TKX261990 TBB261974:TBB261990 SRF261974:SRF261990 SHJ261974:SHJ261990 RXN261974:RXN261990 RNR261974:RNR261990 RDV261974:RDV261990 QTZ261974:QTZ261990 QKD261974:QKD261990 QAH261974:QAH261990 PQL261974:PQL261990 PGP261974:PGP261990 OWT261974:OWT261990 OMX261974:OMX261990 ODB261974:ODB261990 NTF261974:NTF261990 NJJ261974:NJJ261990 MZN261974:MZN261990 MPR261974:MPR261990 MFV261974:MFV261990 LVZ261974:LVZ261990 LMD261974:LMD261990 LCH261974:LCH261990 KSL261974:KSL261990 KIP261974:KIP261990 JYT261974:JYT261990 JOX261974:JOX261990 JFB261974:JFB261990 IVF261974:IVF261990 ILJ261974:ILJ261990 IBN261974:IBN261990 HRR261974:HRR261990 HHV261974:HHV261990 GXZ261974:GXZ261990 GOD261974:GOD261990 GEH261974:GEH261990 FUL261974:FUL261990 FKP261974:FKP261990 FAT261974:FAT261990 EQX261974:EQX261990 EHB261974:EHB261990 DXF261974:DXF261990 DNJ261974:DNJ261990 DDN261974:DDN261990 CTR261974:CTR261990 CJV261974:CJV261990 BZZ261974:BZZ261990 BQD261974:BQD261990 BGH261974:BGH261990 AWL261974:AWL261990 AMP261974:AMP261990 ACT261974:ACT261990 SX261974:SX261990 JB261974:JB261990 F261974:F261990 WVN196438:WVN196454 WLR196438:WLR196454 WBV196438:WBV196454 VRZ196438:VRZ196454 VID196438:VID196454 UYH196438:UYH196454 UOL196438:UOL196454 UEP196438:UEP196454 TUT196438:TUT196454 TKX196438:TKX196454 TBB196438:TBB196454 SRF196438:SRF196454 SHJ196438:SHJ196454 RXN196438:RXN196454 RNR196438:RNR196454 RDV196438:RDV196454 QTZ196438:QTZ196454 QKD196438:QKD196454 QAH196438:QAH196454 PQL196438:PQL196454 PGP196438:PGP196454 OWT196438:OWT196454 OMX196438:OMX196454 ODB196438:ODB196454 NTF196438:NTF196454 NJJ196438:NJJ196454 MZN196438:MZN196454 MPR196438:MPR196454 MFV196438:MFV196454 LVZ196438:LVZ196454 LMD196438:LMD196454 LCH196438:LCH196454 KSL196438:KSL196454 KIP196438:KIP196454 JYT196438:JYT196454 JOX196438:JOX196454 JFB196438:JFB196454 IVF196438:IVF196454 ILJ196438:ILJ196454 IBN196438:IBN196454 HRR196438:HRR196454 HHV196438:HHV196454 GXZ196438:GXZ196454 GOD196438:GOD196454 GEH196438:GEH196454 FUL196438:FUL196454 FKP196438:FKP196454 FAT196438:FAT196454 EQX196438:EQX196454 EHB196438:EHB196454 DXF196438:DXF196454 DNJ196438:DNJ196454 DDN196438:DDN196454 CTR196438:CTR196454 CJV196438:CJV196454 BZZ196438:BZZ196454 BQD196438:BQD196454 BGH196438:BGH196454 AWL196438:AWL196454 AMP196438:AMP196454 ACT196438:ACT196454 SX196438:SX196454 JB196438:JB196454 F196438:F196454 WVN130902:WVN130918 WLR130902:WLR130918 WBV130902:WBV130918 VRZ130902:VRZ130918 VID130902:VID130918 UYH130902:UYH130918 UOL130902:UOL130918 UEP130902:UEP130918 TUT130902:TUT130918 TKX130902:TKX130918 TBB130902:TBB130918 SRF130902:SRF130918 SHJ130902:SHJ130918 RXN130902:RXN130918 RNR130902:RNR130918 RDV130902:RDV130918 QTZ130902:QTZ130918 QKD130902:QKD130918 QAH130902:QAH130918 PQL130902:PQL130918 PGP130902:PGP130918 OWT130902:OWT130918 OMX130902:OMX130918 ODB130902:ODB130918 NTF130902:NTF130918 NJJ130902:NJJ130918 MZN130902:MZN130918 MPR130902:MPR130918 MFV130902:MFV130918 LVZ130902:LVZ130918 LMD130902:LMD130918 LCH130902:LCH130918 KSL130902:KSL130918 KIP130902:KIP130918 JYT130902:JYT130918 JOX130902:JOX130918 JFB130902:JFB130918 IVF130902:IVF130918 ILJ130902:ILJ130918 IBN130902:IBN130918 HRR130902:HRR130918 HHV130902:HHV130918 GXZ130902:GXZ130918 GOD130902:GOD130918 GEH130902:GEH130918 FUL130902:FUL130918 FKP130902:FKP130918 FAT130902:FAT130918 EQX130902:EQX130918 EHB130902:EHB130918 DXF130902:DXF130918 DNJ130902:DNJ130918 DDN130902:DDN130918 CTR130902:CTR130918 CJV130902:CJV130918 BZZ130902:BZZ130918 BQD130902:BQD130918 BGH130902:BGH130918 AWL130902:AWL130918 AMP130902:AMP130918 ACT130902:ACT130918 SX130902:SX130918 JB130902:JB130918 F130902:F130918 WVN65366:WVN65382 WLR65366:WLR65382 WBV65366:WBV65382 VRZ65366:VRZ65382 VID65366:VID65382 UYH65366:UYH65382 UOL65366:UOL65382 UEP65366:UEP65382 TUT65366:TUT65382 TKX65366:TKX65382 TBB65366:TBB65382 SRF65366:SRF65382 SHJ65366:SHJ65382 RXN65366:RXN65382 RNR65366:RNR65382 RDV65366:RDV65382 QTZ65366:QTZ65382 QKD65366:QKD65382 QAH65366:QAH65382 PQL65366:PQL65382 PGP65366:PGP65382 OWT65366:OWT65382 OMX65366:OMX65382 ODB65366:ODB65382 NTF65366:NTF65382 NJJ65366:NJJ65382 MZN65366:MZN65382 MPR65366:MPR65382 MFV65366:MFV65382 LVZ65366:LVZ65382 LMD65366:LMD65382 LCH65366:LCH65382 KSL65366:KSL65382 KIP65366:KIP65382 JYT65366:JYT65382 JOX65366:JOX65382 JFB65366:JFB65382 IVF65366:IVF65382 ILJ65366:ILJ65382 IBN65366:IBN65382 HRR65366:HRR65382 HHV65366:HHV65382 GXZ65366:GXZ65382 GOD65366:GOD65382 GEH65366:GEH65382 FUL65366:FUL65382 FKP65366:FKP65382 FAT65366:FAT65382 EQX65366:EQX65382 EHB65366:EHB65382 DXF65366:DXF65382 DNJ65366:DNJ65382 DDN65366:DDN65382 CTR65366:CTR65382 CJV65366:CJV65382 BZZ65366:BZZ65382 BQD65366:BQD65382 BGH65366:BGH65382 AWL65366:AWL65382 AMP65366:AMP65382 ACT65366:ACT65382 SX65366:SX65382 JB65366:JB65382 F65366:F65382 WVN982824:WVN982840 WLR982824:WLR982840 WBV982824:WBV982840 VRZ982824:VRZ982840 VID982824:VID982840 UYH982824:UYH982840 UOL982824:UOL982840 UEP982824:UEP982840 TUT982824:TUT982840 TKX982824:TKX982840 TBB982824:TBB982840 SRF982824:SRF982840 SHJ982824:SHJ982840 RXN982824:RXN982840 RNR982824:RNR982840 RDV982824:RDV982840 QTZ982824:QTZ982840 QKD982824:QKD982840 QAH982824:QAH982840 PQL982824:PQL982840 PGP982824:PGP982840 OWT982824:OWT982840 OMX982824:OMX982840 ODB982824:ODB982840 NTF982824:NTF982840 NJJ982824:NJJ982840 MZN982824:MZN982840 MPR982824:MPR982840 MFV982824:MFV982840 LVZ982824:LVZ982840 LMD982824:LMD982840 LCH982824:LCH982840 KSL982824:KSL982840 KIP982824:KIP982840 JYT982824:JYT982840 JOX982824:JOX982840 JFB982824:JFB982840 IVF982824:IVF982840 ILJ982824:ILJ982840 IBN982824:IBN982840 HRR982824:HRR982840 HHV982824:HHV982840 GXZ982824:GXZ982840 GOD982824:GOD982840 GEH982824:GEH982840 FUL982824:FUL982840 FKP982824:FKP982840 FAT982824:FAT982840 EQX982824:EQX982840 EHB982824:EHB982840 DXF982824:DXF982840 DNJ982824:DNJ982840 DDN982824:DDN982840 CTR982824:CTR982840 CJV982824:CJV982840 BZZ982824:BZZ982840 BQD982824:BQD982840 BGH982824:BGH982840 AWL982824:AWL982840 AMP982824:AMP982840 ACT982824:ACT982840 SX982824:SX982840 JB982824:JB982840 F982824:F982840 WVN917288:WVN917304 WLR917288:WLR917304 WBV917288:WBV917304 VRZ917288:VRZ917304 VID917288:VID917304 UYH917288:UYH917304 UOL917288:UOL917304 UEP917288:UEP917304 TUT917288:TUT917304 TKX917288:TKX917304 TBB917288:TBB917304 SRF917288:SRF917304 SHJ917288:SHJ917304 RXN917288:RXN917304 RNR917288:RNR917304 RDV917288:RDV917304 QTZ917288:QTZ917304 QKD917288:QKD917304 QAH917288:QAH917304 PQL917288:PQL917304 PGP917288:PGP917304 OWT917288:OWT917304 OMX917288:OMX917304 ODB917288:ODB917304 NTF917288:NTF917304 NJJ917288:NJJ917304 MZN917288:MZN917304 MPR917288:MPR917304 MFV917288:MFV917304 LVZ917288:LVZ917304 LMD917288:LMD917304 LCH917288:LCH917304 KSL917288:KSL917304 KIP917288:KIP917304 JYT917288:JYT917304 JOX917288:JOX917304 JFB917288:JFB917304 IVF917288:IVF917304 ILJ917288:ILJ917304 IBN917288:IBN917304 HRR917288:HRR917304 HHV917288:HHV917304 GXZ917288:GXZ917304 GOD917288:GOD917304 GEH917288:GEH917304 FUL917288:FUL917304 FKP917288:FKP917304 FAT917288:FAT917304 EQX917288:EQX917304 EHB917288:EHB917304 DXF917288:DXF917304 DNJ917288:DNJ917304 DDN917288:DDN917304 CTR917288:CTR917304 CJV917288:CJV917304 BZZ917288:BZZ917304 BQD917288:BQD917304 BGH917288:BGH917304 AWL917288:AWL917304 AMP917288:AMP917304 ACT917288:ACT917304 SX917288:SX917304 JB917288:JB917304 F917288:F917304 WVN851752:WVN851768 WLR851752:WLR851768 WBV851752:WBV851768 VRZ851752:VRZ851768 VID851752:VID851768 UYH851752:UYH851768 UOL851752:UOL851768 UEP851752:UEP851768 TUT851752:TUT851768 TKX851752:TKX851768 TBB851752:TBB851768 SRF851752:SRF851768 SHJ851752:SHJ851768 RXN851752:RXN851768 RNR851752:RNR851768 RDV851752:RDV851768 QTZ851752:QTZ851768 QKD851752:QKD851768 QAH851752:QAH851768 PQL851752:PQL851768 PGP851752:PGP851768 OWT851752:OWT851768 OMX851752:OMX851768 ODB851752:ODB851768 NTF851752:NTF851768 NJJ851752:NJJ851768 MZN851752:MZN851768 MPR851752:MPR851768 MFV851752:MFV851768 LVZ851752:LVZ851768 LMD851752:LMD851768 LCH851752:LCH851768 KSL851752:KSL851768 KIP851752:KIP851768 JYT851752:JYT851768 JOX851752:JOX851768 JFB851752:JFB851768 IVF851752:IVF851768 ILJ851752:ILJ851768 IBN851752:IBN851768 HRR851752:HRR851768 HHV851752:HHV851768 GXZ851752:GXZ851768 GOD851752:GOD851768 GEH851752:GEH851768 FUL851752:FUL851768 FKP851752:FKP851768 FAT851752:FAT851768 EQX851752:EQX851768 EHB851752:EHB851768 DXF851752:DXF851768 DNJ851752:DNJ851768 DDN851752:DDN851768 CTR851752:CTR851768 CJV851752:CJV851768 BZZ851752:BZZ851768 BQD851752:BQD851768 BGH851752:BGH851768 AWL851752:AWL851768 AMP851752:AMP851768 ACT851752:ACT851768 SX851752:SX851768 JB851752:JB851768 F851752:F851768 WVN786216:WVN786232 WLR786216:WLR786232 WBV786216:WBV786232 VRZ786216:VRZ786232 VID786216:VID786232 UYH786216:UYH786232 UOL786216:UOL786232 UEP786216:UEP786232 TUT786216:TUT786232 TKX786216:TKX786232 TBB786216:TBB786232 SRF786216:SRF786232 SHJ786216:SHJ786232 RXN786216:RXN786232 RNR786216:RNR786232 RDV786216:RDV786232 QTZ786216:QTZ786232 QKD786216:QKD786232 QAH786216:QAH786232 PQL786216:PQL786232 PGP786216:PGP786232 OWT786216:OWT786232 OMX786216:OMX786232 ODB786216:ODB786232 NTF786216:NTF786232 NJJ786216:NJJ786232 MZN786216:MZN786232 MPR786216:MPR786232 MFV786216:MFV786232 LVZ786216:LVZ786232 LMD786216:LMD786232 LCH786216:LCH786232 KSL786216:KSL786232 KIP786216:KIP786232 JYT786216:JYT786232 JOX786216:JOX786232 JFB786216:JFB786232 IVF786216:IVF786232 ILJ786216:ILJ786232 IBN786216:IBN786232 HRR786216:HRR786232 HHV786216:HHV786232 GXZ786216:GXZ786232 GOD786216:GOD786232 GEH786216:GEH786232 FUL786216:FUL786232 FKP786216:FKP786232 FAT786216:FAT786232 EQX786216:EQX786232 EHB786216:EHB786232 DXF786216:DXF786232 DNJ786216:DNJ786232 DDN786216:DDN786232 CTR786216:CTR786232 CJV786216:CJV786232 BZZ786216:BZZ786232 BQD786216:BQD786232 BGH786216:BGH786232 AWL786216:AWL786232 AMP786216:AMP786232 ACT786216:ACT786232 SX786216:SX786232 JB786216:JB786232 F786216:F786232 WVN720680:WVN720696 WLR720680:WLR720696 WBV720680:WBV720696 VRZ720680:VRZ720696 VID720680:VID720696 UYH720680:UYH720696 UOL720680:UOL720696 UEP720680:UEP720696 TUT720680:TUT720696 TKX720680:TKX720696 TBB720680:TBB720696 SRF720680:SRF720696 SHJ720680:SHJ720696 RXN720680:RXN720696 RNR720680:RNR720696 RDV720680:RDV720696 QTZ720680:QTZ720696 QKD720680:QKD720696 QAH720680:QAH720696 PQL720680:PQL720696 PGP720680:PGP720696 OWT720680:OWT720696 OMX720680:OMX720696 ODB720680:ODB720696 NTF720680:NTF720696 NJJ720680:NJJ720696 MZN720680:MZN720696 MPR720680:MPR720696 MFV720680:MFV720696 LVZ720680:LVZ720696 LMD720680:LMD720696 LCH720680:LCH720696 KSL720680:KSL720696 KIP720680:KIP720696 JYT720680:JYT720696 JOX720680:JOX720696 JFB720680:JFB720696 IVF720680:IVF720696 ILJ720680:ILJ720696 IBN720680:IBN720696 HRR720680:HRR720696 HHV720680:HHV720696 GXZ720680:GXZ720696 GOD720680:GOD720696 GEH720680:GEH720696 FUL720680:FUL720696 FKP720680:FKP720696 FAT720680:FAT720696 EQX720680:EQX720696 EHB720680:EHB720696 DXF720680:DXF720696 DNJ720680:DNJ720696 DDN720680:DDN720696 CTR720680:CTR720696 CJV720680:CJV720696 BZZ720680:BZZ720696 BQD720680:BQD720696 BGH720680:BGH720696 AWL720680:AWL720696 AMP720680:AMP720696 ACT720680:ACT720696 SX720680:SX720696 JB720680:JB720696 F720680:F720696 WVN655144:WVN655160 WLR655144:WLR655160 WBV655144:WBV655160 VRZ655144:VRZ655160 VID655144:VID655160 UYH655144:UYH655160 UOL655144:UOL655160 UEP655144:UEP655160 TUT655144:TUT655160 TKX655144:TKX655160 TBB655144:TBB655160 SRF655144:SRF655160 SHJ655144:SHJ655160 RXN655144:RXN655160 RNR655144:RNR655160 RDV655144:RDV655160 QTZ655144:QTZ655160 QKD655144:QKD655160 QAH655144:QAH655160 PQL655144:PQL655160 PGP655144:PGP655160 OWT655144:OWT655160 OMX655144:OMX655160 ODB655144:ODB655160 NTF655144:NTF655160 NJJ655144:NJJ655160 MZN655144:MZN655160 MPR655144:MPR655160 MFV655144:MFV655160 LVZ655144:LVZ655160 LMD655144:LMD655160 LCH655144:LCH655160 KSL655144:KSL655160 KIP655144:KIP655160 JYT655144:JYT655160 JOX655144:JOX655160 JFB655144:JFB655160 IVF655144:IVF655160 ILJ655144:ILJ655160 IBN655144:IBN655160 HRR655144:HRR655160 HHV655144:HHV655160 GXZ655144:GXZ655160 GOD655144:GOD655160 GEH655144:GEH655160 FUL655144:FUL655160 FKP655144:FKP655160 FAT655144:FAT655160 EQX655144:EQX655160 EHB655144:EHB655160 DXF655144:DXF655160 DNJ655144:DNJ655160 DDN655144:DDN655160 CTR655144:CTR655160 CJV655144:CJV655160 BZZ655144:BZZ655160 BQD655144:BQD655160 BGH655144:BGH655160 AWL655144:AWL655160 AMP655144:AMP655160 ACT655144:ACT655160 SX655144:SX655160 JB655144:JB655160 F655144:F655160 WVN589608:WVN589624 WLR589608:WLR589624 WBV589608:WBV589624 VRZ589608:VRZ589624 VID589608:VID589624 UYH589608:UYH589624 UOL589608:UOL589624 UEP589608:UEP589624 TUT589608:TUT589624 TKX589608:TKX589624 TBB589608:TBB589624 SRF589608:SRF589624 SHJ589608:SHJ589624 RXN589608:RXN589624 RNR589608:RNR589624 RDV589608:RDV589624 QTZ589608:QTZ589624 QKD589608:QKD589624 QAH589608:QAH589624 PQL589608:PQL589624 PGP589608:PGP589624 OWT589608:OWT589624 OMX589608:OMX589624 ODB589608:ODB589624 NTF589608:NTF589624 NJJ589608:NJJ589624 MZN589608:MZN589624 MPR589608:MPR589624 MFV589608:MFV589624 LVZ589608:LVZ589624 LMD589608:LMD589624 LCH589608:LCH589624 KSL589608:KSL589624 KIP589608:KIP589624 JYT589608:JYT589624 JOX589608:JOX589624 JFB589608:JFB589624 IVF589608:IVF589624 ILJ589608:ILJ589624 IBN589608:IBN589624 HRR589608:HRR589624 HHV589608:HHV589624 GXZ589608:GXZ589624 GOD589608:GOD589624 GEH589608:GEH589624 FUL589608:FUL589624 FKP589608:FKP589624 FAT589608:FAT589624 EQX589608:EQX589624 EHB589608:EHB589624 DXF589608:DXF589624 DNJ589608:DNJ589624 DDN589608:DDN589624 CTR589608:CTR589624 CJV589608:CJV589624 BZZ589608:BZZ589624 BQD589608:BQD589624 BGH589608:BGH589624 AWL589608:AWL589624 AMP589608:AMP589624 ACT589608:ACT589624 SX589608:SX589624 JB589608:JB589624 F589608:F589624 WVN524072:WVN524088 WLR524072:WLR524088 WBV524072:WBV524088 VRZ524072:VRZ524088 VID524072:VID524088 UYH524072:UYH524088 UOL524072:UOL524088 UEP524072:UEP524088 TUT524072:TUT524088 TKX524072:TKX524088 TBB524072:TBB524088 SRF524072:SRF524088 SHJ524072:SHJ524088 RXN524072:RXN524088 RNR524072:RNR524088 RDV524072:RDV524088 QTZ524072:QTZ524088 QKD524072:QKD524088 QAH524072:QAH524088 PQL524072:PQL524088 PGP524072:PGP524088 OWT524072:OWT524088 OMX524072:OMX524088 ODB524072:ODB524088 NTF524072:NTF524088 NJJ524072:NJJ524088 MZN524072:MZN524088 MPR524072:MPR524088 MFV524072:MFV524088 LVZ524072:LVZ524088 LMD524072:LMD524088 LCH524072:LCH524088 KSL524072:KSL524088 KIP524072:KIP524088 JYT524072:JYT524088 JOX524072:JOX524088 JFB524072:JFB524088 IVF524072:IVF524088 ILJ524072:ILJ524088 IBN524072:IBN524088 HRR524072:HRR524088 HHV524072:HHV524088 GXZ524072:GXZ524088 GOD524072:GOD524088 GEH524072:GEH524088 FUL524072:FUL524088 FKP524072:FKP524088 FAT524072:FAT524088 EQX524072:EQX524088 EHB524072:EHB524088 DXF524072:DXF524088 DNJ524072:DNJ524088 DDN524072:DDN524088 CTR524072:CTR524088 CJV524072:CJV524088 BZZ524072:BZZ524088 BQD524072:BQD524088 BGH524072:BGH524088 AWL524072:AWL524088 AMP524072:AMP524088 ACT524072:ACT524088 SX524072:SX524088 JB524072:JB524088 F524072:F524088 WVN458536:WVN458552 WLR458536:WLR458552 WBV458536:WBV458552 VRZ458536:VRZ458552 VID458536:VID458552 UYH458536:UYH458552 UOL458536:UOL458552 UEP458536:UEP458552 TUT458536:TUT458552 TKX458536:TKX458552 TBB458536:TBB458552 SRF458536:SRF458552 SHJ458536:SHJ458552 RXN458536:RXN458552 RNR458536:RNR458552 RDV458536:RDV458552 QTZ458536:QTZ458552 QKD458536:QKD458552 QAH458536:QAH458552 PQL458536:PQL458552 PGP458536:PGP458552 OWT458536:OWT458552 OMX458536:OMX458552 ODB458536:ODB458552 NTF458536:NTF458552 NJJ458536:NJJ458552 MZN458536:MZN458552 MPR458536:MPR458552 MFV458536:MFV458552 LVZ458536:LVZ458552 LMD458536:LMD458552 LCH458536:LCH458552 KSL458536:KSL458552 KIP458536:KIP458552 JYT458536:JYT458552 JOX458536:JOX458552 JFB458536:JFB458552 IVF458536:IVF458552 ILJ458536:ILJ458552 IBN458536:IBN458552 HRR458536:HRR458552 HHV458536:HHV458552 GXZ458536:GXZ458552 GOD458536:GOD458552 GEH458536:GEH458552 FUL458536:FUL458552 FKP458536:FKP458552 FAT458536:FAT458552 EQX458536:EQX458552 EHB458536:EHB458552 DXF458536:DXF458552 DNJ458536:DNJ458552 DDN458536:DDN458552 CTR458536:CTR458552 CJV458536:CJV458552 BZZ458536:BZZ458552 BQD458536:BQD458552 BGH458536:BGH458552 AWL458536:AWL458552 AMP458536:AMP458552 ACT458536:ACT458552 SX458536:SX458552 JB458536:JB458552 F458536:F458552 WVN393000:WVN393016 WLR393000:WLR393016 WBV393000:WBV393016 VRZ393000:VRZ393016 VID393000:VID393016 UYH393000:UYH393016 UOL393000:UOL393016 UEP393000:UEP393016 TUT393000:TUT393016 TKX393000:TKX393016 TBB393000:TBB393016 SRF393000:SRF393016 SHJ393000:SHJ393016 RXN393000:RXN393016 RNR393000:RNR393016 RDV393000:RDV393016 QTZ393000:QTZ393016 QKD393000:QKD393016 QAH393000:QAH393016 PQL393000:PQL393016 PGP393000:PGP393016 OWT393000:OWT393016 OMX393000:OMX393016 ODB393000:ODB393016 NTF393000:NTF393016 NJJ393000:NJJ393016 MZN393000:MZN393016 MPR393000:MPR393016 MFV393000:MFV393016 LVZ393000:LVZ393016 LMD393000:LMD393016 LCH393000:LCH393016 KSL393000:KSL393016 KIP393000:KIP393016 JYT393000:JYT393016 JOX393000:JOX393016 JFB393000:JFB393016 IVF393000:IVF393016 ILJ393000:ILJ393016 IBN393000:IBN393016 HRR393000:HRR393016 HHV393000:HHV393016 GXZ393000:GXZ393016 GOD393000:GOD393016 GEH393000:GEH393016 FUL393000:FUL393016 FKP393000:FKP393016 FAT393000:FAT393016 EQX393000:EQX393016 EHB393000:EHB393016 DXF393000:DXF393016 DNJ393000:DNJ393016 DDN393000:DDN393016 CTR393000:CTR393016 CJV393000:CJV393016 BZZ393000:BZZ393016 BQD393000:BQD393016 BGH393000:BGH393016 AWL393000:AWL393016 AMP393000:AMP393016 ACT393000:ACT393016 SX393000:SX393016 JB393000:JB393016 F393000:F393016 WVN327464:WVN327480 WLR327464:WLR327480 WBV327464:WBV327480 VRZ327464:VRZ327480 VID327464:VID327480 UYH327464:UYH327480 UOL327464:UOL327480 UEP327464:UEP327480 TUT327464:TUT327480 TKX327464:TKX327480 TBB327464:TBB327480 SRF327464:SRF327480 SHJ327464:SHJ327480 RXN327464:RXN327480 RNR327464:RNR327480 RDV327464:RDV327480 QTZ327464:QTZ327480 QKD327464:QKD327480 QAH327464:QAH327480 PQL327464:PQL327480 PGP327464:PGP327480 OWT327464:OWT327480 OMX327464:OMX327480 ODB327464:ODB327480 NTF327464:NTF327480 NJJ327464:NJJ327480 MZN327464:MZN327480 MPR327464:MPR327480 MFV327464:MFV327480 LVZ327464:LVZ327480 LMD327464:LMD327480 LCH327464:LCH327480 KSL327464:KSL327480 KIP327464:KIP327480 JYT327464:JYT327480 JOX327464:JOX327480 JFB327464:JFB327480 IVF327464:IVF327480 ILJ327464:ILJ327480 IBN327464:IBN327480 HRR327464:HRR327480 HHV327464:HHV327480 GXZ327464:GXZ327480 GOD327464:GOD327480 GEH327464:GEH327480 FUL327464:FUL327480 FKP327464:FKP327480 FAT327464:FAT327480 EQX327464:EQX327480 EHB327464:EHB327480 DXF327464:DXF327480 DNJ327464:DNJ327480 DDN327464:DDN327480 CTR327464:CTR327480 CJV327464:CJV327480 BZZ327464:BZZ327480 BQD327464:BQD327480 BGH327464:BGH327480 AWL327464:AWL327480 AMP327464:AMP327480 ACT327464:ACT327480 SX327464:SX327480 JB327464:JB327480 F327464:F327480 WVN261928:WVN261944 WLR261928:WLR261944 WBV261928:WBV261944 VRZ261928:VRZ261944 VID261928:VID261944 UYH261928:UYH261944 UOL261928:UOL261944 UEP261928:UEP261944 TUT261928:TUT261944 TKX261928:TKX261944 TBB261928:TBB261944 SRF261928:SRF261944 SHJ261928:SHJ261944 RXN261928:RXN261944 RNR261928:RNR261944 RDV261928:RDV261944 QTZ261928:QTZ261944 QKD261928:QKD261944 QAH261928:QAH261944 PQL261928:PQL261944 PGP261928:PGP261944 OWT261928:OWT261944 OMX261928:OMX261944 ODB261928:ODB261944 NTF261928:NTF261944 NJJ261928:NJJ261944 MZN261928:MZN261944 MPR261928:MPR261944 MFV261928:MFV261944 LVZ261928:LVZ261944 LMD261928:LMD261944 LCH261928:LCH261944 KSL261928:KSL261944 KIP261928:KIP261944 JYT261928:JYT261944 JOX261928:JOX261944 JFB261928:JFB261944 IVF261928:IVF261944 ILJ261928:ILJ261944 IBN261928:IBN261944 HRR261928:HRR261944 HHV261928:HHV261944 GXZ261928:GXZ261944 GOD261928:GOD261944 GEH261928:GEH261944 FUL261928:FUL261944 FKP261928:FKP261944 FAT261928:FAT261944 EQX261928:EQX261944 EHB261928:EHB261944 DXF261928:DXF261944 DNJ261928:DNJ261944 DDN261928:DDN261944 CTR261928:CTR261944 CJV261928:CJV261944 BZZ261928:BZZ261944 BQD261928:BQD261944 BGH261928:BGH261944 AWL261928:AWL261944 AMP261928:AMP261944 ACT261928:ACT261944 SX261928:SX261944 JB261928:JB261944 F261928:F261944 WVN196392:WVN196408 WLR196392:WLR196408 WBV196392:WBV196408 VRZ196392:VRZ196408 VID196392:VID196408 UYH196392:UYH196408 UOL196392:UOL196408 UEP196392:UEP196408 TUT196392:TUT196408 TKX196392:TKX196408 TBB196392:TBB196408 SRF196392:SRF196408 SHJ196392:SHJ196408 RXN196392:RXN196408 RNR196392:RNR196408 RDV196392:RDV196408 QTZ196392:QTZ196408 QKD196392:QKD196408 QAH196392:QAH196408 PQL196392:PQL196408 PGP196392:PGP196408 OWT196392:OWT196408 OMX196392:OMX196408 ODB196392:ODB196408 NTF196392:NTF196408 NJJ196392:NJJ196408 MZN196392:MZN196408 MPR196392:MPR196408 MFV196392:MFV196408 LVZ196392:LVZ196408 LMD196392:LMD196408 LCH196392:LCH196408 KSL196392:KSL196408 KIP196392:KIP196408 JYT196392:JYT196408 JOX196392:JOX196408 JFB196392:JFB196408 IVF196392:IVF196408 ILJ196392:ILJ196408 IBN196392:IBN196408 HRR196392:HRR196408 HHV196392:HHV196408 GXZ196392:GXZ196408 GOD196392:GOD196408 GEH196392:GEH196408 FUL196392:FUL196408 FKP196392:FKP196408 FAT196392:FAT196408 EQX196392:EQX196408 EHB196392:EHB196408 DXF196392:DXF196408 DNJ196392:DNJ196408 DDN196392:DDN196408 CTR196392:CTR196408 CJV196392:CJV196408 BZZ196392:BZZ196408 BQD196392:BQD196408 BGH196392:BGH196408 AWL196392:AWL196408 AMP196392:AMP196408 ACT196392:ACT196408 SX196392:SX196408 JB196392:JB196408 F196392:F196408 WVN130856:WVN130872 WLR130856:WLR130872 WBV130856:WBV130872 VRZ130856:VRZ130872 VID130856:VID130872 UYH130856:UYH130872 UOL130856:UOL130872 UEP130856:UEP130872 TUT130856:TUT130872 TKX130856:TKX130872 TBB130856:TBB130872 SRF130856:SRF130872 SHJ130856:SHJ130872 RXN130856:RXN130872 RNR130856:RNR130872 RDV130856:RDV130872 QTZ130856:QTZ130872 QKD130856:QKD130872 QAH130856:QAH130872 PQL130856:PQL130872 PGP130856:PGP130872 OWT130856:OWT130872 OMX130856:OMX130872 ODB130856:ODB130872 NTF130856:NTF130872 NJJ130856:NJJ130872 MZN130856:MZN130872 MPR130856:MPR130872 MFV130856:MFV130872 LVZ130856:LVZ130872 LMD130856:LMD130872 LCH130856:LCH130872 KSL130856:KSL130872 KIP130856:KIP130872 JYT130856:JYT130872 JOX130856:JOX130872 JFB130856:JFB130872 IVF130856:IVF130872 ILJ130856:ILJ130872 IBN130856:IBN130872 HRR130856:HRR130872 HHV130856:HHV130872 GXZ130856:GXZ130872 GOD130856:GOD130872 GEH130856:GEH130872 FUL130856:FUL130872 FKP130856:FKP130872 FAT130856:FAT130872 EQX130856:EQX130872 EHB130856:EHB130872 DXF130856:DXF130872 DNJ130856:DNJ130872 DDN130856:DDN130872 CTR130856:CTR130872 CJV130856:CJV130872 BZZ130856:BZZ130872 BQD130856:BQD130872 BGH130856:BGH130872 AWL130856:AWL130872 AMP130856:AMP130872 ACT130856:ACT130872 SX130856:SX130872 JB130856:JB130872 F130856:F130872 WVN65320:WVN65336 WLR65320:WLR65336 WBV65320:WBV65336 VRZ65320:VRZ65336 VID65320:VID65336 UYH65320:UYH65336 UOL65320:UOL65336 UEP65320:UEP65336 TUT65320:TUT65336 TKX65320:TKX65336 TBB65320:TBB65336 SRF65320:SRF65336 SHJ65320:SHJ65336 RXN65320:RXN65336 RNR65320:RNR65336 RDV65320:RDV65336 QTZ65320:QTZ65336 QKD65320:QKD65336 QAH65320:QAH65336 PQL65320:PQL65336 PGP65320:PGP65336 OWT65320:OWT65336 OMX65320:OMX65336 ODB65320:ODB65336 NTF65320:NTF65336 NJJ65320:NJJ65336 MZN65320:MZN65336 MPR65320:MPR65336 MFV65320:MFV65336 LVZ65320:LVZ65336 LMD65320:LMD65336 LCH65320:LCH65336 KSL65320:KSL65336 KIP65320:KIP65336 JYT65320:JYT65336 JOX65320:JOX65336 JFB65320:JFB65336 IVF65320:IVF65336 ILJ65320:ILJ65336 IBN65320:IBN65336 HRR65320:HRR65336 HHV65320:HHV65336 GXZ65320:GXZ65336 GOD65320:GOD65336 GEH65320:GEH65336 FUL65320:FUL65336 FKP65320:FKP65336 FAT65320:FAT65336 EQX65320:EQX65336 EHB65320:EHB65336 DXF65320:DXF65336 DNJ65320:DNJ65336 DDN65320:DDN65336 CTR65320:CTR65336 CJV65320:CJV65336 BZZ65320:BZZ65336 BQD65320:BQD65336 BGH65320:BGH65336 AWL65320:AWL65336 AMP65320:AMP65336 ACT65320:ACT65336 SX65320:SX65336 JB65320:JB65336 F65320:F65336 WLR982962:WLR982978 WVN983008:WVN983024 WLR983008:WLR983024 WBV983008:WBV983024 VRZ983008:VRZ983024 VID983008:VID983024 UYH983008:UYH983024 UOL983008:UOL983024 UEP983008:UEP983024 TUT983008:TUT983024 TKX983008:TKX983024 TBB983008:TBB983024 SRF983008:SRF983024 SHJ983008:SHJ983024 RXN983008:RXN983024 RNR983008:RNR983024 RDV983008:RDV983024 QTZ983008:QTZ983024 QKD983008:QKD983024 QAH983008:QAH983024 PQL983008:PQL983024 PGP983008:PGP983024 OWT983008:OWT983024 OMX983008:OMX983024 ODB983008:ODB983024 NTF983008:NTF983024 NJJ983008:NJJ983024 MZN983008:MZN983024 MPR983008:MPR983024 MFV983008:MFV983024 LVZ983008:LVZ983024 LMD983008:LMD983024 LCH983008:LCH983024 KSL983008:KSL983024 KIP983008:KIP983024 JYT983008:JYT983024 JOX983008:JOX983024 JFB983008:JFB983024 IVF983008:IVF983024 ILJ983008:ILJ983024 IBN983008:IBN983024 HRR983008:HRR983024 HHV983008:HHV983024 GXZ983008:GXZ983024 GOD983008:GOD983024 GEH983008:GEH983024 FUL983008:FUL983024 FKP983008:FKP983024 FAT983008:FAT983024 EQX983008:EQX983024 EHB983008:EHB983024 DXF983008:DXF983024 DNJ983008:DNJ983024 DDN983008:DDN983024 CTR983008:CTR983024 CJV983008:CJV983024 BZZ983008:BZZ983024 BQD983008:BQD983024 BGH983008:BGH983024 AWL983008:AWL983024 AMP983008:AMP983024 ACT983008:ACT983024 SX983008:SX983024 JB983008:JB983024 F983008:F983024 WVN917472:WVN917488 WLR917472:WLR917488 WBV917472:WBV917488 VRZ917472:VRZ917488 VID917472:VID917488 UYH917472:UYH917488 UOL917472:UOL917488 UEP917472:UEP917488 TUT917472:TUT917488 TKX917472:TKX917488 TBB917472:TBB917488 SRF917472:SRF917488 SHJ917472:SHJ917488 RXN917472:RXN917488 RNR917472:RNR917488 RDV917472:RDV917488 QTZ917472:QTZ917488 QKD917472:QKD917488 QAH917472:QAH917488 PQL917472:PQL917488 PGP917472:PGP917488 OWT917472:OWT917488 OMX917472:OMX917488 ODB917472:ODB917488 NTF917472:NTF917488 NJJ917472:NJJ917488 MZN917472:MZN917488 MPR917472:MPR917488 MFV917472:MFV917488 LVZ917472:LVZ917488 LMD917472:LMD917488 LCH917472:LCH917488 KSL917472:KSL917488 KIP917472:KIP917488 JYT917472:JYT917488 JOX917472:JOX917488 JFB917472:JFB917488 IVF917472:IVF917488 ILJ917472:ILJ917488 IBN917472:IBN917488 HRR917472:HRR917488 HHV917472:HHV917488 GXZ917472:GXZ917488 GOD917472:GOD917488 GEH917472:GEH917488 FUL917472:FUL917488 FKP917472:FKP917488 FAT917472:FAT917488 EQX917472:EQX917488 EHB917472:EHB917488 DXF917472:DXF917488 DNJ917472:DNJ917488 DDN917472:DDN917488 CTR917472:CTR917488 CJV917472:CJV917488 BZZ917472:BZZ917488 BQD917472:BQD917488 BGH917472:BGH917488 AWL917472:AWL917488 AMP917472:AMP917488 ACT917472:ACT917488 SX917472:SX917488 JB917472:JB917488 F917472:F917488 WVN851936:WVN851952 WLR851936:WLR851952 WBV851936:WBV851952 VRZ851936:VRZ851952 VID851936:VID851952 UYH851936:UYH851952 UOL851936:UOL851952 UEP851936:UEP851952 TUT851936:TUT851952 TKX851936:TKX851952 TBB851936:TBB851952 SRF851936:SRF851952 SHJ851936:SHJ851952 RXN851936:RXN851952 RNR851936:RNR851952 RDV851936:RDV851952 QTZ851936:QTZ851952 QKD851936:QKD851952 QAH851936:QAH851952 PQL851936:PQL851952 PGP851936:PGP851952 OWT851936:OWT851952 OMX851936:OMX851952 ODB851936:ODB851952 NTF851936:NTF851952 NJJ851936:NJJ851952 MZN851936:MZN851952 MPR851936:MPR851952 MFV851936:MFV851952 LVZ851936:LVZ851952 LMD851936:LMD851952 LCH851936:LCH851952 KSL851936:KSL851952 KIP851936:KIP851952 JYT851936:JYT851952 JOX851936:JOX851952 JFB851936:JFB851952 IVF851936:IVF851952 ILJ851936:ILJ851952 IBN851936:IBN851952 HRR851936:HRR851952 HHV851936:HHV851952 GXZ851936:GXZ851952 GOD851936:GOD851952 GEH851936:GEH851952 FUL851936:FUL851952 FKP851936:FKP851952 FAT851936:FAT851952 EQX851936:EQX851952 EHB851936:EHB851952 DXF851936:DXF851952 DNJ851936:DNJ851952 DDN851936:DDN851952 CTR851936:CTR851952 CJV851936:CJV851952 BZZ851936:BZZ851952 BQD851936:BQD851952 BGH851936:BGH851952 AWL851936:AWL851952 AMP851936:AMP851952 ACT851936:ACT851952 SX851936:SX851952 JB851936:JB851952 F851936:F851952 WVN786400:WVN786416 WLR786400:WLR786416 WBV786400:WBV786416 VRZ786400:VRZ786416 VID786400:VID786416 UYH786400:UYH786416 UOL786400:UOL786416 UEP786400:UEP786416 TUT786400:TUT786416 TKX786400:TKX786416 TBB786400:TBB786416 SRF786400:SRF786416 SHJ786400:SHJ786416 RXN786400:RXN786416 RNR786400:RNR786416 RDV786400:RDV786416 QTZ786400:QTZ786416 QKD786400:QKD786416 QAH786400:QAH786416 PQL786400:PQL786416 PGP786400:PGP786416 OWT786400:OWT786416 OMX786400:OMX786416 ODB786400:ODB786416 NTF786400:NTF786416 NJJ786400:NJJ786416 MZN786400:MZN786416 MPR786400:MPR786416 MFV786400:MFV786416 LVZ786400:LVZ786416 LMD786400:LMD786416 LCH786400:LCH786416 KSL786400:KSL786416 KIP786400:KIP786416 JYT786400:JYT786416 JOX786400:JOX786416 JFB786400:JFB786416 IVF786400:IVF786416 ILJ786400:ILJ786416 IBN786400:IBN786416 HRR786400:HRR786416 HHV786400:HHV786416 GXZ786400:GXZ786416 GOD786400:GOD786416 GEH786400:GEH786416 FUL786400:FUL786416 FKP786400:FKP786416 FAT786400:FAT786416 EQX786400:EQX786416 EHB786400:EHB786416 DXF786400:DXF786416 DNJ786400:DNJ786416 DDN786400:DDN786416 CTR786400:CTR786416 CJV786400:CJV786416 BZZ786400:BZZ786416 BQD786400:BQD786416 BGH786400:BGH786416 AWL786400:AWL786416 AMP786400:AMP786416 ACT786400:ACT786416 SX786400:SX786416 JB786400:JB786416 F786400:F786416 WVN720864:WVN720880 WLR720864:WLR720880 WBV720864:WBV720880 VRZ720864:VRZ720880 VID720864:VID720880 UYH720864:UYH720880 UOL720864:UOL720880 UEP720864:UEP720880 TUT720864:TUT720880 TKX720864:TKX720880 TBB720864:TBB720880 SRF720864:SRF720880 SHJ720864:SHJ720880 RXN720864:RXN720880 RNR720864:RNR720880 RDV720864:RDV720880 QTZ720864:QTZ720880 QKD720864:QKD720880 QAH720864:QAH720880 PQL720864:PQL720880 PGP720864:PGP720880 OWT720864:OWT720880 OMX720864:OMX720880 ODB720864:ODB720880 NTF720864:NTF720880 NJJ720864:NJJ720880 MZN720864:MZN720880 MPR720864:MPR720880 MFV720864:MFV720880 LVZ720864:LVZ720880 LMD720864:LMD720880 LCH720864:LCH720880 KSL720864:KSL720880 KIP720864:KIP720880 JYT720864:JYT720880 JOX720864:JOX720880 JFB720864:JFB720880 IVF720864:IVF720880 ILJ720864:ILJ720880 IBN720864:IBN720880 HRR720864:HRR720880 HHV720864:HHV720880 GXZ720864:GXZ720880 GOD720864:GOD720880 GEH720864:GEH720880 FUL720864:FUL720880 FKP720864:FKP720880 FAT720864:FAT720880 EQX720864:EQX720880 EHB720864:EHB720880 DXF720864:DXF720880 DNJ720864:DNJ720880 DDN720864:DDN720880 CTR720864:CTR720880 CJV720864:CJV720880 BZZ720864:BZZ720880 BQD720864:BQD720880 BGH720864:BGH720880 AWL720864:AWL720880 AMP720864:AMP720880 ACT720864:ACT720880 SX720864:SX720880 JB720864:JB720880 F720864:F720880 WVN655328:WVN655344 WLR655328:WLR655344 WBV655328:WBV655344 VRZ655328:VRZ655344 VID655328:VID655344 UYH655328:UYH655344 UOL655328:UOL655344 UEP655328:UEP655344 TUT655328:TUT655344 TKX655328:TKX655344 TBB655328:TBB655344 SRF655328:SRF655344 SHJ655328:SHJ655344 RXN655328:RXN655344 RNR655328:RNR655344 RDV655328:RDV655344 QTZ655328:QTZ655344 QKD655328:QKD655344 QAH655328:QAH655344 PQL655328:PQL655344 PGP655328:PGP655344 OWT655328:OWT655344 OMX655328:OMX655344 ODB655328:ODB655344 NTF655328:NTF655344 NJJ655328:NJJ655344 MZN655328:MZN655344 MPR655328:MPR655344 MFV655328:MFV655344 LVZ655328:LVZ655344 LMD655328:LMD655344 LCH655328:LCH655344 KSL655328:KSL655344 KIP655328:KIP655344 JYT655328:JYT655344 JOX655328:JOX655344 JFB655328:JFB655344 IVF655328:IVF655344 ILJ655328:ILJ655344 IBN655328:IBN655344 HRR655328:HRR655344 HHV655328:HHV655344 GXZ655328:GXZ655344 GOD655328:GOD655344 GEH655328:GEH655344 FUL655328:FUL655344 FKP655328:FKP655344 FAT655328:FAT655344 EQX655328:EQX655344 EHB655328:EHB655344 DXF655328:DXF655344 DNJ655328:DNJ655344 DDN655328:DDN655344 CTR655328:CTR655344 CJV655328:CJV655344 BZZ655328:BZZ655344 BQD655328:BQD655344 BGH655328:BGH655344 AWL655328:AWL655344 AMP655328:AMP655344 ACT655328:ACT655344 SX655328:SX655344 JB655328:JB655344 F655328:F655344 WVN589792:WVN589808 WLR589792:WLR589808 WBV589792:WBV589808 VRZ589792:VRZ589808 VID589792:VID589808 UYH589792:UYH589808 UOL589792:UOL589808 UEP589792:UEP589808 TUT589792:TUT589808 TKX589792:TKX589808 TBB589792:TBB589808 SRF589792:SRF589808 SHJ589792:SHJ589808 RXN589792:RXN589808 RNR589792:RNR589808 RDV589792:RDV589808 QTZ589792:QTZ589808 QKD589792:QKD589808 QAH589792:QAH589808 PQL589792:PQL589808 PGP589792:PGP589808 OWT589792:OWT589808 OMX589792:OMX589808 ODB589792:ODB589808 NTF589792:NTF589808 NJJ589792:NJJ589808 MZN589792:MZN589808 MPR589792:MPR589808 MFV589792:MFV589808 LVZ589792:LVZ589808 LMD589792:LMD589808 LCH589792:LCH589808 KSL589792:KSL589808 KIP589792:KIP589808 JYT589792:JYT589808 JOX589792:JOX589808 JFB589792:JFB589808 IVF589792:IVF589808 ILJ589792:ILJ589808 IBN589792:IBN589808 HRR589792:HRR589808 HHV589792:HHV589808 GXZ589792:GXZ589808 GOD589792:GOD589808 GEH589792:GEH589808 FUL589792:FUL589808 FKP589792:FKP589808 FAT589792:FAT589808 EQX589792:EQX589808 EHB589792:EHB589808 DXF589792:DXF589808 DNJ589792:DNJ589808 DDN589792:DDN589808 CTR589792:CTR589808 CJV589792:CJV589808 BZZ589792:BZZ589808 BQD589792:BQD589808 BGH589792:BGH589808 AWL589792:AWL589808 AMP589792:AMP589808 ACT589792:ACT589808 SX589792:SX589808 JB589792:JB589808 F589792:F589808 WVN524256:WVN524272 WLR524256:WLR524272 WBV524256:WBV524272 VRZ524256:VRZ524272 VID524256:VID524272 UYH524256:UYH524272 UOL524256:UOL524272 UEP524256:UEP524272 TUT524256:TUT524272 TKX524256:TKX524272 TBB524256:TBB524272 SRF524256:SRF524272 SHJ524256:SHJ524272 RXN524256:RXN524272 RNR524256:RNR524272 RDV524256:RDV524272 QTZ524256:QTZ524272 QKD524256:QKD524272 QAH524256:QAH524272 PQL524256:PQL524272 PGP524256:PGP524272 OWT524256:OWT524272 OMX524256:OMX524272 ODB524256:ODB524272 NTF524256:NTF524272 NJJ524256:NJJ524272 MZN524256:MZN524272 MPR524256:MPR524272 MFV524256:MFV524272 LVZ524256:LVZ524272 LMD524256:LMD524272 LCH524256:LCH524272 KSL524256:KSL524272 KIP524256:KIP524272 JYT524256:JYT524272 JOX524256:JOX524272 JFB524256:JFB524272 IVF524256:IVF524272 ILJ524256:ILJ524272 IBN524256:IBN524272 HRR524256:HRR524272 HHV524256:HHV524272 GXZ524256:GXZ524272 GOD524256:GOD524272 GEH524256:GEH524272 FUL524256:FUL524272 FKP524256:FKP524272 FAT524256:FAT524272 EQX524256:EQX524272 EHB524256:EHB524272 DXF524256:DXF524272 DNJ524256:DNJ524272 DDN524256:DDN524272 CTR524256:CTR524272 CJV524256:CJV524272 BZZ524256:BZZ524272 BQD524256:BQD524272 BGH524256:BGH524272 AWL524256:AWL524272 AMP524256:AMP524272 ACT524256:ACT524272 SX524256:SX524272 JB524256:JB524272 F524256:F524272 WVN458720:WVN458736 WLR458720:WLR458736 WBV458720:WBV458736 VRZ458720:VRZ458736 VID458720:VID458736 UYH458720:UYH458736 UOL458720:UOL458736 UEP458720:UEP458736 TUT458720:TUT458736 TKX458720:TKX458736 TBB458720:TBB458736 SRF458720:SRF458736 SHJ458720:SHJ458736 RXN458720:RXN458736 RNR458720:RNR458736 RDV458720:RDV458736 QTZ458720:QTZ458736 QKD458720:QKD458736 QAH458720:QAH458736 PQL458720:PQL458736 PGP458720:PGP458736 OWT458720:OWT458736 OMX458720:OMX458736 ODB458720:ODB458736 NTF458720:NTF458736 NJJ458720:NJJ458736 MZN458720:MZN458736 MPR458720:MPR458736 MFV458720:MFV458736 LVZ458720:LVZ458736 LMD458720:LMD458736 LCH458720:LCH458736 KSL458720:KSL458736 KIP458720:KIP458736 JYT458720:JYT458736 JOX458720:JOX458736 JFB458720:JFB458736 IVF458720:IVF458736 ILJ458720:ILJ458736 IBN458720:IBN458736 HRR458720:HRR458736 HHV458720:HHV458736 GXZ458720:GXZ458736 GOD458720:GOD458736 GEH458720:GEH458736 FUL458720:FUL458736 FKP458720:FKP458736 FAT458720:FAT458736 EQX458720:EQX458736 EHB458720:EHB458736 DXF458720:DXF458736 DNJ458720:DNJ458736 DDN458720:DDN458736 CTR458720:CTR458736 CJV458720:CJV458736 BZZ458720:BZZ458736 BQD458720:BQD458736 BGH458720:BGH458736 AWL458720:AWL458736 AMP458720:AMP458736 ACT458720:ACT458736 SX458720:SX458736 JB458720:JB458736 F458720:F458736 WVN393184:WVN393200 WLR393184:WLR393200 WBV393184:WBV393200 VRZ393184:VRZ393200 VID393184:VID393200 UYH393184:UYH393200 UOL393184:UOL393200 UEP393184:UEP393200 TUT393184:TUT393200 TKX393184:TKX393200 TBB393184:TBB393200 SRF393184:SRF393200 SHJ393184:SHJ393200 RXN393184:RXN393200 RNR393184:RNR393200 RDV393184:RDV393200 QTZ393184:QTZ393200 QKD393184:QKD393200 QAH393184:QAH393200 PQL393184:PQL393200 PGP393184:PGP393200 OWT393184:OWT393200 OMX393184:OMX393200 ODB393184:ODB393200 NTF393184:NTF393200 NJJ393184:NJJ393200 MZN393184:MZN393200 MPR393184:MPR393200 MFV393184:MFV393200 LVZ393184:LVZ393200 LMD393184:LMD393200 LCH393184:LCH393200 KSL393184:KSL393200 KIP393184:KIP393200 JYT393184:JYT393200 JOX393184:JOX393200 JFB393184:JFB393200 IVF393184:IVF393200 ILJ393184:ILJ393200 IBN393184:IBN393200 HRR393184:HRR393200 HHV393184:HHV393200 GXZ393184:GXZ393200 GOD393184:GOD393200 GEH393184:GEH393200 FUL393184:FUL393200 FKP393184:FKP393200 FAT393184:FAT393200 EQX393184:EQX393200 EHB393184:EHB393200 DXF393184:DXF393200 DNJ393184:DNJ393200 DDN393184:DDN393200 CTR393184:CTR393200 CJV393184:CJV393200 BZZ393184:BZZ393200 BQD393184:BQD393200 BGH393184:BGH393200 AWL393184:AWL393200 AMP393184:AMP393200 ACT393184:ACT393200 SX393184:SX393200 JB393184:JB393200 F393184:F393200 WVN327648:WVN327664 WLR327648:WLR327664 WBV327648:WBV327664 VRZ327648:VRZ327664 VID327648:VID327664 UYH327648:UYH327664 UOL327648:UOL327664 UEP327648:UEP327664 TUT327648:TUT327664 TKX327648:TKX327664 TBB327648:TBB327664 SRF327648:SRF327664 SHJ327648:SHJ327664 RXN327648:RXN327664 RNR327648:RNR327664 RDV327648:RDV327664 QTZ327648:QTZ327664 QKD327648:QKD327664 QAH327648:QAH327664 PQL327648:PQL327664 PGP327648:PGP327664 OWT327648:OWT327664 OMX327648:OMX327664 ODB327648:ODB327664 NTF327648:NTF327664 NJJ327648:NJJ327664 MZN327648:MZN327664 MPR327648:MPR327664 MFV327648:MFV327664 LVZ327648:LVZ327664 LMD327648:LMD327664 LCH327648:LCH327664 KSL327648:KSL327664 KIP327648:KIP327664 JYT327648:JYT327664 JOX327648:JOX327664 JFB327648:JFB327664 IVF327648:IVF327664 ILJ327648:ILJ327664 IBN327648:IBN327664 HRR327648:HRR327664 HHV327648:HHV327664 GXZ327648:GXZ327664 GOD327648:GOD327664 GEH327648:GEH327664 FUL327648:FUL327664 FKP327648:FKP327664 FAT327648:FAT327664 EQX327648:EQX327664 EHB327648:EHB327664 DXF327648:DXF327664 DNJ327648:DNJ327664 DDN327648:DDN327664 CTR327648:CTR327664 CJV327648:CJV327664 BZZ327648:BZZ327664 BQD327648:BQD327664 BGH327648:BGH327664 AWL327648:AWL327664 AMP327648:AMP327664 ACT327648:ACT327664 SX327648:SX327664 JB327648:JB327664 F327648:F327664 WVN262112:WVN262128 WLR262112:WLR262128 WBV262112:WBV262128 VRZ262112:VRZ262128 VID262112:VID262128 UYH262112:UYH262128 UOL262112:UOL262128 UEP262112:UEP262128 TUT262112:TUT262128 TKX262112:TKX262128 TBB262112:TBB262128 SRF262112:SRF262128 SHJ262112:SHJ262128 RXN262112:RXN262128 RNR262112:RNR262128 RDV262112:RDV262128 QTZ262112:QTZ262128 QKD262112:QKD262128 QAH262112:QAH262128 PQL262112:PQL262128 PGP262112:PGP262128 OWT262112:OWT262128 OMX262112:OMX262128 ODB262112:ODB262128 NTF262112:NTF262128 NJJ262112:NJJ262128 MZN262112:MZN262128 MPR262112:MPR262128 MFV262112:MFV262128 LVZ262112:LVZ262128 LMD262112:LMD262128 LCH262112:LCH262128 KSL262112:KSL262128 KIP262112:KIP262128 JYT262112:JYT262128 JOX262112:JOX262128 JFB262112:JFB262128 IVF262112:IVF262128 ILJ262112:ILJ262128 IBN262112:IBN262128 HRR262112:HRR262128 HHV262112:HHV262128 GXZ262112:GXZ262128 GOD262112:GOD262128 GEH262112:GEH262128 FUL262112:FUL262128 FKP262112:FKP262128 FAT262112:FAT262128 EQX262112:EQX262128 EHB262112:EHB262128 DXF262112:DXF262128 DNJ262112:DNJ262128 DDN262112:DDN262128 CTR262112:CTR262128 CJV262112:CJV262128 BZZ262112:BZZ262128 BQD262112:BQD262128 BGH262112:BGH262128 AWL262112:AWL262128 AMP262112:AMP262128 ACT262112:ACT262128 SX262112:SX262128 JB262112:JB262128 F262112:F262128 WVN196576:WVN196592 WLR196576:WLR196592 WBV196576:WBV196592 VRZ196576:VRZ196592 VID196576:VID196592 UYH196576:UYH196592 UOL196576:UOL196592 UEP196576:UEP196592 TUT196576:TUT196592 TKX196576:TKX196592 TBB196576:TBB196592 SRF196576:SRF196592 SHJ196576:SHJ196592 RXN196576:RXN196592 RNR196576:RNR196592 RDV196576:RDV196592 QTZ196576:QTZ196592 QKD196576:QKD196592 QAH196576:QAH196592 PQL196576:PQL196592 PGP196576:PGP196592 OWT196576:OWT196592 OMX196576:OMX196592 ODB196576:ODB196592 NTF196576:NTF196592 NJJ196576:NJJ196592 MZN196576:MZN196592 MPR196576:MPR196592 MFV196576:MFV196592 LVZ196576:LVZ196592 LMD196576:LMD196592 LCH196576:LCH196592 KSL196576:KSL196592 KIP196576:KIP196592 JYT196576:JYT196592 JOX196576:JOX196592 JFB196576:JFB196592 IVF196576:IVF196592 ILJ196576:ILJ196592 IBN196576:IBN196592 HRR196576:HRR196592 HHV196576:HHV196592 GXZ196576:GXZ196592 GOD196576:GOD196592 GEH196576:GEH196592 FUL196576:FUL196592 FKP196576:FKP196592 FAT196576:FAT196592 EQX196576:EQX196592 EHB196576:EHB196592 DXF196576:DXF196592 DNJ196576:DNJ196592 DDN196576:DDN196592 CTR196576:CTR196592 CJV196576:CJV196592 BZZ196576:BZZ196592 BQD196576:BQD196592 BGH196576:BGH196592 AWL196576:AWL196592 AMP196576:AMP196592 ACT196576:ACT196592 SX196576:SX196592 JB196576:JB196592 F196576:F196592 WVN131040:WVN131056 WLR131040:WLR131056 WBV131040:WBV131056 VRZ131040:VRZ131056 VID131040:VID131056 UYH131040:UYH131056 UOL131040:UOL131056 UEP131040:UEP131056 TUT131040:TUT131056 TKX131040:TKX131056 TBB131040:TBB131056 SRF131040:SRF131056 SHJ131040:SHJ131056 RXN131040:RXN131056 RNR131040:RNR131056 RDV131040:RDV131056 QTZ131040:QTZ131056 QKD131040:QKD131056 QAH131040:QAH131056 PQL131040:PQL131056 PGP131040:PGP131056 OWT131040:OWT131056 OMX131040:OMX131056 ODB131040:ODB131056 NTF131040:NTF131056 NJJ131040:NJJ131056 MZN131040:MZN131056 MPR131040:MPR131056 MFV131040:MFV131056 LVZ131040:LVZ131056 LMD131040:LMD131056 LCH131040:LCH131056 KSL131040:KSL131056 KIP131040:KIP131056 JYT131040:JYT131056 JOX131040:JOX131056 JFB131040:JFB131056 IVF131040:IVF131056 ILJ131040:ILJ131056 IBN131040:IBN131056 HRR131040:HRR131056 HHV131040:HHV131056 GXZ131040:GXZ131056 GOD131040:GOD131056 GEH131040:GEH131056 FUL131040:FUL131056 FKP131040:FKP131056 FAT131040:FAT131056 EQX131040:EQX131056 EHB131040:EHB131056 DXF131040:DXF131056 DNJ131040:DNJ131056 DDN131040:DDN131056 CTR131040:CTR131056 CJV131040:CJV131056 BZZ131040:BZZ131056 BQD131040:BQD131056 BGH131040:BGH131056 AWL131040:AWL131056 AMP131040:AMP131056 ACT131040:ACT131056 SX131040:SX131056 JB131040:JB131056 F131040:F131056 WVN65504:WVN65520 WLR65504:WLR65520 WBV65504:WBV65520 VRZ65504:VRZ65520 VID65504:VID65520 UYH65504:UYH65520 UOL65504:UOL65520 UEP65504:UEP65520 TUT65504:TUT65520 TKX65504:TKX65520 TBB65504:TBB65520 SRF65504:SRF65520 SHJ65504:SHJ65520 RXN65504:RXN65520 RNR65504:RNR65520 RDV65504:RDV65520 QTZ65504:QTZ65520 QKD65504:QKD65520 QAH65504:QAH65520 PQL65504:PQL65520 PGP65504:PGP65520 OWT65504:OWT65520 OMX65504:OMX65520 ODB65504:ODB65520 NTF65504:NTF65520 NJJ65504:NJJ65520 MZN65504:MZN65520 MPR65504:MPR65520 MFV65504:MFV65520 LVZ65504:LVZ65520 LMD65504:LMD65520 LCH65504:LCH65520 KSL65504:KSL65520 KIP65504:KIP65520 JYT65504:JYT65520 JOX65504:JOX65520 JFB65504:JFB65520 IVF65504:IVF65520 ILJ65504:ILJ65520 IBN65504:IBN65520 HRR65504:HRR65520 HHV65504:HHV65520 GXZ65504:GXZ65520 GOD65504:GOD65520 GEH65504:GEH65520 FUL65504:FUL65520 FKP65504:FKP65520 FAT65504:FAT65520 EQX65504:EQX65520 EHB65504:EHB65520 DXF65504:DXF65520 DNJ65504:DNJ65520 DDN65504:DDN65520 CTR65504:CTR65520 CJV65504:CJV65520 BZZ65504:BZZ65520 BQD65504:BQD65520 BGH65504:BGH65520 AWL65504:AWL65520 AMP65504:AMP65520 ACT65504:ACT65520 SX65504:SX65520 JB65504:JB65520 F65504:F65520">
      <formula1>$AA$30:$AA$31</formula1>
    </dataValidation>
  </dataValidations>
  <printOptions horizontalCentered="1"/>
  <pageMargins left="0.59055118110236227" right="0" top="0.70866141732283472" bottom="0.47244094488188981" header="0.39370078740157483" footer="0.27559055118110237"/>
  <pageSetup paperSize="9" scale="85" orientation="portrait" r:id="rId1"/>
  <headerFooter>
    <oddHeader>&amp;R&amp;"ＭＳ ゴシック,標準"&amp;18&amp;P/&amp;N</oddHeader>
    <oddFooter>&amp;C株式会社 ＤＴＳ&amp;R&amp;"ＭＳ ゴシック,標準"&amp;9様式（ＢＰ）2019.12　Ver.9.40</oddFooter>
  </headerFooter>
  <rowBreaks count="1" manualBreakCount="1">
    <brk id="26" min="1" max="18" man="1"/>
  </rowBreaks>
  <ignoredErrors>
    <ignoredError sqref="B11:S11 E7 R27 A30:A129" unlockedFormula="1"/>
  </ignoredErrors>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32"/>
  <sheetViews>
    <sheetView workbookViewId="0">
      <selection activeCell="E6" sqref="E6"/>
    </sheetView>
  </sheetViews>
  <sheetFormatPr defaultColWidth="9" defaultRowHeight="13.5"/>
  <cols>
    <col min="1" max="1" width="7.625" style="374" customWidth="1"/>
    <col min="2" max="2" width="8.125" style="374" customWidth="1"/>
    <col min="3" max="3" width="7.875" style="374" customWidth="1"/>
    <col min="4" max="4" width="18" style="374" customWidth="1"/>
    <col min="5" max="7" width="8" style="374" customWidth="1"/>
    <col min="8" max="8" width="9" style="374"/>
    <col min="9" max="9" width="6.875" style="374" customWidth="1"/>
    <col min="10" max="10" width="9" style="374"/>
    <col min="11" max="11" width="6.5" style="374" customWidth="1"/>
    <col min="12" max="16384" width="9" style="374"/>
  </cols>
  <sheetData>
    <row r="1" spans="1:11" ht="18.75">
      <c r="A1" s="373" t="s">
        <v>471</v>
      </c>
    </row>
    <row r="2" spans="1:11" ht="42.75" customHeight="1">
      <c r="E2" s="375">
        <f>月</f>
        <v>1</v>
      </c>
      <c r="F2" s="374" t="s">
        <v>472</v>
      </c>
    </row>
    <row r="3" spans="1:11" ht="14.25" customHeight="1">
      <c r="E3" s="376"/>
    </row>
    <row r="4" spans="1:11" ht="14.25" customHeight="1">
      <c r="E4" s="376"/>
    </row>
    <row r="5" spans="1:11">
      <c r="A5" s="377" t="s">
        <v>473</v>
      </c>
      <c r="B5" s="378"/>
      <c r="C5" s="379" t="s">
        <v>474</v>
      </c>
      <c r="D5" s="378"/>
      <c r="E5" s="379" t="s">
        <v>475</v>
      </c>
      <c r="F5" s="378"/>
      <c r="G5" s="379" t="s">
        <v>476</v>
      </c>
      <c r="H5" s="379"/>
      <c r="I5" s="379"/>
      <c r="J5" s="379"/>
      <c r="K5" s="380"/>
    </row>
    <row r="6" spans="1:11" ht="39" customHeight="1">
      <c r="A6" s="381"/>
      <c r="B6" s="382"/>
      <c r="C6" s="383" t="s">
        <v>477</v>
      </c>
      <c r="D6" s="382"/>
      <c r="E6" s="384">
        <f>IF(入力シート!D7="","",入力シート!D7)</f>
        <v>83500059</v>
      </c>
      <c r="F6" s="382"/>
      <c r="G6" s="385" t="str">
        <f>IF(入力シート!D8="","",入力シート!D8)</f>
        <v>李 学強</v>
      </c>
      <c r="H6" s="386"/>
      <c r="I6" s="386"/>
      <c r="J6" s="386"/>
      <c r="K6" s="387" t="s">
        <v>478</v>
      </c>
    </row>
    <row r="8" spans="1:11" ht="18.75">
      <c r="A8" s="373" t="s">
        <v>494</v>
      </c>
    </row>
    <row r="9" spans="1:11" s="388" customFormat="1">
      <c r="A9" s="1430" t="s">
        <v>479</v>
      </c>
      <c r="B9" s="1432" t="s">
        <v>480</v>
      </c>
      <c r="C9" s="1433"/>
      <c r="D9" s="1423" t="s">
        <v>495</v>
      </c>
      <c r="E9" s="1427" t="s">
        <v>496</v>
      </c>
      <c r="F9" s="1428"/>
      <c r="G9" s="1429"/>
      <c r="H9" s="1434" t="s">
        <v>481</v>
      </c>
      <c r="I9" s="1436" t="s">
        <v>482</v>
      </c>
      <c r="J9" s="1423" t="s">
        <v>483</v>
      </c>
      <c r="K9" s="1425" t="s">
        <v>484</v>
      </c>
    </row>
    <row r="10" spans="1:11" s="388" customFormat="1" ht="12">
      <c r="A10" s="1431"/>
      <c r="B10" s="389" t="s">
        <v>497</v>
      </c>
      <c r="C10" s="390" t="s">
        <v>498</v>
      </c>
      <c r="D10" s="1424"/>
      <c r="E10" s="391" t="s">
        <v>499</v>
      </c>
      <c r="F10" s="392" t="s">
        <v>500</v>
      </c>
      <c r="G10" s="392" t="s">
        <v>501</v>
      </c>
      <c r="H10" s="1435"/>
      <c r="I10" s="1437"/>
      <c r="J10" s="1424"/>
      <c r="K10" s="1426"/>
    </row>
    <row r="11" spans="1:11" s="400" customFormat="1" ht="28.5" customHeight="1">
      <c r="A11" s="393"/>
      <c r="B11" s="394"/>
      <c r="C11" s="395"/>
      <c r="D11" s="396"/>
      <c r="E11" s="397"/>
      <c r="F11" s="397"/>
      <c r="G11" s="397"/>
      <c r="H11" s="398">
        <f>IF($G$6&lt;&gt;" ",SUM(E11:G11),"")</f>
        <v>0</v>
      </c>
      <c r="I11" s="396"/>
      <c r="J11" s="396"/>
      <c r="K11" s="399"/>
    </row>
    <row r="12" spans="1:11" s="400" customFormat="1" ht="28.5" customHeight="1">
      <c r="A12" s="393"/>
      <c r="B12" s="394"/>
      <c r="C12" s="395"/>
      <c r="D12" s="401" t="s">
        <v>502</v>
      </c>
      <c r="E12" s="397"/>
      <c r="F12" s="397"/>
      <c r="G12" s="397"/>
      <c r="H12" s="398" t="str">
        <f>IF(B12&lt;&gt;0,SUM(E12:G12),"")</f>
        <v/>
      </c>
      <c r="I12" s="396"/>
      <c r="J12" s="396"/>
      <c r="K12" s="399"/>
    </row>
    <row r="13" spans="1:11" s="400" customFormat="1" ht="28.5" customHeight="1">
      <c r="A13" s="393"/>
      <c r="B13" s="394"/>
      <c r="C13" s="395"/>
      <c r="D13" s="396"/>
      <c r="E13" s="397"/>
      <c r="F13" s="397"/>
      <c r="G13" s="397"/>
      <c r="H13" s="398" t="str">
        <f t="shared" ref="H13:H25" si="0">IF(B13&lt;&gt;0,SUM(E13:G13),"")</f>
        <v/>
      </c>
      <c r="I13" s="396"/>
      <c r="J13" s="396"/>
      <c r="K13" s="399"/>
    </row>
    <row r="14" spans="1:11" s="400" customFormat="1" ht="28.5" customHeight="1">
      <c r="A14" s="393"/>
      <c r="B14" s="394"/>
      <c r="C14" s="395"/>
      <c r="D14" s="396"/>
      <c r="E14" s="397"/>
      <c r="F14" s="397"/>
      <c r="G14" s="397"/>
      <c r="H14" s="398" t="str">
        <f t="shared" si="0"/>
        <v/>
      </c>
      <c r="I14" s="396"/>
      <c r="J14" s="396"/>
      <c r="K14" s="399"/>
    </row>
    <row r="15" spans="1:11" s="400" customFormat="1" ht="28.5" customHeight="1">
      <c r="A15" s="393"/>
      <c r="B15" s="394"/>
      <c r="C15" s="395"/>
      <c r="D15" s="396"/>
      <c r="E15" s="397"/>
      <c r="F15" s="397"/>
      <c r="G15" s="397"/>
      <c r="H15" s="398" t="str">
        <f t="shared" si="0"/>
        <v/>
      </c>
      <c r="I15" s="396"/>
      <c r="J15" s="396"/>
      <c r="K15" s="399"/>
    </row>
    <row r="16" spans="1:11" s="400" customFormat="1" ht="28.5" customHeight="1">
      <c r="A16" s="393"/>
      <c r="B16" s="394"/>
      <c r="C16" s="395"/>
      <c r="D16" s="396"/>
      <c r="E16" s="397"/>
      <c r="F16" s="397"/>
      <c r="G16" s="397"/>
      <c r="H16" s="398" t="str">
        <f t="shared" si="0"/>
        <v/>
      </c>
      <c r="I16" s="396"/>
      <c r="J16" s="396"/>
      <c r="K16" s="399"/>
    </row>
    <row r="17" spans="1:11" s="400" customFormat="1" ht="28.5" customHeight="1">
      <c r="A17" s="393"/>
      <c r="B17" s="394"/>
      <c r="C17" s="395"/>
      <c r="D17" s="396"/>
      <c r="E17" s="397"/>
      <c r="F17" s="397"/>
      <c r="G17" s="397"/>
      <c r="H17" s="398" t="str">
        <f t="shared" si="0"/>
        <v/>
      </c>
      <c r="I17" s="396"/>
      <c r="J17" s="396"/>
      <c r="K17" s="399"/>
    </row>
    <row r="18" spans="1:11" s="400" customFormat="1" ht="28.5" customHeight="1">
      <c r="A18" s="393"/>
      <c r="B18" s="394"/>
      <c r="C18" s="395"/>
      <c r="D18" s="396"/>
      <c r="E18" s="397"/>
      <c r="F18" s="397"/>
      <c r="G18" s="397"/>
      <c r="H18" s="398" t="str">
        <f t="shared" si="0"/>
        <v/>
      </c>
      <c r="I18" s="396"/>
      <c r="J18" s="396"/>
      <c r="K18" s="399"/>
    </row>
    <row r="19" spans="1:11" s="400" customFormat="1" ht="28.5" customHeight="1">
      <c r="A19" s="393"/>
      <c r="B19" s="394"/>
      <c r="C19" s="395"/>
      <c r="D19" s="396"/>
      <c r="E19" s="397"/>
      <c r="F19" s="397"/>
      <c r="G19" s="397"/>
      <c r="H19" s="398" t="str">
        <f t="shared" si="0"/>
        <v/>
      </c>
      <c r="I19" s="396"/>
      <c r="J19" s="396"/>
      <c r="K19" s="399"/>
    </row>
    <row r="20" spans="1:11" s="400" customFormat="1" ht="28.5" customHeight="1">
      <c r="A20" s="393"/>
      <c r="B20" s="394"/>
      <c r="C20" s="395"/>
      <c r="D20" s="396"/>
      <c r="E20" s="397"/>
      <c r="F20" s="397"/>
      <c r="G20" s="397"/>
      <c r="H20" s="398" t="str">
        <f t="shared" si="0"/>
        <v/>
      </c>
      <c r="I20" s="396"/>
      <c r="J20" s="396"/>
      <c r="K20" s="399"/>
    </row>
    <row r="21" spans="1:11" s="400" customFormat="1" ht="28.5" customHeight="1">
      <c r="A21" s="393"/>
      <c r="B21" s="394"/>
      <c r="C21" s="395"/>
      <c r="D21" s="396"/>
      <c r="E21" s="397"/>
      <c r="F21" s="397"/>
      <c r="G21" s="397"/>
      <c r="H21" s="398" t="str">
        <f t="shared" si="0"/>
        <v/>
      </c>
      <c r="I21" s="396"/>
      <c r="J21" s="396"/>
      <c r="K21" s="399"/>
    </row>
    <row r="22" spans="1:11" s="400" customFormat="1" ht="28.5" customHeight="1">
      <c r="A22" s="393"/>
      <c r="B22" s="394"/>
      <c r="C22" s="395"/>
      <c r="D22" s="396"/>
      <c r="E22" s="397"/>
      <c r="F22" s="397"/>
      <c r="G22" s="397"/>
      <c r="H22" s="398" t="str">
        <f t="shared" si="0"/>
        <v/>
      </c>
      <c r="I22" s="396"/>
      <c r="J22" s="396"/>
      <c r="K22" s="399"/>
    </row>
    <row r="23" spans="1:11" s="400" customFormat="1" ht="28.5" customHeight="1">
      <c r="A23" s="393"/>
      <c r="B23" s="394"/>
      <c r="C23" s="395"/>
      <c r="D23" s="396"/>
      <c r="E23" s="397"/>
      <c r="F23" s="397"/>
      <c r="G23" s="397"/>
      <c r="H23" s="398" t="str">
        <f t="shared" si="0"/>
        <v/>
      </c>
      <c r="I23" s="396"/>
      <c r="J23" s="396"/>
      <c r="K23" s="399"/>
    </row>
    <row r="24" spans="1:11" s="400" customFormat="1" ht="28.5" customHeight="1">
      <c r="A24" s="393"/>
      <c r="B24" s="394"/>
      <c r="C24" s="395"/>
      <c r="D24" s="396"/>
      <c r="E24" s="397"/>
      <c r="F24" s="397"/>
      <c r="G24" s="397"/>
      <c r="H24" s="398" t="str">
        <f t="shared" si="0"/>
        <v/>
      </c>
      <c r="I24" s="396"/>
      <c r="J24" s="396"/>
      <c r="K24" s="399"/>
    </row>
    <row r="25" spans="1:11" s="400" customFormat="1" ht="28.5" customHeight="1">
      <c r="A25" s="393"/>
      <c r="B25" s="394"/>
      <c r="C25" s="395"/>
      <c r="D25" s="396"/>
      <c r="E25" s="397"/>
      <c r="F25" s="397"/>
      <c r="G25" s="397"/>
      <c r="H25" s="398" t="str">
        <f t="shared" si="0"/>
        <v/>
      </c>
      <c r="I25" s="396"/>
      <c r="J25" s="396"/>
      <c r="K25" s="399"/>
    </row>
    <row r="26" spans="1:11" ht="28.5" customHeight="1">
      <c r="A26" s="402" t="s">
        <v>485</v>
      </c>
      <c r="B26" s="403"/>
      <c r="C26" s="403"/>
      <c r="D26" s="403"/>
      <c r="E26" s="403"/>
      <c r="F26" s="403"/>
      <c r="G26" s="404"/>
      <c r="H26" s="405">
        <f>IF(G6&lt;&gt;" ",SUM(H11:H25),"")</f>
        <v>0</v>
      </c>
      <c r="I26" s="406" t="s">
        <v>486</v>
      </c>
      <c r="J26" s="407"/>
      <c r="K26" s="408"/>
    </row>
    <row r="28" spans="1:11" ht="18.75">
      <c r="A28" s="373" t="s">
        <v>487</v>
      </c>
      <c r="E28" s="377" t="s">
        <v>488</v>
      </c>
      <c r="F28" s="379"/>
      <c r="G28" s="378"/>
      <c r="H28" s="379" t="s">
        <v>489</v>
      </c>
      <c r="I28" s="379"/>
      <c r="J28" s="380"/>
    </row>
    <row r="29" spans="1:11">
      <c r="B29" s="409"/>
      <c r="E29" s="410" t="s">
        <v>490</v>
      </c>
      <c r="F29" s="411" t="s">
        <v>491</v>
      </c>
      <c r="G29" s="411" t="s">
        <v>492</v>
      </c>
      <c r="H29" s="412"/>
      <c r="I29" s="412"/>
      <c r="J29" s="413"/>
    </row>
    <row r="30" spans="1:11" ht="43.5" customHeight="1">
      <c r="A30" s="414" t="s">
        <v>503</v>
      </c>
      <c r="E30" s="415"/>
      <c r="F30" s="407"/>
      <c r="G30" s="407"/>
      <c r="H30" s="416"/>
      <c r="I30" s="403"/>
      <c r="J30" s="417"/>
    </row>
    <row r="31" spans="1:11" ht="11.25" customHeight="1">
      <c r="A31" s="414"/>
      <c r="E31" s="418"/>
      <c r="F31" s="418"/>
      <c r="G31" s="418"/>
      <c r="H31" s="419"/>
      <c r="I31" s="420"/>
      <c r="J31" s="420"/>
    </row>
    <row r="32" spans="1:11">
      <c r="I32" s="421" t="s">
        <v>493</v>
      </c>
    </row>
  </sheetData>
  <mergeCells count="8">
    <mergeCell ref="J9:J10"/>
    <mergeCell ref="K9:K10"/>
    <mergeCell ref="E9:G9"/>
    <mergeCell ref="A9:A10"/>
    <mergeCell ref="D9:D10"/>
    <mergeCell ref="B9:C9"/>
    <mergeCell ref="H9:H10"/>
    <mergeCell ref="I9:I10"/>
  </mergeCells>
  <phoneticPr fontId="23"/>
  <pageMargins left="0.41" right="0.17" top="0.87" bottom="0.79" header="0.51200000000000001" footer="0.51200000000000001"/>
  <pageSetup paperSize="9" orientation="portrait" r:id="rId1"/>
  <headerFooter alignWithMargins="0">
    <oddFooter>&amp;R&amp;8様式（１５）２００３．８</oddFooter>
  </headerFooter>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GP35"/>
  <sheetViews>
    <sheetView zoomScaleNormal="100" workbookViewId="0">
      <pane xSplit="8" ySplit="5" topLeftCell="I6" activePane="bottomRight" state="frozen"/>
      <selection pane="topRight" activeCell="I1" sqref="I1"/>
      <selection pane="bottomLeft" activeCell="A6" sqref="A6"/>
      <selection pane="bottomRight" activeCell="I6" sqref="I6"/>
    </sheetView>
  </sheetViews>
  <sheetFormatPr defaultRowHeight="13.5"/>
  <cols>
    <col min="1" max="1" width="24.5" customWidth="1"/>
    <col min="2" max="2" width="6.875" hidden="1" customWidth="1"/>
    <col min="3" max="3" width="11.75" style="346" customWidth="1"/>
    <col min="4" max="4" width="4.875" style="346" hidden="1" customWidth="1"/>
    <col min="5" max="5" width="11.75" style="346" customWidth="1"/>
    <col min="6" max="6" width="6.875" style="346" hidden="1" customWidth="1"/>
    <col min="7" max="7" width="11.75" style="346" customWidth="1"/>
    <col min="8" max="8" width="3.125" customWidth="1"/>
    <col min="9" max="152" width="1.25" customWidth="1"/>
    <col min="153" max="157" width="17.125" hidden="1" customWidth="1"/>
    <col min="158" max="158" width="14.375" customWidth="1"/>
    <col min="159" max="171" width="11.375" customWidth="1"/>
  </cols>
  <sheetData>
    <row r="1" spans="1:198" ht="21.75" customHeight="1"/>
    <row r="2" spans="1:198" ht="35.25" customHeight="1">
      <c r="W2" s="1457" t="s">
        <v>148</v>
      </c>
      <c r="X2" s="1457"/>
      <c r="Y2" s="1457"/>
      <c r="Z2" s="1457"/>
      <c r="AA2" s="1457"/>
      <c r="AB2" s="1457"/>
      <c r="AC2" s="1457"/>
      <c r="AD2" s="1457"/>
      <c r="AE2" s="1457"/>
      <c r="AF2" s="1457"/>
      <c r="AG2" s="1457"/>
      <c r="AH2" s="1457"/>
      <c r="AI2" s="1457"/>
      <c r="AJ2" s="1457"/>
      <c r="AK2" s="1457"/>
      <c r="AL2" s="1460" t="s">
        <v>149</v>
      </c>
      <c r="AM2" s="1460"/>
      <c r="AN2" s="1460"/>
      <c r="AO2" s="1460"/>
      <c r="AP2" s="1460"/>
      <c r="AQ2" s="1460"/>
      <c r="AR2" s="1460"/>
      <c r="AS2" s="1460"/>
      <c r="AT2" s="1460"/>
      <c r="AU2" s="1460"/>
      <c r="AV2" s="1460"/>
      <c r="AW2" s="1460"/>
      <c r="AX2" s="1460"/>
      <c r="AY2" s="1460"/>
      <c r="AZ2" s="1460"/>
      <c r="BA2" s="1459" t="s">
        <v>150</v>
      </c>
      <c r="BB2" s="1459"/>
      <c r="BC2" s="1459"/>
      <c r="BD2" s="1459"/>
      <c r="BE2" s="1459"/>
      <c r="BF2" s="1459"/>
      <c r="BG2" s="1459"/>
      <c r="BH2" s="1459"/>
      <c r="BI2" s="1459"/>
      <c r="BJ2" s="1459"/>
      <c r="BK2" s="1459"/>
      <c r="BL2" s="1459"/>
      <c r="BM2" s="1459"/>
      <c r="BN2" s="1459"/>
      <c r="BO2" s="1459"/>
      <c r="BP2" s="1456" t="s">
        <v>278</v>
      </c>
      <c r="BQ2" s="1456"/>
      <c r="BR2" s="1456"/>
      <c r="BS2" s="1456"/>
      <c r="BT2" s="1456"/>
      <c r="BU2" s="1456"/>
      <c r="BV2" s="1456"/>
      <c r="BW2" s="1456"/>
      <c r="BX2" s="1456"/>
      <c r="BY2" s="1456"/>
      <c r="BZ2" s="1456"/>
      <c r="CA2" s="1456"/>
      <c r="CB2" s="1456"/>
      <c r="CC2" s="1456"/>
      <c r="CD2" s="1456"/>
      <c r="CE2" s="1454" t="s">
        <v>279</v>
      </c>
      <c r="CF2" s="1454"/>
      <c r="CG2" s="1454"/>
      <c r="CH2" s="1454"/>
      <c r="CI2" s="1454"/>
      <c r="CJ2" s="1454"/>
      <c r="CK2" s="1454"/>
      <c r="CL2" s="1454"/>
      <c r="CM2" s="1454"/>
      <c r="CN2" s="1454"/>
      <c r="CO2" s="1454"/>
      <c r="CP2" s="1454"/>
      <c r="CQ2" s="1454"/>
      <c r="CR2" s="1454"/>
      <c r="CS2" s="1454"/>
      <c r="CT2" s="1458" t="s">
        <v>251</v>
      </c>
      <c r="CU2" s="1458"/>
      <c r="CV2" s="1458"/>
      <c r="CW2" s="1458"/>
      <c r="CX2" s="1458"/>
      <c r="CY2" s="1458"/>
      <c r="CZ2" s="1458"/>
      <c r="DA2" s="1458"/>
      <c r="DB2" s="1458"/>
      <c r="DC2" s="1458"/>
      <c r="DD2" s="1458"/>
      <c r="DE2" s="1458"/>
      <c r="DF2" s="1458"/>
      <c r="DG2" s="1458"/>
      <c r="DH2" s="1458"/>
    </row>
    <row r="3" spans="1:198" ht="106.15" customHeight="1" thickBot="1"/>
    <row r="4" spans="1:198">
      <c r="A4" s="1440" t="s">
        <v>408</v>
      </c>
      <c r="B4" s="1445" t="s">
        <v>280</v>
      </c>
      <c r="C4" s="1445" t="s">
        <v>254</v>
      </c>
      <c r="D4" s="1445" t="s">
        <v>280</v>
      </c>
      <c r="E4" s="1445" t="s">
        <v>253</v>
      </c>
      <c r="F4" s="1445" t="s">
        <v>280</v>
      </c>
      <c r="G4" s="1445" t="s">
        <v>252</v>
      </c>
      <c r="H4" t="s">
        <v>151</v>
      </c>
      <c r="I4" s="1449">
        <v>0</v>
      </c>
      <c r="J4" s="1450"/>
      <c r="K4" s="1450"/>
      <c r="L4" s="1450"/>
      <c r="M4" s="1450"/>
      <c r="N4" s="1450"/>
      <c r="O4" s="1450">
        <v>2.0833333333333332E-2</v>
      </c>
      <c r="P4" s="1450"/>
      <c r="Q4" s="1450"/>
      <c r="R4" s="1450"/>
      <c r="S4" s="1450"/>
      <c r="T4" s="1453"/>
      <c r="U4" s="1449">
        <v>4.1666666666666664E-2</v>
      </c>
      <c r="V4" s="1450"/>
      <c r="W4" s="1450"/>
      <c r="X4" s="1450"/>
      <c r="Y4" s="1450"/>
      <c r="Z4" s="1450"/>
      <c r="AA4" s="1455">
        <v>6.25E-2</v>
      </c>
      <c r="AB4" s="1450"/>
      <c r="AC4" s="1450"/>
      <c r="AD4" s="1450"/>
      <c r="AE4" s="1450"/>
      <c r="AF4" s="1452"/>
      <c r="AG4" s="1449">
        <v>8.3333333333333301E-2</v>
      </c>
      <c r="AH4" s="1450"/>
      <c r="AI4" s="1450"/>
      <c r="AJ4" s="1450"/>
      <c r="AK4" s="1450"/>
      <c r="AL4" s="1450"/>
      <c r="AM4" s="1450">
        <v>0.104166666666667</v>
      </c>
      <c r="AN4" s="1450"/>
      <c r="AO4" s="1450"/>
      <c r="AP4" s="1450"/>
      <c r="AQ4" s="1450"/>
      <c r="AR4" s="1452"/>
      <c r="AS4" s="1449">
        <v>0.125</v>
      </c>
      <c r="AT4" s="1450"/>
      <c r="AU4" s="1450"/>
      <c r="AV4" s="1450"/>
      <c r="AW4" s="1450"/>
      <c r="AX4" s="1450"/>
      <c r="AY4" s="1450">
        <v>0.14583333333333301</v>
      </c>
      <c r="AZ4" s="1450"/>
      <c r="BA4" s="1450"/>
      <c r="BB4" s="1450"/>
      <c r="BC4" s="1450"/>
      <c r="BD4" s="1453"/>
      <c r="BE4" s="1449">
        <v>0.16666666666666699</v>
      </c>
      <c r="BF4" s="1450"/>
      <c r="BG4" s="1450"/>
      <c r="BH4" s="1450"/>
      <c r="BI4" s="1450"/>
      <c r="BJ4" s="1450"/>
      <c r="BK4" s="1455">
        <v>0.1875</v>
      </c>
      <c r="BL4" s="1450"/>
      <c r="BM4" s="1450"/>
      <c r="BN4" s="1450"/>
      <c r="BO4" s="1450"/>
      <c r="BP4" s="1452"/>
      <c r="BQ4" s="1449">
        <v>0.20833333333333301</v>
      </c>
      <c r="BR4" s="1450"/>
      <c r="BS4" s="1450"/>
      <c r="BT4" s="1450"/>
      <c r="BU4" s="1450"/>
      <c r="BV4" s="1450"/>
      <c r="BW4" s="1450">
        <v>0.22916666666666699</v>
      </c>
      <c r="BX4" s="1450"/>
      <c r="BY4" s="1450"/>
      <c r="BZ4" s="1450"/>
      <c r="CA4" s="1450"/>
      <c r="CB4" s="1452"/>
      <c r="CC4" s="1449">
        <v>0.25</v>
      </c>
      <c r="CD4" s="1450"/>
      <c r="CE4" s="1450"/>
      <c r="CF4" s="1450"/>
      <c r="CG4" s="1450"/>
      <c r="CH4" s="1450"/>
      <c r="CI4" s="1450">
        <v>0.27083333333333298</v>
      </c>
      <c r="CJ4" s="1450"/>
      <c r="CK4" s="1450"/>
      <c r="CL4" s="1450"/>
      <c r="CM4" s="1450"/>
      <c r="CN4" s="1453"/>
      <c r="CO4" s="1449">
        <v>0.29166666666666702</v>
      </c>
      <c r="CP4" s="1450"/>
      <c r="CQ4" s="1450"/>
      <c r="CR4" s="1450"/>
      <c r="CS4" s="1450"/>
      <c r="CT4" s="1450"/>
      <c r="CU4" s="1455">
        <v>0.3125</v>
      </c>
      <c r="CV4" s="1450"/>
      <c r="CW4" s="1450"/>
      <c r="CX4" s="1450"/>
      <c r="CY4" s="1450"/>
      <c r="CZ4" s="1452"/>
      <c r="DA4" s="1449">
        <v>0.33333333333333298</v>
      </c>
      <c r="DB4" s="1450"/>
      <c r="DC4" s="1450"/>
      <c r="DD4" s="1450"/>
      <c r="DE4" s="1450"/>
      <c r="DF4" s="1450"/>
      <c r="DG4" s="1450">
        <v>0.35416666666666702</v>
      </c>
      <c r="DH4" s="1450"/>
      <c r="DI4" s="1450"/>
      <c r="DJ4" s="1450"/>
      <c r="DK4" s="1450"/>
      <c r="DL4" s="1452"/>
      <c r="DM4" s="1449">
        <v>0.375</v>
      </c>
      <c r="DN4" s="1450"/>
      <c r="DO4" s="1450"/>
      <c r="DP4" s="1450"/>
      <c r="DQ4" s="1450"/>
      <c r="DR4" s="1453"/>
      <c r="DS4" s="1450">
        <v>0.39583333333333298</v>
      </c>
      <c r="DT4" s="1450"/>
      <c r="DU4" s="1450"/>
      <c r="DV4" s="1450"/>
      <c r="DW4" s="1450"/>
      <c r="DX4" s="1453"/>
      <c r="DY4" s="1449">
        <v>0.41666666666666702</v>
      </c>
      <c r="DZ4" s="1450"/>
      <c r="EA4" s="1450"/>
      <c r="EB4" s="1450"/>
      <c r="EC4" s="1450"/>
      <c r="ED4" s="1450"/>
      <c r="EE4" s="1455">
        <v>0.4375</v>
      </c>
      <c r="EF4" s="1450"/>
      <c r="EG4" s="1450"/>
      <c r="EH4" s="1450"/>
      <c r="EI4" s="1450"/>
      <c r="EJ4" s="1452"/>
      <c r="EK4" s="1449">
        <v>0.45833333333333298</v>
      </c>
      <c r="EL4" s="1450"/>
      <c r="EM4" s="1450"/>
      <c r="EN4" s="1450"/>
      <c r="EO4" s="1450"/>
      <c r="EP4" s="1453"/>
      <c r="EQ4" s="1450">
        <v>0.47916666666666702</v>
      </c>
      <c r="ER4" s="1450"/>
      <c r="ES4" s="1450"/>
      <c r="ET4" s="1450"/>
      <c r="EU4" s="1450"/>
      <c r="EV4" s="1452"/>
      <c r="EW4" s="1443" t="s">
        <v>407</v>
      </c>
      <c r="EX4" s="1443" t="s">
        <v>407</v>
      </c>
      <c r="EY4" s="1443" t="s">
        <v>407</v>
      </c>
      <c r="EZ4" s="1443" t="s">
        <v>407</v>
      </c>
      <c r="FA4" s="1443" t="s">
        <v>407</v>
      </c>
      <c r="FB4" s="1465" t="s">
        <v>405</v>
      </c>
      <c r="FC4" s="1463" t="s">
        <v>403</v>
      </c>
      <c r="FD4" s="1463" t="s">
        <v>404</v>
      </c>
      <c r="FE4" s="1463" t="s">
        <v>414</v>
      </c>
      <c r="FF4" s="1463" t="s">
        <v>413</v>
      </c>
      <c r="FG4" s="1463" t="s">
        <v>315</v>
      </c>
      <c r="FH4" s="1463"/>
      <c r="FI4" s="1463"/>
      <c r="FJ4" s="1463"/>
      <c r="FK4" s="1463"/>
      <c r="FL4" s="1463"/>
      <c r="FM4" s="1463"/>
      <c r="FN4" s="1463"/>
      <c r="FO4" s="1463"/>
    </row>
    <row r="5" spans="1:198" ht="14.25" thickBot="1">
      <c r="A5" s="1440"/>
      <c r="B5" s="1438"/>
      <c r="C5" s="1438"/>
      <c r="D5" s="1438"/>
      <c r="E5" s="1438"/>
      <c r="F5" s="1438"/>
      <c r="G5" s="1438"/>
      <c r="H5" t="s">
        <v>152</v>
      </c>
      <c r="I5" s="1446">
        <v>0.5</v>
      </c>
      <c r="J5" s="1447"/>
      <c r="K5" s="1447"/>
      <c r="L5" s="1447"/>
      <c r="M5" s="1447"/>
      <c r="N5" s="1447"/>
      <c r="O5" s="1447">
        <v>0.52083333333333337</v>
      </c>
      <c r="P5" s="1447"/>
      <c r="Q5" s="1447"/>
      <c r="R5" s="1447"/>
      <c r="S5" s="1447"/>
      <c r="T5" s="1448"/>
      <c r="U5" s="1446">
        <v>0.54166666666666696</v>
      </c>
      <c r="V5" s="1447"/>
      <c r="W5" s="1447"/>
      <c r="X5" s="1447"/>
      <c r="Y5" s="1447"/>
      <c r="Z5" s="1447"/>
      <c r="AA5" s="1447">
        <v>0.5625</v>
      </c>
      <c r="AB5" s="1447"/>
      <c r="AC5" s="1447"/>
      <c r="AD5" s="1447"/>
      <c r="AE5" s="1447"/>
      <c r="AF5" s="1451"/>
      <c r="AG5" s="1446">
        <v>0.58333333333333304</v>
      </c>
      <c r="AH5" s="1447"/>
      <c r="AI5" s="1447"/>
      <c r="AJ5" s="1447"/>
      <c r="AK5" s="1447"/>
      <c r="AL5" s="1447"/>
      <c r="AM5" s="1447">
        <v>0.60416666666666696</v>
      </c>
      <c r="AN5" s="1447"/>
      <c r="AO5" s="1447"/>
      <c r="AP5" s="1447"/>
      <c r="AQ5" s="1447"/>
      <c r="AR5" s="1451"/>
      <c r="AS5" s="1446">
        <v>0.625</v>
      </c>
      <c r="AT5" s="1447"/>
      <c r="AU5" s="1447"/>
      <c r="AV5" s="1447"/>
      <c r="AW5" s="1447"/>
      <c r="AX5" s="1447"/>
      <c r="AY5" s="1447">
        <v>0.64583333333333404</v>
      </c>
      <c r="AZ5" s="1447"/>
      <c r="BA5" s="1447"/>
      <c r="BB5" s="1447"/>
      <c r="BC5" s="1447"/>
      <c r="BD5" s="1448"/>
      <c r="BE5" s="1461">
        <v>0.66666666666666696</v>
      </c>
      <c r="BF5" s="1462"/>
      <c r="BG5" s="1462"/>
      <c r="BH5" s="1462"/>
      <c r="BI5" s="1462"/>
      <c r="BJ5" s="1462"/>
      <c r="BK5" s="1447">
        <v>0.6875</v>
      </c>
      <c r="BL5" s="1447"/>
      <c r="BM5" s="1447"/>
      <c r="BN5" s="1447"/>
      <c r="BO5" s="1447"/>
      <c r="BP5" s="1451"/>
      <c r="BQ5" s="1446">
        <v>0.70833333333333404</v>
      </c>
      <c r="BR5" s="1447"/>
      <c r="BS5" s="1447"/>
      <c r="BT5" s="1447"/>
      <c r="BU5" s="1447"/>
      <c r="BV5" s="1447"/>
      <c r="BW5" s="1447">
        <v>0.72916666666666696</v>
      </c>
      <c r="BX5" s="1447"/>
      <c r="BY5" s="1447"/>
      <c r="BZ5" s="1447"/>
      <c r="CA5" s="1447"/>
      <c r="CB5" s="1451"/>
      <c r="CC5" s="1446">
        <v>0.75</v>
      </c>
      <c r="CD5" s="1447"/>
      <c r="CE5" s="1447"/>
      <c r="CF5" s="1447"/>
      <c r="CG5" s="1447"/>
      <c r="CH5" s="1447"/>
      <c r="CI5" s="1447">
        <v>0.77083333333333404</v>
      </c>
      <c r="CJ5" s="1447"/>
      <c r="CK5" s="1447"/>
      <c r="CL5" s="1447"/>
      <c r="CM5" s="1447"/>
      <c r="CN5" s="1448"/>
      <c r="CO5" s="1446">
        <v>0.79166666666666696</v>
      </c>
      <c r="CP5" s="1447"/>
      <c r="CQ5" s="1447"/>
      <c r="CR5" s="1447"/>
      <c r="CS5" s="1447"/>
      <c r="CT5" s="1447"/>
      <c r="CU5" s="1447">
        <v>0.812500000000001</v>
      </c>
      <c r="CV5" s="1447"/>
      <c r="CW5" s="1447"/>
      <c r="CX5" s="1447"/>
      <c r="CY5" s="1447"/>
      <c r="CZ5" s="1451"/>
      <c r="DA5" s="1446">
        <v>0.83333333333333404</v>
      </c>
      <c r="DB5" s="1447"/>
      <c r="DC5" s="1447"/>
      <c r="DD5" s="1447"/>
      <c r="DE5" s="1447"/>
      <c r="DF5" s="1447"/>
      <c r="DG5" s="1447">
        <v>0.85416666666666696</v>
      </c>
      <c r="DH5" s="1447"/>
      <c r="DI5" s="1447"/>
      <c r="DJ5" s="1447"/>
      <c r="DK5" s="1447"/>
      <c r="DL5" s="1451"/>
      <c r="DM5" s="1446">
        <v>0.875000000000001</v>
      </c>
      <c r="DN5" s="1447"/>
      <c r="DO5" s="1447"/>
      <c r="DP5" s="1447"/>
      <c r="DQ5" s="1447"/>
      <c r="DR5" s="1448"/>
      <c r="DS5" s="1447">
        <v>0.89583333333333404</v>
      </c>
      <c r="DT5" s="1447"/>
      <c r="DU5" s="1447"/>
      <c r="DV5" s="1447"/>
      <c r="DW5" s="1447"/>
      <c r="DX5" s="1448"/>
      <c r="DY5" s="1446">
        <v>0.91666666666666696</v>
      </c>
      <c r="DZ5" s="1447"/>
      <c r="EA5" s="1447"/>
      <c r="EB5" s="1447"/>
      <c r="EC5" s="1447"/>
      <c r="ED5" s="1447"/>
      <c r="EE5" s="1447">
        <v>0.937500000000001</v>
      </c>
      <c r="EF5" s="1447"/>
      <c r="EG5" s="1447"/>
      <c r="EH5" s="1447"/>
      <c r="EI5" s="1447"/>
      <c r="EJ5" s="1451"/>
      <c r="EK5" s="1446">
        <v>0.95833333333333404</v>
      </c>
      <c r="EL5" s="1447"/>
      <c r="EM5" s="1447"/>
      <c r="EN5" s="1447"/>
      <c r="EO5" s="1447"/>
      <c r="EP5" s="1448"/>
      <c r="EQ5" s="1447">
        <v>0.97916666666666796</v>
      </c>
      <c r="ER5" s="1447"/>
      <c r="ES5" s="1447"/>
      <c r="ET5" s="1447"/>
      <c r="EU5" s="1447"/>
      <c r="EV5" s="1451"/>
      <c r="EW5" s="1444"/>
      <c r="EX5" s="1444"/>
      <c r="EY5" s="1444"/>
      <c r="EZ5" s="1444"/>
      <c r="FA5" s="1444"/>
      <c r="FB5" s="1466"/>
      <c r="FC5" s="1464"/>
      <c r="FD5" s="1463"/>
      <c r="FE5" s="1464"/>
      <c r="FF5" s="1464"/>
      <c r="FG5" s="1464"/>
      <c r="FH5" s="1464"/>
      <c r="FI5" s="1464"/>
      <c r="FJ5" s="1464"/>
      <c r="FK5" s="1464"/>
      <c r="FL5" s="1464"/>
      <c r="FM5" s="1464"/>
      <c r="FN5" s="1464"/>
      <c r="FO5" s="1464"/>
    </row>
    <row r="6" spans="1:198">
      <c r="A6" s="1438" t="s">
        <v>385</v>
      </c>
      <c r="B6" s="1438" t="str">
        <f>CONCATENATE(TEXT(HOUR(C6),"0"),":",TEXT(MINUTE(C6),"00"))</f>
        <v>9:45</v>
      </c>
      <c r="C6" s="1439">
        <v>0.40625</v>
      </c>
      <c r="D6" s="1440" t="str">
        <f>CONCATENATE(TEXT(HOUR(E6),"0"),":",TEXT(MINUTE(E6),"00"))</f>
        <v>9:45</v>
      </c>
      <c r="E6" s="1439">
        <v>0.40625</v>
      </c>
      <c r="F6" s="1440" t="str">
        <f>CONCATENATE(TEXT(HOUR(G6),"0"),":",TEXT(MINUTE(G6),"00"))</f>
        <v>18:30</v>
      </c>
      <c r="G6" s="1439">
        <v>0.77083333333333337</v>
      </c>
      <c r="H6" t="s">
        <v>151</v>
      </c>
      <c r="I6" s="98"/>
      <c r="J6" s="99"/>
      <c r="K6" s="99"/>
      <c r="L6" s="99"/>
      <c r="M6" s="99"/>
      <c r="N6" s="100"/>
      <c r="O6" s="101"/>
      <c r="P6" s="99"/>
      <c r="Q6" s="99"/>
      <c r="R6" s="99"/>
      <c r="S6" s="99"/>
      <c r="T6" s="99"/>
      <c r="U6" s="98"/>
      <c r="V6" s="99"/>
      <c r="W6" s="99"/>
      <c r="X6" s="99"/>
      <c r="Y6" s="99"/>
      <c r="Z6" s="100"/>
      <c r="AA6" s="101"/>
      <c r="AB6" s="99"/>
      <c r="AC6" s="99"/>
      <c r="AD6" s="99"/>
      <c r="AE6" s="99"/>
      <c r="AF6" s="102"/>
      <c r="AG6" s="98"/>
      <c r="AH6" s="99"/>
      <c r="AI6" s="99"/>
      <c r="AJ6" s="99"/>
      <c r="AK6" s="99"/>
      <c r="AL6" s="100"/>
      <c r="AM6" s="142"/>
      <c r="AN6" s="140"/>
      <c r="AO6" s="140"/>
      <c r="AP6" s="140"/>
      <c r="AQ6" s="140"/>
      <c r="AR6" s="143"/>
      <c r="AS6" s="98"/>
      <c r="AT6" s="99"/>
      <c r="AU6" s="99"/>
      <c r="AV6" s="99"/>
      <c r="AW6" s="99"/>
      <c r="AX6" s="100"/>
      <c r="AY6" s="101"/>
      <c r="AZ6" s="99"/>
      <c r="BA6" s="99"/>
      <c r="BB6" s="99"/>
      <c r="BC6" s="99"/>
      <c r="BD6" s="102"/>
      <c r="BE6" s="98"/>
      <c r="BF6" s="99"/>
      <c r="BG6" s="99"/>
      <c r="BH6" s="99"/>
      <c r="BI6" s="99"/>
      <c r="BJ6" s="100"/>
      <c r="BK6" s="101"/>
      <c r="BL6" s="99"/>
      <c r="BM6" s="99"/>
      <c r="BN6" s="99"/>
      <c r="BO6" s="99"/>
      <c r="BP6" s="102"/>
      <c r="BQ6" s="136"/>
      <c r="BR6" s="137"/>
      <c r="BS6" s="137"/>
      <c r="BT6" s="137"/>
      <c r="BU6" s="137"/>
      <c r="BV6" s="138"/>
      <c r="BW6" s="134"/>
      <c r="BX6" s="137"/>
      <c r="BY6" s="137"/>
      <c r="BZ6" s="137"/>
      <c r="CA6" s="137"/>
      <c r="CB6" s="135"/>
      <c r="CC6" s="136"/>
      <c r="CD6" s="137"/>
      <c r="CE6" s="137"/>
      <c r="CF6" s="137"/>
      <c r="CG6" s="137"/>
      <c r="CH6" s="138"/>
      <c r="CI6" s="134"/>
      <c r="CJ6" s="137"/>
      <c r="CK6" s="137"/>
      <c r="CL6" s="137"/>
      <c r="CM6" s="137"/>
      <c r="CN6" s="135"/>
      <c r="CO6" s="139"/>
      <c r="CP6" s="140"/>
      <c r="CQ6" s="140"/>
      <c r="CR6" s="140"/>
      <c r="CS6" s="140"/>
      <c r="CT6" s="141"/>
      <c r="CU6" s="134"/>
      <c r="CV6" s="137"/>
      <c r="CW6" s="137"/>
      <c r="CX6" s="137"/>
      <c r="CY6" s="137"/>
      <c r="CZ6" s="135"/>
      <c r="DA6" s="137"/>
      <c r="DB6" s="137"/>
      <c r="DC6" s="137"/>
      <c r="DD6" s="137"/>
      <c r="DE6" s="137"/>
      <c r="DF6" s="137"/>
      <c r="DG6" s="134"/>
      <c r="DH6" s="137"/>
      <c r="DI6" s="137"/>
      <c r="DJ6" s="137"/>
      <c r="DK6" s="137"/>
      <c r="DL6" s="137"/>
      <c r="DM6" s="136"/>
      <c r="DN6" s="137"/>
      <c r="DO6" s="137"/>
      <c r="DP6" s="137"/>
      <c r="DQ6" s="137"/>
      <c r="DR6" s="140"/>
      <c r="DS6" s="142"/>
      <c r="DT6" s="140"/>
      <c r="DU6" s="140"/>
      <c r="DV6" s="105"/>
      <c r="DW6" s="105"/>
      <c r="DX6" s="106"/>
      <c r="DY6" s="107"/>
      <c r="DZ6" s="105"/>
      <c r="EA6" s="105"/>
      <c r="EB6" s="105"/>
      <c r="EC6" s="105"/>
      <c r="ED6" s="109"/>
      <c r="EE6" s="108"/>
      <c r="EF6" s="105"/>
      <c r="EG6" s="105"/>
      <c r="EH6" s="105"/>
      <c r="EI6" s="105"/>
      <c r="EJ6" s="106"/>
      <c r="EK6" s="107"/>
      <c r="EL6" s="105"/>
      <c r="EM6" s="105"/>
      <c r="EN6" s="105"/>
      <c r="EO6" s="105"/>
      <c r="EP6" s="105"/>
      <c r="EQ6" s="108"/>
      <c r="ER6" s="105"/>
      <c r="ES6" s="105"/>
      <c r="ET6" s="105"/>
      <c r="EU6" s="105"/>
      <c r="EV6" s="106"/>
      <c r="FB6" s="335" t="s">
        <v>406</v>
      </c>
      <c r="FC6" s="359" t="s">
        <v>618</v>
      </c>
      <c r="FD6" s="359" t="s">
        <v>619</v>
      </c>
      <c r="FE6" s="359"/>
      <c r="FF6" s="359"/>
      <c r="FG6" s="359"/>
      <c r="FH6" s="359"/>
      <c r="FI6" s="359"/>
      <c r="FJ6" s="359"/>
      <c r="FK6" s="359"/>
      <c r="FL6" s="359"/>
      <c r="FM6" s="359"/>
      <c r="FN6" s="359"/>
      <c r="FO6" s="359"/>
      <c r="FQ6" s="425" t="s">
        <v>505</v>
      </c>
      <c r="FR6" s="425"/>
      <c r="FS6" s="425"/>
      <c r="FT6" s="425"/>
      <c r="FU6" s="425"/>
      <c r="FV6" s="425"/>
      <c r="FW6" s="425"/>
      <c r="FX6" s="425"/>
      <c r="FY6" s="425"/>
      <c r="FZ6" s="425"/>
      <c r="GA6" s="425"/>
      <c r="GB6" s="425"/>
      <c r="GC6" s="425"/>
      <c r="GD6" s="425"/>
      <c r="GE6" s="425"/>
      <c r="GF6" s="425"/>
      <c r="GG6" s="425"/>
      <c r="GH6" s="425"/>
      <c r="GI6" s="425"/>
      <c r="GJ6" s="425"/>
      <c r="GK6" s="425"/>
      <c r="GL6" s="425"/>
      <c r="GM6" s="425"/>
      <c r="GN6" s="425"/>
      <c r="GO6" s="425"/>
      <c r="GP6" s="425"/>
    </row>
    <row r="7" spans="1:198" ht="14.25" thickBot="1">
      <c r="A7" s="1438"/>
      <c r="B7" s="1438"/>
      <c r="C7" s="1439"/>
      <c r="D7" s="1440"/>
      <c r="E7" s="1439"/>
      <c r="F7" s="1440"/>
      <c r="G7" s="1439"/>
      <c r="H7" t="s">
        <v>152</v>
      </c>
      <c r="I7" s="132"/>
      <c r="J7" s="111"/>
      <c r="K7" s="424"/>
      <c r="L7" s="111"/>
      <c r="M7" s="111"/>
      <c r="N7" s="112"/>
      <c r="O7" s="113"/>
      <c r="P7" s="111"/>
      <c r="Q7" s="111"/>
      <c r="R7" s="131"/>
      <c r="S7" s="131"/>
      <c r="T7" s="131"/>
      <c r="U7" s="114"/>
      <c r="V7" s="115"/>
      <c r="W7" s="115"/>
      <c r="X7" s="115"/>
      <c r="Y7" s="115"/>
      <c r="Z7" s="116"/>
      <c r="AA7" s="117"/>
      <c r="AB7" s="115"/>
      <c r="AC7" s="115"/>
      <c r="AD7" s="115"/>
      <c r="AE7" s="115"/>
      <c r="AF7" s="118"/>
      <c r="AG7" s="114"/>
      <c r="AH7" s="115"/>
      <c r="AI7" s="115"/>
      <c r="AJ7" s="115"/>
      <c r="AK7" s="115"/>
      <c r="AL7" s="116"/>
      <c r="AM7" s="117"/>
      <c r="AN7" s="115"/>
      <c r="AO7" s="115"/>
      <c r="AP7" s="115"/>
      <c r="AQ7" s="115"/>
      <c r="AR7" s="118"/>
      <c r="AS7" s="114"/>
      <c r="AT7" s="115"/>
      <c r="AU7" s="115"/>
      <c r="AV7" s="115"/>
      <c r="AW7" s="115"/>
      <c r="AX7" s="116"/>
      <c r="AY7" s="117"/>
      <c r="AZ7" s="115"/>
      <c r="BA7" s="115"/>
      <c r="BB7" s="115"/>
      <c r="BC7" s="115"/>
      <c r="BD7" s="118"/>
      <c r="BE7" s="114"/>
      <c r="BF7" s="115"/>
      <c r="BG7" s="115"/>
      <c r="BH7" s="115"/>
      <c r="BI7" s="115"/>
      <c r="BJ7" s="116"/>
      <c r="BK7" s="117"/>
      <c r="BL7" s="115"/>
      <c r="BM7" s="115"/>
      <c r="BN7" s="115"/>
      <c r="BO7" s="115"/>
      <c r="BP7" s="118"/>
      <c r="BQ7" s="114"/>
      <c r="BR7" s="115"/>
      <c r="BS7" s="115"/>
      <c r="BT7" s="115"/>
      <c r="BU7" s="115"/>
      <c r="BV7" s="115"/>
      <c r="BW7" s="117"/>
      <c r="BX7" s="115"/>
      <c r="BY7" s="115"/>
      <c r="BZ7" s="115"/>
      <c r="CA7" s="115"/>
      <c r="CB7" s="118"/>
      <c r="CC7" s="114"/>
      <c r="CD7" s="115"/>
      <c r="CE7" s="115"/>
      <c r="CF7" s="115"/>
      <c r="CG7" s="115"/>
      <c r="CH7" s="115"/>
      <c r="CI7" s="129"/>
      <c r="CJ7" s="131"/>
      <c r="CK7" s="131"/>
      <c r="CL7" s="131"/>
      <c r="CM7" s="131"/>
      <c r="CN7" s="133"/>
      <c r="CO7" s="123"/>
      <c r="CP7" s="120"/>
      <c r="CQ7" s="120"/>
      <c r="CR7" s="120"/>
      <c r="CS7" s="120"/>
      <c r="CT7" s="124"/>
      <c r="CU7" s="121"/>
      <c r="CV7" s="120"/>
      <c r="CW7" s="120"/>
      <c r="CX7" s="120"/>
      <c r="CY7" s="120"/>
      <c r="CZ7" s="122"/>
      <c r="DA7" s="123"/>
      <c r="DB7" s="120"/>
      <c r="DC7" s="120"/>
      <c r="DD7" s="120"/>
      <c r="DE7" s="120"/>
      <c r="DF7" s="120"/>
      <c r="DG7" s="121"/>
      <c r="DH7" s="120"/>
      <c r="DI7" s="120"/>
      <c r="DJ7" s="120"/>
      <c r="DK7" s="120"/>
      <c r="DL7" s="120"/>
      <c r="DM7" s="123"/>
      <c r="DN7" s="120"/>
      <c r="DO7" s="120"/>
      <c r="DP7" s="120"/>
      <c r="DQ7" s="120"/>
      <c r="DR7" s="120"/>
      <c r="DS7" s="121"/>
      <c r="DT7" s="120"/>
      <c r="DU7" s="120"/>
      <c r="DV7" s="120"/>
      <c r="DW7" s="120"/>
      <c r="DX7" s="122"/>
      <c r="DY7" s="110"/>
      <c r="DZ7" s="111"/>
      <c r="EA7" s="111"/>
      <c r="EB7" s="111"/>
      <c r="EC7" s="111"/>
      <c r="ED7" s="112"/>
      <c r="EE7" s="125"/>
      <c r="EF7" s="126"/>
      <c r="EG7" s="126"/>
      <c r="EH7" s="126"/>
      <c r="EI7" s="126"/>
      <c r="EJ7" s="127"/>
      <c r="EK7" s="128"/>
      <c r="EL7" s="126"/>
      <c r="EM7" s="126"/>
      <c r="EN7" s="126"/>
      <c r="EO7" s="126"/>
      <c r="EP7" s="126"/>
      <c r="EQ7" s="125"/>
      <c r="ER7" s="126"/>
      <c r="ES7" s="126"/>
      <c r="ET7" s="126"/>
      <c r="EU7" s="126"/>
      <c r="EV7" s="127"/>
      <c r="FB7" s="335" t="s">
        <v>411</v>
      </c>
      <c r="FC7" s="359" t="s">
        <v>620</v>
      </c>
      <c r="FD7" s="359" t="s">
        <v>618</v>
      </c>
      <c r="FE7" s="359"/>
      <c r="FF7" s="360"/>
      <c r="FG7" s="359"/>
      <c r="FH7" s="359"/>
      <c r="FI7" s="359"/>
      <c r="FJ7" s="359"/>
      <c r="FK7" s="359"/>
      <c r="FL7" s="359"/>
      <c r="FM7" s="359"/>
      <c r="FN7" s="359"/>
      <c r="FO7" s="359"/>
      <c r="FQ7" s="425" t="s">
        <v>506</v>
      </c>
      <c r="FR7" s="425"/>
      <c r="FS7" s="425"/>
      <c r="FT7" s="425"/>
      <c r="FU7" s="425"/>
      <c r="FV7" s="425"/>
      <c r="FW7" s="425"/>
      <c r="FX7" s="425"/>
      <c r="FY7" s="425"/>
      <c r="FZ7" s="425"/>
      <c r="GA7" s="425"/>
      <c r="GB7" s="425"/>
      <c r="GC7" s="425"/>
      <c r="GD7" s="425"/>
      <c r="GE7" s="425"/>
      <c r="GF7" s="425"/>
      <c r="GG7" s="425"/>
      <c r="GH7" s="425"/>
      <c r="GI7" s="425"/>
      <c r="GJ7" s="425"/>
      <c r="GK7" s="425"/>
      <c r="GL7" s="425"/>
      <c r="GM7" s="425"/>
      <c r="GN7" s="425"/>
      <c r="GO7" s="425"/>
      <c r="GP7" s="425"/>
    </row>
    <row r="8" spans="1:198">
      <c r="A8" s="1438" t="s">
        <v>386</v>
      </c>
      <c r="B8" s="1438" t="str">
        <f>CONCATENATE(TEXT(HOUR(C8),"0"),":",TEXT(MINUTE(C8),"00"))</f>
        <v>8:50</v>
      </c>
      <c r="C8" s="1439">
        <v>0.36805555555555558</v>
      </c>
      <c r="D8" s="1440" t="str">
        <f>CONCATENATE(TEXT(HOUR(E8),"0"),":",TEXT(MINUTE(E8),"00"))</f>
        <v>8:50</v>
      </c>
      <c r="E8" s="1439">
        <v>0.36805555555555558</v>
      </c>
      <c r="F8" s="1440" t="str">
        <f>CONCATENATE(TEXT(HOUR(G8),"0"),":",TEXT(MINUTE(G8),"00"))</f>
        <v>17:35</v>
      </c>
      <c r="G8" s="1439">
        <v>0.73263888888888884</v>
      </c>
      <c r="H8" t="s">
        <v>151</v>
      </c>
      <c r="I8" s="98"/>
      <c r="J8" s="99"/>
      <c r="K8" s="99"/>
      <c r="L8" s="99"/>
      <c r="M8" s="99"/>
      <c r="N8" s="100"/>
      <c r="O8" s="101"/>
      <c r="P8" s="99"/>
      <c r="Q8" s="99"/>
      <c r="R8" s="99"/>
      <c r="S8" s="99"/>
      <c r="T8" s="99"/>
      <c r="U8" s="98"/>
      <c r="V8" s="99"/>
      <c r="W8" s="99"/>
      <c r="X8" s="99"/>
      <c r="Y8" s="99"/>
      <c r="Z8" s="100"/>
      <c r="AA8" s="101"/>
      <c r="AB8" s="99"/>
      <c r="AC8" s="99"/>
      <c r="AD8" s="99"/>
      <c r="AE8" s="99"/>
      <c r="AF8" s="102"/>
      <c r="AG8" s="98"/>
      <c r="AH8" s="99"/>
      <c r="AI8" s="99"/>
      <c r="AJ8" s="99"/>
      <c r="AK8" s="99"/>
      <c r="AL8" s="100"/>
      <c r="AM8" s="142"/>
      <c r="AN8" s="140"/>
      <c r="AO8" s="140"/>
      <c r="AP8" s="140"/>
      <c r="AQ8" s="140"/>
      <c r="AR8" s="143"/>
      <c r="AS8" s="98"/>
      <c r="AT8" s="99"/>
      <c r="AU8" s="99"/>
      <c r="AV8" s="99"/>
      <c r="AW8" s="99"/>
      <c r="AX8" s="100"/>
      <c r="AY8" s="101"/>
      <c r="AZ8" s="99"/>
      <c r="BA8" s="99"/>
      <c r="BB8" s="99"/>
      <c r="BC8" s="99"/>
      <c r="BD8" s="102"/>
      <c r="BE8" s="98"/>
      <c r="BF8" s="99"/>
      <c r="BG8" s="99"/>
      <c r="BH8" s="99"/>
      <c r="BI8" s="99"/>
      <c r="BJ8" s="100"/>
      <c r="BK8" s="101"/>
      <c r="BL8" s="99"/>
      <c r="BM8" s="99"/>
      <c r="BN8" s="99"/>
      <c r="BO8" s="99"/>
      <c r="BP8" s="102"/>
      <c r="BQ8" s="136"/>
      <c r="BR8" s="137"/>
      <c r="BS8" s="137"/>
      <c r="BT8" s="137"/>
      <c r="BU8" s="137"/>
      <c r="BV8" s="138"/>
      <c r="BW8" s="134"/>
      <c r="BX8" s="137"/>
      <c r="BY8" s="137"/>
      <c r="BZ8" s="137"/>
      <c r="CA8" s="137"/>
      <c r="CB8" s="135"/>
      <c r="CC8" s="136"/>
      <c r="CD8" s="137"/>
      <c r="CE8" s="137"/>
      <c r="CF8" s="137"/>
      <c r="CG8" s="137"/>
      <c r="CH8" s="138"/>
      <c r="CI8" s="134"/>
      <c r="CJ8" s="137"/>
      <c r="CK8" s="137"/>
      <c r="CL8" s="137"/>
      <c r="CM8" s="137"/>
      <c r="CN8" s="135"/>
      <c r="CO8" s="139"/>
      <c r="CP8" s="140"/>
      <c r="CQ8" s="140"/>
      <c r="CR8" s="140"/>
      <c r="CS8" s="140"/>
      <c r="CT8" s="141"/>
      <c r="CU8" s="134"/>
      <c r="CV8" s="137"/>
      <c r="CW8" s="137"/>
      <c r="CX8" s="137"/>
      <c r="CY8" s="137"/>
      <c r="CZ8" s="135"/>
      <c r="DA8" s="137"/>
      <c r="DB8" s="137"/>
      <c r="DC8" s="137"/>
      <c r="DD8" s="137"/>
      <c r="DE8" s="137"/>
      <c r="DF8" s="137"/>
      <c r="DG8" s="104"/>
      <c r="DH8" s="103"/>
      <c r="DI8" s="103"/>
      <c r="DJ8" s="103"/>
      <c r="DK8" s="105"/>
      <c r="DL8" s="106"/>
      <c r="DM8" s="107"/>
      <c r="DN8" s="105"/>
      <c r="DO8" s="105"/>
      <c r="DP8" s="105"/>
      <c r="DQ8" s="105"/>
      <c r="DR8" s="105"/>
      <c r="DS8" s="108"/>
      <c r="DT8" s="105"/>
      <c r="DU8" s="105"/>
      <c r="DV8" s="105"/>
      <c r="DW8" s="105"/>
      <c r="DX8" s="106"/>
      <c r="DY8" s="107"/>
      <c r="DZ8" s="105"/>
      <c r="EA8" s="105"/>
      <c r="EB8" s="105"/>
      <c r="EC8" s="105"/>
      <c r="ED8" s="109"/>
      <c r="EE8" s="108"/>
      <c r="EF8" s="105"/>
      <c r="EG8" s="105"/>
      <c r="EH8" s="105"/>
      <c r="EI8" s="105"/>
      <c r="EJ8" s="106"/>
      <c r="EK8" s="107"/>
      <c r="EL8" s="105"/>
      <c r="EM8" s="105"/>
      <c r="EN8" s="105"/>
      <c r="EO8" s="105"/>
      <c r="EP8" s="105"/>
      <c r="EQ8" s="108"/>
      <c r="ER8" s="105"/>
      <c r="ES8" s="105"/>
      <c r="ET8" s="140"/>
      <c r="EU8" s="140"/>
      <c r="EV8" s="143"/>
      <c r="FB8" s="335" t="s">
        <v>406</v>
      </c>
      <c r="FC8" s="359" t="s">
        <v>621</v>
      </c>
      <c r="FD8" s="359" t="s">
        <v>622</v>
      </c>
      <c r="FE8" s="359"/>
      <c r="FF8" s="359"/>
      <c r="FG8" s="359"/>
      <c r="FH8" s="359"/>
      <c r="FI8" s="359"/>
      <c r="FJ8" s="359"/>
      <c r="FK8" s="359"/>
      <c r="FL8" s="359"/>
      <c r="FM8" s="359"/>
      <c r="FN8" s="359"/>
      <c r="FO8" s="359"/>
      <c r="FQ8" s="425" t="s">
        <v>505</v>
      </c>
      <c r="FR8" s="425"/>
      <c r="FS8" s="425"/>
      <c r="FT8" s="425"/>
      <c r="FU8" s="425"/>
      <c r="FV8" s="425"/>
      <c r="FW8" s="425"/>
      <c r="FX8" s="425"/>
      <c r="FY8" s="425"/>
      <c r="FZ8" s="425"/>
      <c r="GA8" s="425"/>
      <c r="GB8" s="425"/>
      <c r="GC8" s="425"/>
      <c r="GD8" s="425"/>
      <c r="GE8" s="425"/>
      <c r="GF8" s="425"/>
      <c r="GG8" s="425"/>
      <c r="GH8" s="425"/>
      <c r="GI8" s="425"/>
      <c r="GJ8" s="425"/>
      <c r="GK8" s="425"/>
      <c r="GL8" s="425"/>
      <c r="GM8" s="425"/>
      <c r="GN8" s="425"/>
      <c r="GO8" s="425"/>
      <c r="GP8" s="425"/>
    </row>
    <row r="9" spans="1:198" ht="14.25" thickBot="1">
      <c r="A9" s="1438"/>
      <c r="B9" s="1438"/>
      <c r="C9" s="1439"/>
      <c r="D9" s="1440"/>
      <c r="E9" s="1439"/>
      <c r="F9" s="1440"/>
      <c r="G9" s="1439"/>
      <c r="H9" t="s">
        <v>152</v>
      </c>
      <c r="I9" s="132"/>
      <c r="J9" s="111"/>
      <c r="K9" s="424"/>
      <c r="L9" s="111"/>
      <c r="M9" s="111"/>
      <c r="N9" s="112"/>
      <c r="O9" s="113"/>
      <c r="P9" s="111"/>
      <c r="Q9" s="111"/>
      <c r="R9" s="115"/>
      <c r="S9" s="115"/>
      <c r="T9" s="115"/>
      <c r="U9" s="114"/>
      <c r="V9" s="115"/>
      <c r="W9" s="115"/>
      <c r="X9" s="115"/>
      <c r="Y9" s="115"/>
      <c r="Z9" s="116"/>
      <c r="AA9" s="117"/>
      <c r="AB9" s="115"/>
      <c r="AC9" s="115"/>
      <c r="AD9" s="115"/>
      <c r="AE9" s="115"/>
      <c r="AF9" s="118"/>
      <c r="AG9" s="114"/>
      <c r="AH9" s="115"/>
      <c r="AI9" s="115"/>
      <c r="AJ9" s="115"/>
      <c r="AK9" s="115"/>
      <c r="AL9" s="116"/>
      <c r="AM9" s="117"/>
      <c r="AN9" s="115"/>
      <c r="AO9" s="115"/>
      <c r="AP9" s="115"/>
      <c r="AQ9" s="115"/>
      <c r="AR9" s="118"/>
      <c r="AS9" s="114"/>
      <c r="AT9" s="115"/>
      <c r="AU9" s="115"/>
      <c r="AV9" s="115"/>
      <c r="AW9" s="115"/>
      <c r="AX9" s="116"/>
      <c r="AY9" s="117"/>
      <c r="AZ9" s="115"/>
      <c r="BA9" s="115"/>
      <c r="BB9" s="115"/>
      <c r="BC9" s="115"/>
      <c r="BD9" s="118"/>
      <c r="BE9" s="114"/>
      <c r="BF9" s="115"/>
      <c r="BG9" s="115"/>
      <c r="BH9" s="115"/>
      <c r="BI9" s="115"/>
      <c r="BJ9" s="116"/>
      <c r="BK9" s="117"/>
      <c r="BL9" s="115"/>
      <c r="BM9" s="115"/>
      <c r="BN9" s="115"/>
      <c r="BO9" s="115"/>
      <c r="BP9" s="118"/>
      <c r="BQ9" s="114"/>
      <c r="BR9" s="115"/>
      <c r="BS9" s="115"/>
      <c r="BT9" s="115"/>
      <c r="BU9" s="115"/>
      <c r="BV9" s="116"/>
      <c r="BW9" s="117"/>
      <c r="BX9" s="111"/>
      <c r="BY9" s="111"/>
      <c r="BZ9" s="111"/>
      <c r="CA9" s="111"/>
      <c r="CB9" s="119"/>
      <c r="CC9" s="110"/>
      <c r="CD9" s="120"/>
      <c r="CE9" s="120"/>
      <c r="CF9" s="120"/>
      <c r="CG9" s="120"/>
      <c r="CH9" s="120"/>
      <c r="CI9" s="121"/>
      <c r="CJ9" s="120"/>
      <c r="CK9" s="120"/>
      <c r="CL9" s="120"/>
      <c r="CM9" s="120"/>
      <c r="CN9" s="122"/>
      <c r="CO9" s="123"/>
      <c r="CP9" s="120"/>
      <c r="CQ9" s="120"/>
      <c r="CR9" s="120"/>
      <c r="CS9" s="120"/>
      <c r="CT9" s="124"/>
      <c r="CU9" s="121"/>
      <c r="CV9" s="120"/>
      <c r="CW9" s="120"/>
      <c r="CX9" s="120"/>
      <c r="CY9" s="120"/>
      <c r="CZ9" s="122"/>
      <c r="DA9" s="123"/>
      <c r="DB9" s="120"/>
      <c r="DC9" s="120"/>
      <c r="DD9" s="120"/>
      <c r="DE9" s="120"/>
      <c r="DF9" s="124"/>
      <c r="DG9" s="121"/>
      <c r="DH9" s="120"/>
      <c r="DI9" s="120"/>
      <c r="DJ9" s="120"/>
      <c r="DK9" s="120"/>
      <c r="DL9" s="122"/>
      <c r="DM9" s="123"/>
      <c r="DN9" s="120"/>
      <c r="DO9" s="120"/>
      <c r="DP9" s="120"/>
      <c r="DQ9" s="120"/>
      <c r="DR9" s="120"/>
      <c r="DS9" s="121"/>
      <c r="DT9" s="120"/>
      <c r="DU9" s="120"/>
      <c r="DV9" s="120"/>
      <c r="DW9" s="120"/>
      <c r="DX9" s="122"/>
      <c r="DY9" s="110"/>
      <c r="DZ9" s="111"/>
      <c r="EA9" s="111"/>
      <c r="EB9" s="111"/>
      <c r="EC9" s="111"/>
      <c r="ED9" s="112"/>
      <c r="EE9" s="125"/>
      <c r="EF9" s="126"/>
      <c r="EG9" s="126"/>
      <c r="EH9" s="126"/>
      <c r="EI9" s="126"/>
      <c r="EJ9" s="127"/>
      <c r="EK9" s="128"/>
      <c r="EL9" s="126"/>
      <c r="EM9" s="126"/>
      <c r="EN9" s="126"/>
      <c r="EO9" s="126"/>
      <c r="EP9" s="126"/>
      <c r="EQ9" s="125"/>
      <c r="ER9" s="126"/>
      <c r="ES9" s="126"/>
      <c r="ET9" s="126"/>
      <c r="EU9" s="126"/>
      <c r="EV9" s="127"/>
      <c r="FB9" s="335" t="s">
        <v>411</v>
      </c>
      <c r="FC9" s="359" t="s">
        <v>623</v>
      </c>
      <c r="FD9" s="359" t="s">
        <v>621</v>
      </c>
      <c r="FE9" s="359"/>
      <c r="FF9" s="359"/>
      <c r="FG9" s="371"/>
      <c r="FH9" s="359"/>
      <c r="FI9" s="359"/>
      <c r="FJ9" s="359"/>
      <c r="FK9" s="359"/>
      <c r="FL9" s="359"/>
      <c r="FM9" s="359"/>
      <c r="FN9" s="359"/>
      <c r="FO9" s="359"/>
      <c r="FQ9" s="425" t="s">
        <v>506</v>
      </c>
      <c r="FR9" s="425"/>
      <c r="FS9" s="425"/>
      <c r="FT9" s="425"/>
      <c r="FU9" s="425"/>
      <c r="FV9" s="425"/>
      <c r="FW9" s="425"/>
      <c r="FX9" s="425"/>
      <c r="FY9" s="425"/>
      <c r="FZ9" s="425"/>
      <c r="GA9" s="425"/>
      <c r="GB9" s="425"/>
      <c r="GC9" s="425"/>
      <c r="GD9" s="425"/>
      <c r="GE9" s="425"/>
      <c r="GF9" s="425"/>
      <c r="GG9" s="425"/>
      <c r="GH9" s="425"/>
      <c r="GI9" s="425"/>
      <c r="GJ9" s="425"/>
      <c r="GK9" s="425"/>
      <c r="GL9" s="425"/>
      <c r="GM9" s="425"/>
      <c r="GN9" s="425"/>
      <c r="GO9" s="425"/>
      <c r="GP9" s="425"/>
    </row>
    <row r="10" spans="1:198">
      <c r="A10" s="1438" t="s">
        <v>384</v>
      </c>
      <c r="B10" s="1438" t="str">
        <f>CONCATENATE(TEXT(HOUR(C10),"0"),":",TEXT(MINUTE(C10),"00"))</f>
        <v>10:00</v>
      </c>
      <c r="C10" s="1439">
        <v>0.41666666666666669</v>
      </c>
      <c r="D10" s="1440" t="str">
        <f>CONCATENATE(TEXT(HOUR(E10),"0"),":",TEXT(MINUTE(E10),"00"))</f>
        <v>10:00</v>
      </c>
      <c r="E10" s="1439">
        <v>0.41666666666666669</v>
      </c>
      <c r="F10" s="1440" t="str">
        <f>CONCATENATE(TEXT(HOUR(G10),"0"),":",TEXT(MINUTE(G10),"00"))</f>
        <v>18:30</v>
      </c>
      <c r="G10" s="1439">
        <v>0.77083333333333337</v>
      </c>
      <c r="H10" t="s">
        <v>151</v>
      </c>
      <c r="I10" s="98"/>
      <c r="J10" s="99"/>
      <c r="K10" s="99"/>
      <c r="L10" s="99"/>
      <c r="M10" s="99"/>
      <c r="N10" s="100"/>
      <c r="O10" s="101"/>
      <c r="P10" s="99"/>
      <c r="Q10" s="99"/>
      <c r="R10" s="99"/>
      <c r="S10" s="99"/>
      <c r="T10" s="99"/>
      <c r="U10" s="98"/>
      <c r="V10" s="99"/>
      <c r="W10" s="99"/>
      <c r="X10" s="99"/>
      <c r="Y10" s="99"/>
      <c r="Z10" s="100"/>
      <c r="AA10" s="101"/>
      <c r="AB10" s="99"/>
      <c r="AC10" s="99"/>
      <c r="AD10" s="99"/>
      <c r="AE10" s="99"/>
      <c r="AF10" s="102"/>
      <c r="AG10" s="98"/>
      <c r="AH10" s="99"/>
      <c r="AI10" s="99"/>
      <c r="AJ10" s="99"/>
      <c r="AK10" s="99"/>
      <c r="AL10" s="100"/>
      <c r="AM10" s="142"/>
      <c r="AN10" s="140"/>
      <c r="AO10" s="140"/>
      <c r="AP10" s="140"/>
      <c r="AQ10" s="140"/>
      <c r="AR10" s="143"/>
      <c r="AS10" s="98"/>
      <c r="AT10" s="99"/>
      <c r="AU10" s="99"/>
      <c r="AV10" s="99"/>
      <c r="AW10" s="99"/>
      <c r="AX10" s="100"/>
      <c r="AY10" s="101"/>
      <c r="AZ10" s="99"/>
      <c r="BA10" s="99"/>
      <c r="BB10" s="99"/>
      <c r="BC10" s="99"/>
      <c r="BD10" s="102"/>
      <c r="BE10" s="98"/>
      <c r="BF10" s="99"/>
      <c r="BG10" s="99"/>
      <c r="BH10" s="99"/>
      <c r="BI10" s="99"/>
      <c r="BJ10" s="100"/>
      <c r="BK10" s="101"/>
      <c r="BL10" s="99"/>
      <c r="BM10" s="99"/>
      <c r="BN10" s="99"/>
      <c r="BO10" s="99"/>
      <c r="BP10" s="102"/>
      <c r="BQ10" s="136"/>
      <c r="BR10" s="137"/>
      <c r="BS10" s="137"/>
      <c r="BT10" s="137"/>
      <c r="BU10" s="137"/>
      <c r="BV10" s="138"/>
      <c r="BW10" s="134"/>
      <c r="BX10" s="137"/>
      <c r="BY10" s="137"/>
      <c r="BZ10" s="137"/>
      <c r="CA10" s="137"/>
      <c r="CB10" s="135"/>
      <c r="CC10" s="136"/>
      <c r="CD10" s="137"/>
      <c r="CE10" s="137"/>
      <c r="CF10" s="137"/>
      <c r="CG10" s="137"/>
      <c r="CH10" s="138"/>
      <c r="CI10" s="134"/>
      <c r="CJ10" s="137"/>
      <c r="CK10" s="137"/>
      <c r="CL10" s="137"/>
      <c r="CM10" s="137"/>
      <c r="CN10" s="135"/>
      <c r="CO10" s="139"/>
      <c r="CP10" s="140"/>
      <c r="CQ10" s="140"/>
      <c r="CR10" s="140"/>
      <c r="CS10" s="140"/>
      <c r="CT10" s="141"/>
      <c r="CU10" s="134"/>
      <c r="CV10" s="137"/>
      <c r="CW10" s="137"/>
      <c r="CX10" s="137"/>
      <c r="CY10" s="137"/>
      <c r="CZ10" s="135"/>
      <c r="DA10" s="137"/>
      <c r="DB10" s="137"/>
      <c r="DC10" s="137"/>
      <c r="DD10" s="137"/>
      <c r="DE10" s="137"/>
      <c r="DF10" s="137"/>
      <c r="DG10" s="343"/>
      <c r="DH10" s="344"/>
      <c r="DI10" s="137"/>
      <c r="DJ10" s="137"/>
      <c r="DK10" s="137"/>
      <c r="DL10" s="137"/>
      <c r="DM10" s="345"/>
      <c r="DN10" s="344"/>
      <c r="DO10" s="137"/>
      <c r="DP10" s="137"/>
      <c r="DQ10" s="137"/>
      <c r="DR10" s="137"/>
      <c r="DS10" s="343"/>
      <c r="DT10" s="137"/>
      <c r="DU10" s="140"/>
      <c r="DV10" s="140"/>
      <c r="DW10" s="140"/>
      <c r="DX10" s="143"/>
      <c r="DY10" s="107"/>
      <c r="DZ10" s="105"/>
      <c r="EA10" s="105"/>
      <c r="EB10" s="105"/>
      <c r="EC10" s="105"/>
      <c r="ED10" s="109"/>
      <c r="EE10" s="108"/>
      <c r="EF10" s="105"/>
      <c r="EG10" s="105"/>
      <c r="EH10" s="105"/>
      <c r="EI10" s="105"/>
      <c r="EJ10" s="106"/>
      <c r="EK10" s="107"/>
      <c r="EL10" s="105"/>
      <c r="EM10" s="105"/>
      <c r="EN10" s="105"/>
      <c r="EO10" s="105"/>
      <c r="EP10" s="105"/>
      <c r="EQ10" s="108"/>
      <c r="ER10" s="105"/>
      <c r="ES10" s="105"/>
      <c r="ET10" s="105"/>
      <c r="EU10" s="105"/>
      <c r="EV10" s="106"/>
      <c r="FB10" s="335" t="s">
        <v>406</v>
      </c>
      <c r="FC10" s="359" t="s">
        <v>618</v>
      </c>
      <c r="FD10" s="359" t="s">
        <v>624</v>
      </c>
      <c r="FE10" s="359"/>
      <c r="FF10" s="359"/>
      <c r="FG10" s="359"/>
      <c r="FH10" s="359"/>
      <c r="FI10" s="359"/>
      <c r="FJ10" s="359"/>
      <c r="FK10" s="359"/>
      <c r="FL10" s="359"/>
      <c r="FM10" s="359"/>
      <c r="FN10" s="359"/>
      <c r="FO10" s="359"/>
      <c r="FQ10" s="425" t="s">
        <v>505</v>
      </c>
      <c r="FR10" s="425"/>
      <c r="FS10" s="425"/>
      <c r="FT10" s="425"/>
      <c r="FU10" s="425"/>
      <c r="FV10" s="425"/>
      <c r="FW10" s="425"/>
      <c r="FX10" s="425"/>
      <c r="FY10" s="425"/>
      <c r="FZ10" s="425"/>
      <c r="GA10" s="425"/>
      <c r="GB10" s="425"/>
      <c r="GC10" s="425"/>
      <c r="GD10" s="425"/>
      <c r="GE10" s="425"/>
      <c r="GF10" s="425"/>
      <c r="GG10" s="425"/>
      <c r="GH10" s="425"/>
      <c r="GI10" s="425"/>
      <c r="GJ10" s="425"/>
      <c r="GK10" s="425"/>
      <c r="GL10" s="425"/>
      <c r="GM10" s="425"/>
      <c r="GN10" s="425"/>
      <c r="GO10" s="425"/>
      <c r="GP10" s="425"/>
    </row>
    <row r="11" spans="1:198" ht="14.25" thickBot="1">
      <c r="A11" s="1438"/>
      <c r="B11" s="1438"/>
      <c r="C11" s="1439"/>
      <c r="D11" s="1440"/>
      <c r="E11" s="1439"/>
      <c r="F11" s="1440"/>
      <c r="G11" s="1439"/>
      <c r="H11" t="s">
        <v>152</v>
      </c>
      <c r="I11" s="132"/>
      <c r="J11" s="111"/>
      <c r="K11" s="424"/>
      <c r="L11" s="111"/>
      <c r="M11" s="111"/>
      <c r="N11" s="112"/>
      <c r="O11" s="113"/>
      <c r="P11" s="111"/>
      <c r="Q11" s="111"/>
      <c r="R11" s="115"/>
      <c r="S11" s="115"/>
      <c r="T11" s="115"/>
      <c r="U11" s="114"/>
      <c r="V11" s="115"/>
      <c r="W11" s="115"/>
      <c r="X11" s="115"/>
      <c r="Y11" s="115"/>
      <c r="Z11" s="116"/>
      <c r="AA11" s="117"/>
      <c r="AB11" s="115"/>
      <c r="AC11" s="115"/>
      <c r="AD11" s="115"/>
      <c r="AE11" s="115"/>
      <c r="AF11" s="118"/>
      <c r="AG11" s="114"/>
      <c r="AH11" s="115"/>
      <c r="AI11" s="115"/>
      <c r="AJ11" s="115"/>
      <c r="AK11" s="115"/>
      <c r="AL11" s="116"/>
      <c r="AM11" s="117"/>
      <c r="AN11" s="115"/>
      <c r="AO11" s="115"/>
      <c r="AP11" s="115"/>
      <c r="AQ11" s="115"/>
      <c r="AR11" s="118"/>
      <c r="AS11" s="114"/>
      <c r="AT11" s="115"/>
      <c r="AU11" s="115"/>
      <c r="AV11" s="115"/>
      <c r="AW11" s="115"/>
      <c r="AX11" s="116"/>
      <c r="AY11" s="117"/>
      <c r="AZ11" s="115"/>
      <c r="BA11" s="115"/>
      <c r="BB11" s="115"/>
      <c r="BC11" s="115"/>
      <c r="BD11" s="118"/>
      <c r="BE11" s="114"/>
      <c r="BF11" s="115"/>
      <c r="BG11" s="115"/>
      <c r="BH11" s="115"/>
      <c r="BI11" s="115"/>
      <c r="BJ11" s="116"/>
      <c r="BK11" s="117"/>
      <c r="BL11" s="115"/>
      <c r="BM11" s="115"/>
      <c r="BN11" s="115"/>
      <c r="BO11" s="115"/>
      <c r="BP11" s="118"/>
      <c r="BQ11" s="114"/>
      <c r="BR11" s="115"/>
      <c r="BS11" s="115"/>
      <c r="BT11" s="115"/>
      <c r="BU11" s="115"/>
      <c r="BV11" s="115"/>
      <c r="BW11" s="117"/>
      <c r="BX11" s="115"/>
      <c r="BY11" s="115"/>
      <c r="BZ11" s="115"/>
      <c r="CA11" s="115"/>
      <c r="CB11" s="118"/>
      <c r="CC11" s="114"/>
      <c r="CD11" s="115"/>
      <c r="CE11" s="115"/>
      <c r="CF11" s="115"/>
      <c r="CG11" s="115"/>
      <c r="CH11" s="115"/>
      <c r="CI11" s="129"/>
      <c r="CJ11" s="131"/>
      <c r="CK11" s="131"/>
      <c r="CL11" s="131"/>
      <c r="CM11" s="131"/>
      <c r="CN11" s="133"/>
      <c r="CO11" s="123"/>
      <c r="CP11" s="120"/>
      <c r="CQ11" s="120"/>
      <c r="CR11" s="120"/>
      <c r="CS11" s="120"/>
      <c r="CT11" s="124"/>
      <c r="CU11" s="121"/>
      <c r="CV11" s="120"/>
      <c r="CW11" s="120"/>
      <c r="CX11" s="120"/>
      <c r="CY11" s="120"/>
      <c r="CZ11" s="122"/>
      <c r="DA11" s="123"/>
      <c r="DB11" s="120"/>
      <c r="DC11" s="120"/>
      <c r="DD11" s="120"/>
      <c r="DE11" s="120"/>
      <c r="DF11" s="120"/>
      <c r="DG11" s="121"/>
      <c r="DH11" s="120"/>
      <c r="DI11" s="120"/>
      <c r="DJ11" s="120"/>
      <c r="DK11" s="120"/>
      <c r="DL11" s="120"/>
      <c r="DM11" s="123"/>
      <c r="DN11" s="120"/>
      <c r="DO11" s="120"/>
      <c r="DP11" s="120"/>
      <c r="DQ11" s="120"/>
      <c r="DR11" s="120"/>
      <c r="DS11" s="121"/>
      <c r="DT11" s="120"/>
      <c r="DU11" s="120"/>
      <c r="DV11" s="120"/>
      <c r="DW11" s="120"/>
      <c r="DX11" s="122"/>
      <c r="DY11" s="110"/>
      <c r="DZ11" s="111"/>
      <c r="EA11" s="111"/>
      <c r="EB11" s="111"/>
      <c r="EC11" s="111"/>
      <c r="ED11" s="112"/>
      <c r="EE11" s="125"/>
      <c r="EF11" s="126"/>
      <c r="EG11" s="126"/>
      <c r="EH11" s="126"/>
      <c r="EI11" s="126"/>
      <c r="EJ11" s="127"/>
      <c r="EK11" s="128"/>
      <c r="EL11" s="126"/>
      <c r="EM11" s="126"/>
      <c r="EN11" s="126"/>
      <c r="EO11" s="126"/>
      <c r="EP11" s="126"/>
      <c r="EQ11" s="125"/>
      <c r="ER11" s="126"/>
      <c r="ES11" s="126"/>
      <c r="ET11" s="126"/>
      <c r="EU11" s="126"/>
      <c r="EV11" s="127"/>
      <c r="FB11" s="335" t="s">
        <v>411</v>
      </c>
      <c r="FC11" s="359" t="s">
        <v>620</v>
      </c>
      <c r="FD11" s="359" t="s">
        <v>618</v>
      </c>
      <c r="FE11" s="359"/>
      <c r="FF11" s="359"/>
      <c r="FG11" s="359"/>
      <c r="FH11" s="359"/>
      <c r="FI11" s="359"/>
      <c r="FJ11" s="359"/>
      <c r="FK11" s="359"/>
      <c r="FL11" s="359"/>
      <c r="FM11" s="359"/>
      <c r="FN11" s="359"/>
      <c r="FO11" s="359"/>
      <c r="FQ11" s="425" t="s">
        <v>506</v>
      </c>
      <c r="FR11" s="425"/>
      <c r="FS11" s="425"/>
      <c r="FT11" s="425"/>
      <c r="FU11" s="425"/>
      <c r="FV11" s="425"/>
      <c r="FW11" s="425"/>
      <c r="FX11" s="425"/>
      <c r="FY11" s="425"/>
      <c r="FZ11" s="425"/>
      <c r="GA11" s="425"/>
      <c r="GB11" s="425"/>
      <c r="GC11" s="425"/>
      <c r="GD11" s="425"/>
      <c r="GE11" s="425"/>
      <c r="GF11" s="425"/>
      <c r="GG11" s="425"/>
      <c r="GH11" s="425"/>
      <c r="GI11" s="425"/>
      <c r="GJ11" s="425"/>
      <c r="GK11" s="425"/>
      <c r="GL11" s="425"/>
      <c r="GM11" s="425"/>
      <c r="GN11" s="425"/>
      <c r="GO11" s="425"/>
      <c r="GP11" s="425"/>
    </row>
    <row r="12" spans="1:198">
      <c r="A12" s="1438" t="s">
        <v>281</v>
      </c>
      <c r="B12" s="1438" t="str">
        <f>CONCATENATE(TEXT(HOUR(C12),"0"),":",TEXT(MINUTE(C12),"00"))</f>
        <v>9:30</v>
      </c>
      <c r="C12" s="1439">
        <v>0.39583333333333331</v>
      </c>
      <c r="D12" s="1440" t="str">
        <f>CONCATENATE(TEXT(HOUR(E12),"0"),":",TEXT(MINUTE(E12),"00"))</f>
        <v>9:30</v>
      </c>
      <c r="E12" s="1439">
        <v>0.39583333333333331</v>
      </c>
      <c r="F12" s="1440" t="str">
        <f>CONCATENATE(TEXT(HOUR(G12),"0"),":",TEXT(MINUTE(G12),"00"))</f>
        <v>18:15</v>
      </c>
      <c r="G12" s="1439">
        <v>0.76041666666666663</v>
      </c>
      <c r="H12" t="s">
        <v>151</v>
      </c>
      <c r="I12" s="98"/>
      <c r="J12" s="99"/>
      <c r="K12" s="99"/>
      <c r="L12" s="99"/>
      <c r="M12" s="99"/>
      <c r="N12" s="100"/>
      <c r="O12" s="101"/>
      <c r="P12" s="99"/>
      <c r="Q12" s="99"/>
      <c r="R12" s="99"/>
      <c r="S12" s="99"/>
      <c r="T12" s="99"/>
      <c r="U12" s="98"/>
      <c r="V12" s="99"/>
      <c r="W12" s="99"/>
      <c r="X12" s="99"/>
      <c r="Y12" s="99"/>
      <c r="Z12" s="100"/>
      <c r="AA12" s="101"/>
      <c r="AB12" s="99"/>
      <c r="AC12" s="99"/>
      <c r="AD12" s="99"/>
      <c r="AE12" s="99"/>
      <c r="AF12" s="102"/>
      <c r="AG12" s="98"/>
      <c r="AH12" s="99"/>
      <c r="AI12" s="99"/>
      <c r="AJ12" s="99"/>
      <c r="AK12" s="99"/>
      <c r="AL12" s="100"/>
      <c r="AM12" s="101"/>
      <c r="AN12" s="99"/>
      <c r="AO12" s="99"/>
      <c r="AP12" s="99"/>
      <c r="AQ12" s="99"/>
      <c r="AR12" s="102"/>
      <c r="AS12" s="98"/>
      <c r="AT12" s="99"/>
      <c r="AU12" s="99"/>
      <c r="AV12" s="99"/>
      <c r="AW12" s="99"/>
      <c r="AX12" s="100"/>
      <c r="AY12" s="101"/>
      <c r="AZ12" s="99"/>
      <c r="BA12" s="99"/>
      <c r="BB12" s="99"/>
      <c r="BC12" s="99"/>
      <c r="BD12" s="102"/>
      <c r="BE12" s="98"/>
      <c r="BF12" s="99"/>
      <c r="BG12" s="99"/>
      <c r="BH12" s="99"/>
      <c r="BI12" s="99"/>
      <c r="BJ12" s="100"/>
      <c r="BK12" s="101"/>
      <c r="BL12" s="99"/>
      <c r="BM12" s="99"/>
      <c r="BN12" s="99"/>
      <c r="BO12" s="99"/>
      <c r="BP12" s="102"/>
      <c r="BQ12" s="136"/>
      <c r="BR12" s="137"/>
      <c r="BS12" s="137"/>
      <c r="BT12" s="137"/>
      <c r="BU12" s="137"/>
      <c r="BV12" s="138"/>
      <c r="BW12" s="134"/>
      <c r="BX12" s="137"/>
      <c r="BY12" s="137"/>
      <c r="BZ12" s="137"/>
      <c r="CA12" s="137"/>
      <c r="CB12" s="135"/>
      <c r="CC12" s="136"/>
      <c r="CD12" s="137"/>
      <c r="CE12" s="137"/>
      <c r="CF12" s="137"/>
      <c r="CG12" s="137"/>
      <c r="CH12" s="138"/>
      <c r="CI12" s="134"/>
      <c r="CJ12" s="137"/>
      <c r="CK12" s="137"/>
      <c r="CL12" s="137"/>
      <c r="CM12" s="137"/>
      <c r="CN12" s="135"/>
      <c r="CO12" s="139"/>
      <c r="CP12" s="140"/>
      <c r="CQ12" s="140"/>
      <c r="CR12" s="140"/>
      <c r="CS12" s="140"/>
      <c r="CT12" s="141"/>
      <c r="CU12" s="134"/>
      <c r="CV12" s="137"/>
      <c r="CW12" s="137"/>
      <c r="CX12" s="137"/>
      <c r="CY12" s="137"/>
      <c r="CZ12" s="135"/>
      <c r="DA12" s="137"/>
      <c r="DB12" s="137"/>
      <c r="DC12" s="137"/>
      <c r="DD12" s="137"/>
      <c r="DE12" s="137"/>
      <c r="DF12" s="137"/>
      <c r="DG12" s="134"/>
      <c r="DH12" s="137"/>
      <c r="DI12" s="137"/>
      <c r="DJ12" s="137"/>
      <c r="DK12" s="137"/>
      <c r="DL12" s="137"/>
      <c r="DM12" s="136"/>
      <c r="DN12" s="137"/>
      <c r="DO12" s="140"/>
      <c r="DP12" s="140"/>
      <c r="DQ12" s="140"/>
      <c r="DR12" s="140"/>
      <c r="DS12" s="130"/>
      <c r="DT12" s="105"/>
      <c r="DU12" s="105"/>
      <c r="DV12" s="105"/>
      <c r="DW12" s="105"/>
      <c r="DX12" s="106"/>
      <c r="DY12" s="107"/>
      <c r="DZ12" s="105"/>
      <c r="EA12" s="105"/>
      <c r="EB12" s="105"/>
      <c r="EC12" s="105"/>
      <c r="ED12" s="109"/>
      <c r="EE12" s="108"/>
      <c r="EF12" s="105"/>
      <c r="EG12" s="105"/>
      <c r="EH12" s="105"/>
      <c r="EI12" s="105"/>
      <c r="EJ12" s="106"/>
      <c r="EK12" s="107"/>
      <c r="EL12" s="105"/>
      <c r="EM12" s="105"/>
      <c r="EN12" s="105"/>
      <c r="EO12" s="105"/>
      <c r="EP12" s="105"/>
      <c r="EQ12" s="108"/>
      <c r="ER12" s="105"/>
      <c r="ES12" s="105"/>
      <c r="ET12" s="105"/>
      <c r="EU12" s="105"/>
      <c r="EV12" s="106"/>
      <c r="FB12" s="335" t="s">
        <v>406</v>
      </c>
      <c r="FC12" s="359" t="s">
        <v>625</v>
      </c>
      <c r="FD12" s="359" t="s">
        <v>626</v>
      </c>
      <c r="FE12" s="359"/>
      <c r="FF12" s="359"/>
      <c r="FG12" s="359"/>
      <c r="FH12" s="359"/>
      <c r="FI12" s="359"/>
      <c r="FJ12" s="359"/>
      <c r="FK12" s="359"/>
      <c r="FL12" s="359"/>
      <c r="FM12" s="359"/>
      <c r="FN12" s="359"/>
      <c r="FO12" s="359"/>
      <c r="FQ12" s="425" t="s">
        <v>505</v>
      </c>
      <c r="FR12" s="425"/>
      <c r="FS12" s="425"/>
      <c r="FT12" s="425"/>
      <c r="FU12" s="425"/>
      <c r="FV12" s="425"/>
      <c r="FW12" s="425"/>
      <c r="FX12" s="425"/>
      <c r="FY12" s="425"/>
      <c r="FZ12" s="425"/>
      <c r="GA12" s="425"/>
      <c r="GB12" s="425"/>
      <c r="GC12" s="425"/>
      <c r="GD12" s="425"/>
      <c r="GE12" s="425"/>
      <c r="GF12" s="425"/>
      <c r="GG12" s="425"/>
      <c r="GH12" s="425"/>
      <c r="GI12" s="425"/>
      <c r="GJ12" s="425"/>
      <c r="GK12" s="425"/>
      <c r="GL12" s="425"/>
      <c r="GM12" s="425"/>
      <c r="GN12" s="425"/>
      <c r="GO12" s="425"/>
      <c r="GP12" s="425"/>
    </row>
    <row r="13" spans="1:198" ht="14.25" thickBot="1">
      <c r="A13" s="1438"/>
      <c r="B13" s="1438"/>
      <c r="C13" s="1440"/>
      <c r="D13" s="1440"/>
      <c r="E13" s="1440"/>
      <c r="F13" s="1440"/>
      <c r="G13" s="1440"/>
      <c r="H13" t="s">
        <v>152</v>
      </c>
      <c r="I13" s="110"/>
      <c r="J13" s="111"/>
      <c r="K13" s="111"/>
      <c r="L13" s="111"/>
      <c r="M13" s="111"/>
      <c r="N13" s="112"/>
      <c r="O13" s="113"/>
      <c r="P13" s="111"/>
      <c r="Q13" s="111"/>
      <c r="R13" s="111"/>
      <c r="S13" s="111"/>
      <c r="T13" s="111"/>
      <c r="U13" s="114"/>
      <c r="V13" s="115"/>
      <c r="W13" s="115"/>
      <c r="X13" s="115"/>
      <c r="Y13" s="115"/>
      <c r="Z13" s="116"/>
      <c r="AA13" s="117"/>
      <c r="AB13" s="115"/>
      <c r="AC13" s="115"/>
      <c r="AD13" s="115"/>
      <c r="AE13" s="115"/>
      <c r="AF13" s="118"/>
      <c r="AG13" s="114"/>
      <c r="AH13" s="115"/>
      <c r="AI13" s="115"/>
      <c r="AJ13" s="115"/>
      <c r="AK13" s="115"/>
      <c r="AL13" s="116"/>
      <c r="AM13" s="117"/>
      <c r="AN13" s="115"/>
      <c r="AO13" s="115"/>
      <c r="AP13" s="115"/>
      <c r="AQ13" s="115"/>
      <c r="AR13" s="118"/>
      <c r="AS13" s="114"/>
      <c r="AT13" s="115"/>
      <c r="AU13" s="115"/>
      <c r="AV13" s="115"/>
      <c r="AW13" s="115"/>
      <c r="AX13" s="116"/>
      <c r="AY13" s="117"/>
      <c r="AZ13" s="115"/>
      <c r="BA13" s="115"/>
      <c r="BB13" s="115"/>
      <c r="BC13" s="115"/>
      <c r="BD13" s="118"/>
      <c r="BE13" s="114"/>
      <c r="BF13" s="115"/>
      <c r="BG13" s="115"/>
      <c r="BH13" s="115"/>
      <c r="BI13" s="115"/>
      <c r="BJ13" s="116"/>
      <c r="BK13" s="117"/>
      <c r="BL13" s="115"/>
      <c r="BM13" s="115"/>
      <c r="BN13" s="115"/>
      <c r="BO13" s="115"/>
      <c r="BP13" s="118"/>
      <c r="BQ13" s="114"/>
      <c r="BR13" s="115"/>
      <c r="BS13" s="115"/>
      <c r="BT13" s="115"/>
      <c r="BU13" s="115"/>
      <c r="BV13" s="116"/>
      <c r="BW13" s="117"/>
      <c r="BX13" s="115"/>
      <c r="BY13" s="115"/>
      <c r="BZ13" s="115"/>
      <c r="CA13" s="115"/>
      <c r="CB13" s="118"/>
      <c r="CC13" s="114"/>
      <c r="CD13" s="115"/>
      <c r="CE13" s="115"/>
      <c r="CF13" s="131"/>
      <c r="CG13" s="131"/>
      <c r="CH13" s="131"/>
      <c r="CI13" s="129"/>
      <c r="CJ13" s="131"/>
      <c r="CK13" s="131"/>
      <c r="CL13" s="120"/>
      <c r="CM13" s="120"/>
      <c r="CN13" s="122"/>
      <c r="CO13" s="123"/>
      <c r="CP13" s="120"/>
      <c r="CQ13" s="120"/>
      <c r="CR13" s="120"/>
      <c r="CS13" s="120"/>
      <c r="CT13" s="124"/>
      <c r="CU13" s="121"/>
      <c r="CV13" s="120"/>
      <c r="CW13" s="120"/>
      <c r="CX13" s="120"/>
      <c r="CY13" s="120"/>
      <c r="CZ13" s="122"/>
      <c r="DA13" s="123"/>
      <c r="DB13" s="120"/>
      <c r="DC13" s="120"/>
      <c r="DD13" s="120"/>
      <c r="DE13" s="120"/>
      <c r="DF13" s="124"/>
      <c r="DG13" s="121"/>
      <c r="DH13" s="120"/>
      <c r="DI13" s="120"/>
      <c r="DJ13" s="120"/>
      <c r="DK13" s="120"/>
      <c r="DL13" s="122"/>
      <c r="DM13" s="123"/>
      <c r="DN13" s="120"/>
      <c r="DO13" s="120"/>
      <c r="DP13" s="120"/>
      <c r="DQ13" s="120"/>
      <c r="DR13" s="120"/>
      <c r="DS13" s="121"/>
      <c r="DT13" s="120"/>
      <c r="DU13" s="120"/>
      <c r="DV13" s="120"/>
      <c r="DW13" s="120"/>
      <c r="DX13" s="122"/>
      <c r="DY13" s="110"/>
      <c r="DZ13" s="111"/>
      <c r="EA13" s="111"/>
      <c r="EB13" s="111"/>
      <c r="EC13" s="111"/>
      <c r="ED13" s="112"/>
      <c r="EE13" s="125"/>
      <c r="EF13" s="126"/>
      <c r="EG13" s="126"/>
      <c r="EH13" s="126"/>
      <c r="EI13" s="126"/>
      <c r="EJ13" s="127"/>
      <c r="EK13" s="128"/>
      <c r="EL13" s="126"/>
      <c r="EM13" s="126"/>
      <c r="EN13" s="126"/>
      <c r="EO13" s="126"/>
      <c r="EP13" s="126"/>
      <c r="EQ13" s="125"/>
      <c r="ER13" s="126"/>
      <c r="ES13" s="126"/>
      <c r="ET13" s="126"/>
      <c r="EU13" s="126"/>
      <c r="EV13" s="127"/>
      <c r="FB13" s="335" t="s">
        <v>411</v>
      </c>
      <c r="FC13" s="359" t="s">
        <v>627</v>
      </c>
      <c r="FD13" s="359" t="s">
        <v>625</v>
      </c>
      <c r="FE13" s="359"/>
      <c r="FF13" s="359"/>
      <c r="FG13" s="359"/>
      <c r="FH13" s="359"/>
      <c r="FI13" s="359"/>
      <c r="FJ13" s="359"/>
      <c r="FK13" s="359"/>
      <c r="FL13" s="359"/>
      <c r="FM13" s="359"/>
      <c r="FN13" s="359"/>
      <c r="FO13" s="359"/>
      <c r="FQ13" s="425" t="s">
        <v>506</v>
      </c>
      <c r="FR13" s="425"/>
      <c r="FS13" s="425"/>
      <c r="FT13" s="425"/>
      <c r="FU13" s="425"/>
      <c r="FV13" s="425"/>
      <c r="FW13" s="425"/>
      <c r="FX13" s="425"/>
      <c r="FY13" s="425"/>
      <c r="FZ13" s="425"/>
      <c r="GA13" s="425"/>
      <c r="GB13" s="425"/>
      <c r="GC13" s="425"/>
      <c r="GD13" s="425"/>
      <c r="GE13" s="425"/>
      <c r="GF13" s="425"/>
      <c r="GG13" s="425"/>
      <c r="GH13" s="425"/>
      <c r="GI13" s="425"/>
      <c r="GJ13" s="425"/>
      <c r="GK13" s="425"/>
      <c r="GL13" s="425"/>
      <c r="GM13" s="425"/>
      <c r="GN13" s="425"/>
      <c r="GO13" s="425"/>
      <c r="GP13" s="425"/>
    </row>
    <row r="14" spans="1:198">
      <c r="A14" s="1438" t="s">
        <v>450</v>
      </c>
      <c r="B14" s="1438" t="str">
        <f>CONCATENATE(TEXT(HOUR(C14),"0"),":",TEXT(MINUTE(C14),"00"))</f>
        <v>9:30</v>
      </c>
      <c r="C14" s="1439">
        <v>0.39583333333333331</v>
      </c>
      <c r="D14" s="1440" t="str">
        <f>CONCATENATE(TEXT(HOUR(E14),"0"),":",TEXT(MINUTE(E14),"00"))</f>
        <v>9:30</v>
      </c>
      <c r="E14" s="1439">
        <v>0.39583333333333331</v>
      </c>
      <c r="F14" s="1440" t="str">
        <f>CONCATENATE(TEXT(HOUR(G14),"0"),":",TEXT(MINUTE(G14),"00"))</f>
        <v>18:00</v>
      </c>
      <c r="G14" s="1439">
        <v>0.75</v>
      </c>
      <c r="H14" t="s">
        <v>151</v>
      </c>
      <c r="I14" s="98"/>
      <c r="J14" s="99"/>
      <c r="K14" s="99"/>
      <c r="L14" s="99"/>
      <c r="M14" s="99"/>
      <c r="N14" s="100"/>
      <c r="O14" s="101"/>
      <c r="P14" s="99"/>
      <c r="Q14" s="99"/>
      <c r="R14" s="99"/>
      <c r="S14" s="99"/>
      <c r="T14" s="99"/>
      <c r="U14" s="98"/>
      <c r="V14" s="99"/>
      <c r="W14" s="99"/>
      <c r="X14" s="99"/>
      <c r="Y14" s="99"/>
      <c r="Z14" s="100"/>
      <c r="AA14" s="101"/>
      <c r="AB14" s="99"/>
      <c r="AC14" s="99"/>
      <c r="AD14" s="99"/>
      <c r="AE14" s="99"/>
      <c r="AF14" s="102"/>
      <c r="AG14" s="98"/>
      <c r="AH14" s="99"/>
      <c r="AI14" s="99"/>
      <c r="AJ14" s="99"/>
      <c r="AK14" s="99"/>
      <c r="AL14" s="100"/>
      <c r="AM14" s="101"/>
      <c r="AN14" s="99"/>
      <c r="AO14" s="99"/>
      <c r="AP14" s="99"/>
      <c r="AQ14" s="99"/>
      <c r="AR14" s="102"/>
      <c r="AS14" s="98"/>
      <c r="AT14" s="99"/>
      <c r="AU14" s="99"/>
      <c r="AV14" s="99"/>
      <c r="AW14" s="99"/>
      <c r="AX14" s="100"/>
      <c r="AY14" s="101"/>
      <c r="AZ14" s="99"/>
      <c r="BA14" s="99"/>
      <c r="BB14" s="99"/>
      <c r="BC14" s="99"/>
      <c r="BD14" s="102"/>
      <c r="BE14" s="98"/>
      <c r="BF14" s="99"/>
      <c r="BG14" s="99"/>
      <c r="BH14" s="99"/>
      <c r="BI14" s="99"/>
      <c r="BJ14" s="100"/>
      <c r="BK14" s="101"/>
      <c r="BL14" s="99"/>
      <c r="BM14" s="99"/>
      <c r="BN14" s="99"/>
      <c r="BO14" s="99"/>
      <c r="BP14" s="102"/>
      <c r="BQ14" s="136"/>
      <c r="BR14" s="137"/>
      <c r="BS14" s="137"/>
      <c r="BT14" s="137"/>
      <c r="BU14" s="137"/>
      <c r="BV14" s="138"/>
      <c r="BW14" s="134"/>
      <c r="BX14" s="137"/>
      <c r="BY14" s="137"/>
      <c r="BZ14" s="137"/>
      <c r="CA14" s="137"/>
      <c r="CB14" s="135"/>
      <c r="CC14" s="136"/>
      <c r="CD14" s="137"/>
      <c r="CE14" s="137"/>
      <c r="CF14" s="137"/>
      <c r="CG14" s="137"/>
      <c r="CH14" s="138"/>
      <c r="CI14" s="134"/>
      <c r="CJ14" s="137"/>
      <c r="CK14" s="137"/>
      <c r="CL14" s="137"/>
      <c r="CM14" s="137"/>
      <c r="CN14" s="135"/>
      <c r="CO14" s="139"/>
      <c r="CP14" s="140"/>
      <c r="CQ14" s="140"/>
      <c r="CR14" s="140"/>
      <c r="CS14" s="140"/>
      <c r="CT14" s="141"/>
      <c r="CU14" s="134"/>
      <c r="CV14" s="137"/>
      <c r="CW14" s="137"/>
      <c r="CX14" s="137"/>
      <c r="CY14" s="137"/>
      <c r="CZ14" s="135"/>
      <c r="DA14" s="137"/>
      <c r="DB14" s="137"/>
      <c r="DC14" s="137"/>
      <c r="DD14" s="137"/>
      <c r="DE14" s="137"/>
      <c r="DF14" s="137"/>
      <c r="DG14" s="134"/>
      <c r="DH14" s="137"/>
      <c r="DI14" s="137"/>
      <c r="DJ14" s="137"/>
      <c r="DK14" s="137"/>
      <c r="DL14" s="137"/>
      <c r="DM14" s="136"/>
      <c r="DN14" s="137"/>
      <c r="DO14" s="140"/>
      <c r="DP14" s="140"/>
      <c r="DQ14" s="140"/>
      <c r="DR14" s="140"/>
      <c r="DS14" s="130"/>
      <c r="DT14" s="105"/>
      <c r="DU14" s="105"/>
      <c r="DV14" s="105"/>
      <c r="DW14" s="105"/>
      <c r="DX14" s="106"/>
      <c r="DY14" s="107"/>
      <c r="DZ14" s="105"/>
      <c r="EA14" s="105"/>
      <c r="EB14" s="105"/>
      <c r="EC14" s="105"/>
      <c r="ED14" s="109"/>
      <c r="EE14" s="108"/>
      <c r="EF14" s="105"/>
      <c r="EG14" s="105"/>
      <c r="EH14" s="105"/>
      <c r="EI14" s="105"/>
      <c r="EJ14" s="106"/>
      <c r="EK14" s="107"/>
      <c r="EL14" s="105"/>
      <c r="EM14" s="105"/>
      <c r="EN14" s="105"/>
      <c r="EO14" s="105"/>
      <c r="EP14" s="105"/>
      <c r="EQ14" s="108"/>
      <c r="ER14" s="105"/>
      <c r="ES14" s="105"/>
      <c r="ET14" s="105"/>
      <c r="EU14" s="105"/>
      <c r="EV14" s="106"/>
      <c r="FB14" s="335" t="s">
        <v>406</v>
      </c>
      <c r="FC14" s="359" t="s">
        <v>625</v>
      </c>
      <c r="FD14" s="359" t="s">
        <v>626</v>
      </c>
      <c r="FE14" s="359"/>
      <c r="FF14" s="359"/>
      <c r="FG14" s="359"/>
      <c r="FH14" s="359"/>
      <c r="FI14" s="359"/>
      <c r="FJ14" s="359"/>
      <c r="FK14" s="359"/>
      <c r="FL14" s="359"/>
      <c r="FM14" s="359"/>
      <c r="FN14" s="359"/>
      <c r="FO14" s="359"/>
      <c r="FQ14" s="425" t="s">
        <v>505</v>
      </c>
      <c r="FR14" s="425"/>
      <c r="FS14" s="425"/>
      <c r="FT14" s="425"/>
      <c r="FU14" s="425"/>
      <c r="FV14" s="425"/>
      <c r="FW14" s="425"/>
      <c r="FX14" s="425"/>
      <c r="FY14" s="425"/>
      <c r="FZ14" s="425"/>
      <c r="GA14" s="425"/>
      <c r="GB14" s="425"/>
      <c r="GC14" s="425"/>
      <c r="GD14" s="425"/>
      <c r="GE14" s="425"/>
      <c r="GF14" s="425"/>
      <c r="GG14" s="425"/>
      <c r="GH14" s="425"/>
      <c r="GI14" s="425"/>
      <c r="GJ14" s="425"/>
      <c r="GK14" s="425"/>
      <c r="GL14" s="425"/>
      <c r="GM14" s="425"/>
      <c r="GN14" s="425"/>
      <c r="GO14" s="425"/>
      <c r="GP14" s="425"/>
    </row>
    <row r="15" spans="1:198" ht="14.25" thickBot="1">
      <c r="A15" s="1438"/>
      <c r="B15" s="1438"/>
      <c r="C15" s="1440"/>
      <c r="D15" s="1440"/>
      <c r="E15" s="1440"/>
      <c r="F15" s="1440"/>
      <c r="G15" s="1440"/>
      <c r="H15" t="s">
        <v>152</v>
      </c>
      <c r="I15" s="110"/>
      <c r="J15" s="111"/>
      <c r="K15" s="111"/>
      <c r="L15" s="111"/>
      <c r="M15" s="111"/>
      <c r="N15" s="112"/>
      <c r="O15" s="113"/>
      <c r="P15" s="111"/>
      <c r="Q15" s="111"/>
      <c r="R15" s="111"/>
      <c r="S15" s="111"/>
      <c r="T15" s="111"/>
      <c r="U15" s="114"/>
      <c r="V15" s="115"/>
      <c r="W15" s="115"/>
      <c r="X15" s="115"/>
      <c r="Y15" s="115"/>
      <c r="Z15" s="116"/>
      <c r="AA15" s="117"/>
      <c r="AB15" s="115"/>
      <c r="AC15" s="115"/>
      <c r="AD15" s="115"/>
      <c r="AE15" s="115"/>
      <c r="AF15" s="118"/>
      <c r="AG15" s="114"/>
      <c r="AH15" s="115"/>
      <c r="AI15" s="115"/>
      <c r="AJ15" s="115"/>
      <c r="AK15" s="115"/>
      <c r="AL15" s="116"/>
      <c r="AM15" s="117"/>
      <c r="AN15" s="115"/>
      <c r="AO15" s="115"/>
      <c r="AP15" s="115"/>
      <c r="AQ15" s="115"/>
      <c r="AR15" s="118"/>
      <c r="AS15" s="114"/>
      <c r="AT15" s="115"/>
      <c r="AU15" s="115"/>
      <c r="AV15" s="115"/>
      <c r="AW15" s="115"/>
      <c r="AX15" s="116"/>
      <c r="AY15" s="117"/>
      <c r="AZ15" s="115"/>
      <c r="BA15" s="115"/>
      <c r="BB15" s="115"/>
      <c r="BC15" s="115"/>
      <c r="BD15" s="118"/>
      <c r="BE15" s="114"/>
      <c r="BF15" s="115"/>
      <c r="BG15" s="115"/>
      <c r="BH15" s="115"/>
      <c r="BI15" s="115"/>
      <c r="BJ15" s="116"/>
      <c r="BK15" s="117"/>
      <c r="BL15" s="115"/>
      <c r="BM15" s="115"/>
      <c r="BN15" s="115"/>
      <c r="BO15" s="115"/>
      <c r="BP15" s="118"/>
      <c r="BQ15" s="114"/>
      <c r="BR15" s="115"/>
      <c r="BS15" s="115"/>
      <c r="BT15" s="115"/>
      <c r="BU15" s="115"/>
      <c r="BV15" s="116"/>
      <c r="BW15" s="117"/>
      <c r="BX15" s="115"/>
      <c r="BY15" s="115"/>
      <c r="BZ15" s="115"/>
      <c r="CA15" s="115"/>
      <c r="CB15" s="118"/>
      <c r="CC15" s="114"/>
      <c r="CD15" s="115"/>
      <c r="CE15" s="115"/>
      <c r="CF15" s="131"/>
      <c r="CG15" s="131"/>
      <c r="CH15" s="131"/>
      <c r="CI15" s="129"/>
      <c r="CJ15" s="131"/>
      <c r="CK15" s="131"/>
      <c r="CL15" s="120"/>
      <c r="CM15" s="120"/>
      <c r="CN15" s="122"/>
      <c r="CO15" s="123"/>
      <c r="CP15" s="120"/>
      <c r="CQ15" s="120"/>
      <c r="CR15" s="120"/>
      <c r="CS15" s="120"/>
      <c r="CT15" s="124"/>
      <c r="CU15" s="121"/>
      <c r="CV15" s="120"/>
      <c r="CW15" s="120"/>
      <c r="CX15" s="120"/>
      <c r="CY15" s="120"/>
      <c r="CZ15" s="122"/>
      <c r="DA15" s="123"/>
      <c r="DB15" s="120"/>
      <c r="DC15" s="120"/>
      <c r="DD15" s="120"/>
      <c r="DE15" s="120"/>
      <c r="DF15" s="124"/>
      <c r="DG15" s="121"/>
      <c r="DH15" s="120"/>
      <c r="DI15" s="120"/>
      <c r="DJ15" s="120"/>
      <c r="DK15" s="120"/>
      <c r="DL15" s="122"/>
      <c r="DM15" s="123"/>
      <c r="DN15" s="120"/>
      <c r="DO15" s="120"/>
      <c r="DP15" s="120"/>
      <c r="DQ15" s="120"/>
      <c r="DR15" s="120"/>
      <c r="DS15" s="121"/>
      <c r="DT15" s="120"/>
      <c r="DU15" s="120"/>
      <c r="DV15" s="120"/>
      <c r="DW15" s="120"/>
      <c r="DX15" s="122"/>
      <c r="DY15" s="110"/>
      <c r="DZ15" s="111"/>
      <c r="EA15" s="111"/>
      <c r="EB15" s="111"/>
      <c r="EC15" s="111"/>
      <c r="ED15" s="112"/>
      <c r="EE15" s="125"/>
      <c r="EF15" s="126"/>
      <c r="EG15" s="126"/>
      <c r="EH15" s="126"/>
      <c r="EI15" s="126"/>
      <c r="EJ15" s="127"/>
      <c r="EK15" s="128"/>
      <c r="EL15" s="126"/>
      <c r="EM15" s="126"/>
      <c r="EN15" s="126"/>
      <c r="EO15" s="126"/>
      <c r="EP15" s="126"/>
      <c r="EQ15" s="125"/>
      <c r="ER15" s="126"/>
      <c r="ES15" s="126"/>
      <c r="ET15" s="126"/>
      <c r="EU15" s="126"/>
      <c r="EV15" s="127"/>
      <c r="FB15" s="335" t="s">
        <v>411</v>
      </c>
      <c r="FC15" s="359" t="s">
        <v>627</v>
      </c>
      <c r="FD15" s="359" t="s">
        <v>625</v>
      </c>
      <c r="FE15" s="359"/>
      <c r="FF15" s="359"/>
      <c r="FG15" s="359"/>
      <c r="FH15" s="359"/>
      <c r="FI15" s="359"/>
      <c r="FJ15" s="359"/>
      <c r="FK15" s="359"/>
      <c r="FL15" s="359"/>
      <c r="FM15" s="359"/>
      <c r="FN15" s="359"/>
      <c r="FO15" s="359"/>
      <c r="FQ15" s="425" t="s">
        <v>506</v>
      </c>
      <c r="FR15" s="425"/>
      <c r="FS15" s="425"/>
      <c r="FT15" s="425"/>
      <c r="FU15" s="425"/>
      <c r="FV15" s="425"/>
      <c r="FW15" s="425"/>
      <c r="FX15" s="425"/>
      <c r="FY15" s="425"/>
      <c r="FZ15" s="425"/>
      <c r="GA15" s="425"/>
      <c r="GB15" s="425"/>
      <c r="GC15" s="425"/>
      <c r="GD15" s="425"/>
      <c r="GE15" s="425"/>
      <c r="GF15" s="425"/>
      <c r="GG15" s="425"/>
      <c r="GH15" s="425"/>
      <c r="GI15" s="425"/>
      <c r="GJ15" s="425"/>
      <c r="GK15" s="425"/>
      <c r="GL15" s="425"/>
      <c r="GM15" s="425"/>
      <c r="GN15" s="425"/>
      <c r="GO15" s="425"/>
      <c r="GP15" s="425"/>
    </row>
    <row r="16" spans="1:198">
      <c r="A16" s="1438" t="s">
        <v>153</v>
      </c>
      <c r="B16" s="1438" t="str">
        <f>CONCATENATE(TEXT(HOUR(C16),"0"),":",TEXT(MINUTE(C16),"00"))</f>
        <v>9:20</v>
      </c>
      <c r="C16" s="1439">
        <v>0.3888888888888889</v>
      </c>
      <c r="D16" s="1440" t="str">
        <f>CONCATENATE(TEXT(HOUR(E16),"0"),":",TEXT(MINUTE(E16),"00"))</f>
        <v>9:20</v>
      </c>
      <c r="E16" s="1439">
        <v>0.3888888888888889</v>
      </c>
      <c r="F16" s="1440" t="str">
        <f>CONCATENATE(TEXT(HOUR(G16),"0"),":",TEXT(MINUTE(G16),"00"))</f>
        <v>18:05</v>
      </c>
      <c r="G16" s="1439">
        <v>0.75347222222222221</v>
      </c>
      <c r="H16" t="s">
        <v>151</v>
      </c>
      <c r="I16" s="98"/>
      <c r="J16" s="99"/>
      <c r="K16" s="99"/>
      <c r="L16" s="99"/>
      <c r="M16" s="99"/>
      <c r="N16" s="100"/>
      <c r="O16" s="101"/>
      <c r="P16" s="99"/>
      <c r="Q16" s="99"/>
      <c r="R16" s="99"/>
      <c r="S16" s="99"/>
      <c r="T16" s="99"/>
      <c r="U16" s="98"/>
      <c r="V16" s="99"/>
      <c r="W16" s="99"/>
      <c r="X16" s="99"/>
      <c r="Y16" s="99"/>
      <c r="Z16" s="100"/>
      <c r="AA16" s="101"/>
      <c r="AB16" s="99"/>
      <c r="AC16" s="99"/>
      <c r="AD16" s="99"/>
      <c r="AE16" s="99"/>
      <c r="AF16" s="102"/>
      <c r="AG16" s="98"/>
      <c r="AH16" s="99"/>
      <c r="AI16" s="99"/>
      <c r="AJ16" s="99"/>
      <c r="AK16" s="99"/>
      <c r="AL16" s="100"/>
      <c r="AM16" s="142"/>
      <c r="AN16" s="140"/>
      <c r="AO16" s="140"/>
      <c r="AP16" s="140"/>
      <c r="AQ16" s="140"/>
      <c r="AR16" s="143"/>
      <c r="AS16" s="98"/>
      <c r="AT16" s="99"/>
      <c r="AU16" s="99"/>
      <c r="AV16" s="99"/>
      <c r="AW16" s="99"/>
      <c r="AX16" s="100"/>
      <c r="AY16" s="101"/>
      <c r="AZ16" s="99"/>
      <c r="BA16" s="99"/>
      <c r="BB16" s="99"/>
      <c r="BC16" s="99"/>
      <c r="BD16" s="102"/>
      <c r="BE16" s="98"/>
      <c r="BF16" s="99"/>
      <c r="BG16" s="99"/>
      <c r="BH16" s="99"/>
      <c r="BI16" s="99"/>
      <c r="BJ16" s="100"/>
      <c r="BK16" s="101"/>
      <c r="BL16" s="99"/>
      <c r="BM16" s="99"/>
      <c r="BN16" s="99"/>
      <c r="BO16" s="99"/>
      <c r="BP16" s="102"/>
      <c r="BQ16" s="136"/>
      <c r="BR16" s="137"/>
      <c r="BS16" s="137"/>
      <c r="BT16" s="137"/>
      <c r="BU16" s="137"/>
      <c r="BV16" s="138"/>
      <c r="BW16" s="134"/>
      <c r="BX16" s="137"/>
      <c r="BY16" s="137"/>
      <c r="BZ16" s="137"/>
      <c r="CA16" s="137"/>
      <c r="CB16" s="135"/>
      <c r="CC16" s="136"/>
      <c r="CD16" s="137"/>
      <c r="CE16" s="137"/>
      <c r="CF16" s="137"/>
      <c r="CG16" s="137"/>
      <c r="CH16" s="138"/>
      <c r="CI16" s="134"/>
      <c r="CJ16" s="137"/>
      <c r="CK16" s="137"/>
      <c r="CL16" s="137"/>
      <c r="CM16" s="137"/>
      <c r="CN16" s="135"/>
      <c r="CO16" s="139"/>
      <c r="CP16" s="140"/>
      <c r="CQ16" s="140"/>
      <c r="CR16" s="140"/>
      <c r="CS16" s="140"/>
      <c r="CT16" s="141"/>
      <c r="CU16" s="134"/>
      <c r="CV16" s="137"/>
      <c r="CW16" s="137"/>
      <c r="CX16" s="137"/>
      <c r="CY16" s="137"/>
      <c r="CZ16" s="135"/>
      <c r="DA16" s="136"/>
      <c r="DB16" s="137"/>
      <c r="DC16" s="137"/>
      <c r="DD16" s="137"/>
      <c r="DE16" s="137"/>
      <c r="DF16" s="138"/>
      <c r="DG16" s="134"/>
      <c r="DH16" s="137"/>
      <c r="DI16" s="137"/>
      <c r="DJ16" s="137"/>
      <c r="DK16" s="137"/>
      <c r="DL16" s="135"/>
      <c r="DM16" s="139"/>
      <c r="DN16" s="140"/>
      <c r="DO16" s="140"/>
      <c r="DP16" s="140"/>
      <c r="DQ16" s="105"/>
      <c r="DR16" s="105"/>
      <c r="DS16" s="108"/>
      <c r="DT16" s="105"/>
      <c r="DU16" s="105"/>
      <c r="DV16" s="105"/>
      <c r="DW16" s="105"/>
      <c r="DX16" s="106"/>
      <c r="DY16" s="107"/>
      <c r="DZ16" s="105"/>
      <c r="EA16" s="105"/>
      <c r="EB16" s="105"/>
      <c r="EC16" s="105"/>
      <c r="ED16" s="109"/>
      <c r="EE16" s="108"/>
      <c r="EF16" s="105"/>
      <c r="EG16" s="105"/>
      <c r="EH16" s="105"/>
      <c r="EI16" s="105"/>
      <c r="EJ16" s="106"/>
      <c r="EK16" s="107"/>
      <c r="EL16" s="105"/>
      <c r="EM16" s="105"/>
      <c r="EN16" s="105"/>
      <c r="EO16" s="105"/>
      <c r="EP16" s="105"/>
      <c r="EQ16" s="108"/>
      <c r="ER16" s="105"/>
      <c r="ES16" s="105"/>
      <c r="ET16" s="105"/>
      <c r="EU16" s="105"/>
      <c r="EV16" s="106"/>
      <c r="FB16" s="335" t="s">
        <v>406</v>
      </c>
      <c r="FC16" s="359" t="s">
        <v>628</v>
      </c>
      <c r="FD16" s="359" t="s">
        <v>626</v>
      </c>
      <c r="FE16" s="359"/>
      <c r="FF16" s="359"/>
      <c r="FG16" s="359"/>
      <c r="FH16" s="359"/>
      <c r="FI16" s="359"/>
      <c r="FJ16" s="359"/>
      <c r="FK16" s="359"/>
      <c r="FL16" s="359"/>
      <c r="FM16" s="359"/>
      <c r="FN16" s="359"/>
      <c r="FO16" s="359"/>
      <c r="FQ16" s="425" t="s">
        <v>505</v>
      </c>
      <c r="FR16" s="425"/>
      <c r="FS16" s="425"/>
      <c r="FT16" s="425"/>
      <c r="FU16" s="425"/>
      <c r="FV16" s="425"/>
      <c r="FW16" s="425"/>
      <c r="FX16" s="425"/>
      <c r="FY16" s="425"/>
      <c r="FZ16" s="425"/>
      <c r="GA16" s="425"/>
      <c r="GB16" s="425"/>
      <c r="GC16" s="425"/>
      <c r="GD16" s="425"/>
      <c r="GE16" s="425"/>
      <c r="GF16" s="425"/>
      <c r="GG16" s="425"/>
      <c r="GH16" s="425"/>
      <c r="GI16" s="425"/>
      <c r="GJ16" s="425"/>
      <c r="GK16" s="425"/>
      <c r="GL16" s="425"/>
      <c r="GM16" s="425"/>
      <c r="GN16" s="425"/>
      <c r="GO16" s="425"/>
      <c r="GP16" s="425"/>
    </row>
    <row r="17" spans="1:198" ht="14.25" thickBot="1">
      <c r="A17" s="1438"/>
      <c r="B17" s="1438"/>
      <c r="C17" s="1439"/>
      <c r="D17" s="1440"/>
      <c r="E17" s="1439"/>
      <c r="F17" s="1440"/>
      <c r="G17" s="1439"/>
      <c r="H17" t="s">
        <v>152</v>
      </c>
      <c r="I17" s="110"/>
      <c r="J17" s="111"/>
      <c r="K17" s="111"/>
      <c r="L17" s="111"/>
      <c r="M17" s="111"/>
      <c r="N17" s="112"/>
      <c r="O17" s="113"/>
      <c r="P17" s="111"/>
      <c r="Q17" s="111"/>
      <c r="R17" s="111"/>
      <c r="S17" s="111"/>
      <c r="T17" s="111"/>
      <c r="U17" s="114"/>
      <c r="V17" s="115"/>
      <c r="W17" s="115"/>
      <c r="X17" s="115"/>
      <c r="Y17" s="115"/>
      <c r="Z17" s="116"/>
      <c r="AA17" s="117"/>
      <c r="AB17" s="115"/>
      <c r="AC17" s="115"/>
      <c r="AD17" s="115"/>
      <c r="AE17" s="115"/>
      <c r="AF17" s="118"/>
      <c r="AG17" s="114"/>
      <c r="AH17" s="115"/>
      <c r="AI17" s="115"/>
      <c r="AJ17" s="115"/>
      <c r="AK17" s="115"/>
      <c r="AL17" s="116"/>
      <c r="AM17" s="117"/>
      <c r="AN17" s="115"/>
      <c r="AO17" s="115"/>
      <c r="AP17" s="115"/>
      <c r="AQ17" s="115"/>
      <c r="AR17" s="118"/>
      <c r="AS17" s="114"/>
      <c r="AT17" s="115"/>
      <c r="AU17" s="115"/>
      <c r="AV17" s="115"/>
      <c r="AW17" s="115"/>
      <c r="AX17" s="116"/>
      <c r="AY17" s="117"/>
      <c r="AZ17" s="115"/>
      <c r="BA17" s="115"/>
      <c r="BB17" s="115"/>
      <c r="BC17" s="115"/>
      <c r="BD17" s="118"/>
      <c r="BE17" s="114"/>
      <c r="BF17" s="115"/>
      <c r="BG17" s="115"/>
      <c r="BH17" s="115"/>
      <c r="BI17" s="115"/>
      <c r="BJ17" s="116"/>
      <c r="BK17" s="117"/>
      <c r="BL17" s="115"/>
      <c r="BM17" s="115"/>
      <c r="BN17" s="115"/>
      <c r="BO17" s="115"/>
      <c r="BP17" s="118"/>
      <c r="BQ17" s="114"/>
      <c r="BR17" s="115"/>
      <c r="BS17" s="115"/>
      <c r="BT17" s="115"/>
      <c r="BU17" s="115"/>
      <c r="BV17" s="116"/>
      <c r="BW17" s="117"/>
      <c r="BX17" s="115"/>
      <c r="BY17" s="115"/>
      <c r="BZ17" s="115"/>
      <c r="CA17" s="115"/>
      <c r="CB17" s="118"/>
      <c r="CC17" s="114"/>
      <c r="CD17" s="131"/>
      <c r="CE17" s="131"/>
      <c r="CF17" s="131"/>
      <c r="CG17" s="131"/>
      <c r="CH17" s="131"/>
      <c r="CI17" s="129"/>
      <c r="CJ17" s="120"/>
      <c r="CK17" s="120"/>
      <c r="CL17" s="120"/>
      <c r="CM17" s="120"/>
      <c r="CN17" s="122"/>
      <c r="CO17" s="123"/>
      <c r="CP17" s="120"/>
      <c r="CQ17" s="120"/>
      <c r="CR17" s="120"/>
      <c r="CS17" s="120"/>
      <c r="CT17" s="124"/>
      <c r="CU17" s="121"/>
      <c r="CV17" s="120"/>
      <c r="CW17" s="120"/>
      <c r="CX17" s="120"/>
      <c r="CY17" s="120"/>
      <c r="CZ17" s="122"/>
      <c r="DA17" s="123"/>
      <c r="DB17" s="120"/>
      <c r="DC17" s="120"/>
      <c r="DD17" s="120"/>
      <c r="DE17" s="120"/>
      <c r="DF17" s="124"/>
      <c r="DG17" s="121"/>
      <c r="DH17" s="120"/>
      <c r="DI17" s="120"/>
      <c r="DJ17" s="120"/>
      <c r="DK17" s="120"/>
      <c r="DL17" s="122"/>
      <c r="DM17" s="123"/>
      <c r="DN17" s="120"/>
      <c r="DO17" s="120"/>
      <c r="DP17" s="120"/>
      <c r="DQ17" s="120"/>
      <c r="DR17" s="120"/>
      <c r="DS17" s="121"/>
      <c r="DT17" s="120"/>
      <c r="DU17" s="120"/>
      <c r="DV17" s="120"/>
      <c r="DW17" s="120"/>
      <c r="DX17" s="122"/>
      <c r="DY17" s="110"/>
      <c r="DZ17" s="111"/>
      <c r="EA17" s="111"/>
      <c r="EB17" s="111"/>
      <c r="EC17" s="111"/>
      <c r="ED17" s="112"/>
      <c r="EE17" s="125"/>
      <c r="EF17" s="126"/>
      <c r="EG17" s="126"/>
      <c r="EH17" s="126"/>
      <c r="EI17" s="126"/>
      <c r="EJ17" s="127"/>
      <c r="EK17" s="128"/>
      <c r="EL17" s="126"/>
      <c r="EM17" s="126"/>
      <c r="EN17" s="126"/>
      <c r="EO17" s="126"/>
      <c r="EP17" s="126"/>
      <c r="EQ17" s="125"/>
      <c r="ER17" s="126"/>
      <c r="ES17" s="126"/>
      <c r="ET17" s="126"/>
      <c r="EU17" s="126"/>
      <c r="EV17" s="127"/>
      <c r="FB17" s="335" t="s">
        <v>411</v>
      </c>
      <c r="FC17" s="359" t="s">
        <v>629</v>
      </c>
      <c r="FD17" s="359" t="s">
        <v>628</v>
      </c>
      <c r="FE17" s="359"/>
      <c r="FF17" s="359"/>
      <c r="FG17" s="359"/>
      <c r="FH17" s="359"/>
      <c r="FI17" s="359"/>
      <c r="FJ17" s="359"/>
      <c r="FK17" s="359"/>
      <c r="FL17" s="359"/>
      <c r="FM17" s="359"/>
      <c r="FN17" s="359"/>
      <c r="FO17" s="359"/>
      <c r="FQ17" s="425" t="s">
        <v>506</v>
      </c>
      <c r="FR17" s="425"/>
      <c r="FS17" s="425"/>
      <c r="FT17" s="425"/>
      <c r="FU17" s="425"/>
      <c r="FV17" s="425"/>
      <c r="FW17" s="425"/>
      <c r="FX17" s="425"/>
      <c r="FY17" s="425"/>
      <c r="FZ17" s="425"/>
      <c r="GA17" s="425"/>
      <c r="GB17" s="425"/>
      <c r="GC17" s="425"/>
      <c r="GD17" s="425"/>
      <c r="GE17" s="425"/>
      <c r="GF17" s="425"/>
      <c r="GG17" s="425"/>
      <c r="GH17" s="425"/>
      <c r="GI17" s="425"/>
      <c r="GJ17" s="425"/>
      <c r="GK17" s="425"/>
      <c r="GL17" s="425"/>
      <c r="GM17" s="425"/>
      <c r="GN17" s="425"/>
      <c r="GO17" s="425"/>
      <c r="GP17" s="425"/>
    </row>
    <row r="18" spans="1:198" ht="13.5" customHeight="1">
      <c r="A18" s="1441" t="s">
        <v>283</v>
      </c>
      <c r="B18" s="1441" t="str">
        <f>CONCATENATE(TEXT(HOUR(C18),"0"),":",TEXT(MINUTE(C18),"00"))</f>
        <v>13:00</v>
      </c>
      <c r="C18" s="1442">
        <v>0.54166666666666663</v>
      </c>
      <c r="D18" s="1441" t="str">
        <f>CONCATENATE(TEXT(HOUR(E18),"0"),":",TEXT(MINUTE(E18),"00"))</f>
        <v>13:00</v>
      </c>
      <c r="E18" s="1442">
        <v>0.54166666666666663</v>
      </c>
      <c r="F18" s="1441" t="str">
        <f>CONCATENATE(TEXT(HOUR(G18),"0"),":",TEXT(MINUTE(G18),"00"))</f>
        <v>21:45</v>
      </c>
      <c r="G18" s="1442">
        <v>0.90625</v>
      </c>
      <c r="H18" s="202" t="s">
        <v>151</v>
      </c>
      <c r="I18" s="167"/>
      <c r="J18" s="167"/>
      <c r="K18" s="167"/>
      <c r="L18" s="167"/>
      <c r="M18" s="167"/>
      <c r="N18" s="167"/>
      <c r="O18" s="168"/>
      <c r="P18" s="167"/>
      <c r="Q18" s="167"/>
      <c r="R18" s="167"/>
      <c r="S18" s="167"/>
      <c r="T18" s="167"/>
      <c r="U18" s="169"/>
      <c r="V18" s="167"/>
      <c r="W18" s="167"/>
      <c r="X18" s="167"/>
      <c r="Y18" s="167"/>
      <c r="Z18" s="167"/>
      <c r="AA18" s="168"/>
      <c r="AB18" s="167"/>
      <c r="AC18" s="167"/>
      <c r="AD18" s="167"/>
      <c r="AE18" s="167"/>
      <c r="AF18" s="167"/>
      <c r="AG18" s="169"/>
      <c r="AH18" s="167"/>
      <c r="AI18" s="167"/>
      <c r="AJ18" s="170"/>
      <c r="AK18" s="170"/>
      <c r="AL18" s="170"/>
      <c r="AM18" s="171"/>
      <c r="AN18" s="170"/>
      <c r="AO18" s="170"/>
      <c r="AP18" s="167"/>
      <c r="AQ18" s="167"/>
      <c r="AR18" s="167"/>
      <c r="AS18" s="169"/>
      <c r="AT18" s="167"/>
      <c r="AU18" s="167"/>
      <c r="AV18" s="167"/>
      <c r="AW18" s="167"/>
      <c r="AX18" s="167"/>
      <c r="AY18" s="168"/>
      <c r="AZ18" s="167"/>
      <c r="BA18" s="167"/>
      <c r="BB18" s="167"/>
      <c r="BC18" s="167"/>
      <c r="BD18" s="167"/>
      <c r="BE18" s="169"/>
      <c r="BF18" s="167"/>
      <c r="BG18" s="167"/>
      <c r="BH18" s="167"/>
      <c r="BI18" s="167"/>
      <c r="BJ18" s="167"/>
      <c r="BK18" s="168"/>
      <c r="BL18" s="167"/>
      <c r="BM18" s="167"/>
      <c r="BN18" s="167"/>
      <c r="BO18" s="167"/>
      <c r="BP18" s="167"/>
      <c r="BQ18" s="172"/>
      <c r="BR18" s="173"/>
      <c r="BS18" s="173"/>
      <c r="BT18" s="173"/>
      <c r="BU18" s="173"/>
      <c r="BV18" s="173"/>
      <c r="BW18" s="174"/>
      <c r="BX18" s="173"/>
      <c r="BY18" s="173"/>
      <c r="BZ18" s="173"/>
      <c r="CA18" s="173"/>
      <c r="CB18" s="173"/>
      <c r="CC18" s="172"/>
      <c r="CD18" s="173"/>
      <c r="CE18" s="173"/>
      <c r="CF18" s="173"/>
      <c r="CG18" s="173"/>
      <c r="CH18" s="175"/>
      <c r="CI18" s="174"/>
      <c r="CJ18" s="173"/>
      <c r="CK18" s="173"/>
      <c r="CL18" s="170"/>
      <c r="CM18" s="170"/>
      <c r="CN18" s="176"/>
      <c r="CO18" s="170"/>
      <c r="CP18" s="170"/>
      <c r="CQ18" s="170"/>
      <c r="CR18" s="173"/>
      <c r="CS18" s="173"/>
      <c r="CT18" s="173"/>
      <c r="CU18" s="174"/>
      <c r="CV18" s="173"/>
      <c r="CW18" s="173"/>
      <c r="CX18" s="173"/>
      <c r="CY18" s="173"/>
      <c r="CZ18" s="173"/>
      <c r="DA18" s="172"/>
      <c r="DB18" s="173"/>
      <c r="DC18" s="173"/>
      <c r="DD18" s="173"/>
      <c r="DE18" s="173"/>
      <c r="DF18" s="173"/>
      <c r="DG18" s="174"/>
      <c r="DH18" s="173"/>
      <c r="DI18" s="173"/>
      <c r="DJ18" s="173"/>
      <c r="DK18" s="173"/>
      <c r="DL18" s="173"/>
      <c r="DM18" s="172"/>
      <c r="DN18" s="173"/>
      <c r="DO18" s="173"/>
      <c r="DP18" s="173"/>
      <c r="DQ18" s="173"/>
      <c r="DR18" s="173"/>
      <c r="DS18" s="174"/>
      <c r="DT18" s="173"/>
      <c r="DU18" s="173"/>
      <c r="DV18" s="173"/>
      <c r="DW18" s="173"/>
      <c r="DX18" s="173"/>
      <c r="DY18" s="172"/>
      <c r="DZ18" s="173"/>
      <c r="EA18" s="173"/>
      <c r="EB18" s="173"/>
      <c r="EC18" s="173"/>
      <c r="ED18" s="173"/>
      <c r="EE18" s="174"/>
      <c r="EF18" s="173"/>
      <c r="EG18" s="173"/>
      <c r="EH18" s="173"/>
      <c r="EI18" s="173"/>
      <c r="EJ18" s="173"/>
      <c r="EK18" s="172"/>
      <c r="EL18" s="173"/>
      <c r="EM18" s="173"/>
      <c r="EN18" s="170"/>
      <c r="EO18" s="170"/>
      <c r="EP18" s="170"/>
      <c r="EQ18" s="171"/>
      <c r="ER18" s="170"/>
      <c r="ES18" s="170"/>
      <c r="ET18" s="173"/>
      <c r="EU18" s="173"/>
      <c r="EV18" s="177"/>
      <c r="FB18" s="335" t="s">
        <v>406</v>
      </c>
      <c r="FC18" s="359"/>
      <c r="FD18" s="359"/>
      <c r="FE18" s="359"/>
      <c r="FF18" s="359"/>
      <c r="FG18" s="359"/>
      <c r="FH18" s="359"/>
      <c r="FI18" s="359"/>
      <c r="FJ18" s="359"/>
      <c r="FK18" s="359"/>
      <c r="FL18" s="359"/>
      <c r="FM18" s="359"/>
      <c r="FN18" s="359"/>
      <c r="FO18" s="359"/>
      <c r="FQ18" s="425" t="s">
        <v>505</v>
      </c>
      <c r="FR18" s="425"/>
      <c r="FS18" s="425"/>
      <c r="FT18" s="425"/>
      <c r="FU18" s="425"/>
      <c r="FV18" s="425"/>
      <c r="FW18" s="425"/>
      <c r="FX18" s="425"/>
      <c r="FY18" s="425"/>
      <c r="FZ18" s="425"/>
      <c r="GA18" s="425"/>
      <c r="GB18" s="425"/>
      <c r="GC18" s="425"/>
      <c r="GD18" s="425"/>
      <c r="GE18" s="425"/>
      <c r="GF18" s="425"/>
      <c r="GG18" s="425"/>
      <c r="GH18" s="425"/>
      <c r="GI18" s="425"/>
      <c r="GJ18" s="425"/>
      <c r="GK18" s="425"/>
      <c r="GL18" s="425"/>
      <c r="GM18" s="425"/>
      <c r="GN18" s="425"/>
      <c r="GO18" s="425"/>
      <c r="GP18" s="425"/>
    </row>
    <row r="19" spans="1:198" ht="13.5" customHeight="1" thickBot="1">
      <c r="A19" s="1441"/>
      <c r="B19" s="1441"/>
      <c r="C19" s="1441"/>
      <c r="D19" s="1441"/>
      <c r="E19" s="1441"/>
      <c r="F19" s="1441"/>
      <c r="G19" s="1441"/>
      <c r="H19" s="202" t="s">
        <v>152</v>
      </c>
      <c r="I19" s="178"/>
      <c r="J19" s="178"/>
      <c r="K19" s="178"/>
      <c r="L19" s="178"/>
      <c r="M19" s="178"/>
      <c r="N19" s="178"/>
      <c r="O19" s="179"/>
      <c r="P19" s="178"/>
      <c r="Q19" s="178"/>
      <c r="R19" s="180"/>
      <c r="S19" s="180"/>
      <c r="T19" s="180"/>
      <c r="U19" s="181"/>
      <c r="V19" s="182"/>
      <c r="W19" s="182"/>
      <c r="X19" s="182"/>
      <c r="Y19" s="182"/>
      <c r="Z19" s="182"/>
      <c r="AA19" s="183"/>
      <c r="AB19" s="182"/>
      <c r="AC19" s="182"/>
      <c r="AD19" s="182"/>
      <c r="AE19" s="182"/>
      <c r="AF19" s="182"/>
      <c r="AG19" s="181"/>
      <c r="AH19" s="182"/>
      <c r="AI19" s="182"/>
      <c r="AJ19" s="182"/>
      <c r="AK19" s="182"/>
      <c r="AL19" s="182"/>
      <c r="AM19" s="183"/>
      <c r="AN19" s="182"/>
      <c r="AO19" s="182"/>
      <c r="AP19" s="182"/>
      <c r="AQ19" s="182"/>
      <c r="AR19" s="182"/>
      <c r="AS19" s="181"/>
      <c r="AT19" s="182"/>
      <c r="AU19" s="182"/>
      <c r="AV19" s="182"/>
      <c r="AW19" s="182"/>
      <c r="AX19" s="182"/>
      <c r="AY19" s="183"/>
      <c r="AZ19" s="182"/>
      <c r="BA19" s="182"/>
      <c r="BB19" s="182"/>
      <c r="BC19" s="182"/>
      <c r="BD19" s="182"/>
      <c r="BE19" s="181"/>
      <c r="BF19" s="182"/>
      <c r="BG19" s="182"/>
      <c r="BH19" s="182"/>
      <c r="BI19" s="182"/>
      <c r="BJ19" s="182"/>
      <c r="BK19" s="183"/>
      <c r="BL19" s="182"/>
      <c r="BM19" s="182"/>
      <c r="BN19" s="182"/>
      <c r="BO19" s="182"/>
      <c r="BP19" s="182"/>
      <c r="BQ19" s="181"/>
      <c r="BR19" s="182"/>
      <c r="BS19" s="182"/>
      <c r="BT19" s="182"/>
      <c r="BU19" s="182"/>
      <c r="BV19" s="182"/>
      <c r="BW19" s="184"/>
      <c r="BX19" s="185"/>
      <c r="BY19" s="185"/>
      <c r="BZ19" s="185"/>
      <c r="CA19" s="185"/>
      <c r="CB19" s="185"/>
      <c r="CC19" s="186"/>
      <c r="CD19" s="185"/>
      <c r="CE19" s="185"/>
      <c r="CF19" s="185"/>
      <c r="CG19" s="185"/>
      <c r="CH19" s="187"/>
      <c r="CI19" s="183"/>
      <c r="CJ19" s="182"/>
      <c r="CK19" s="182"/>
      <c r="CL19" s="182"/>
      <c r="CM19" s="182"/>
      <c r="CN19" s="188"/>
      <c r="CO19" s="182"/>
      <c r="CP19" s="182"/>
      <c r="CQ19" s="182"/>
      <c r="CR19" s="182"/>
      <c r="CS19" s="182"/>
      <c r="CT19" s="182"/>
      <c r="CU19" s="183"/>
      <c r="CV19" s="182"/>
      <c r="CW19" s="182"/>
      <c r="CX19" s="182"/>
      <c r="CY19" s="182"/>
      <c r="CZ19" s="182"/>
      <c r="DA19" s="181"/>
      <c r="DB19" s="182"/>
      <c r="DC19" s="182"/>
      <c r="DD19" s="182"/>
      <c r="DE19" s="182"/>
      <c r="DF19" s="182"/>
      <c r="DG19" s="183"/>
      <c r="DH19" s="182"/>
      <c r="DI19" s="182"/>
      <c r="DJ19" s="182"/>
      <c r="DK19" s="182"/>
      <c r="DL19" s="182"/>
      <c r="DM19" s="181"/>
      <c r="DN19" s="182"/>
      <c r="DO19" s="182"/>
      <c r="DP19" s="182"/>
      <c r="DQ19" s="182"/>
      <c r="DR19" s="182"/>
      <c r="DS19" s="183"/>
      <c r="DT19" s="182"/>
      <c r="DU19" s="182"/>
      <c r="DV19" s="180"/>
      <c r="DW19" s="180"/>
      <c r="DX19" s="180"/>
      <c r="DY19" s="189"/>
      <c r="DZ19" s="180"/>
      <c r="EA19" s="180"/>
      <c r="EB19" s="190"/>
      <c r="EC19" s="190"/>
      <c r="ED19" s="190"/>
      <c r="EE19" s="191"/>
      <c r="EF19" s="190"/>
      <c r="EG19" s="190"/>
      <c r="EH19" s="190"/>
      <c r="EI19" s="190"/>
      <c r="EJ19" s="190"/>
      <c r="EK19" s="192"/>
      <c r="EL19" s="190"/>
      <c r="EM19" s="190"/>
      <c r="EN19" s="190"/>
      <c r="EO19" s="190"/>
      <c r="EP19" s="190"/>
      <c r="EQ19" s="191"/>
      <c r="ER19" s="190"/>
      <c r="ES19" s="190"/>
      <c r="ET19" s="190"/>
      <c r="EU19" s="190"/>
      <c r="EV19" s="193"/>
      <c r="FB19" s="335" t="s">
        <v>411</v>
      </c>
      <c r="FC19" s="359"/>
      <c r="FD19" s="359"/>
      <c r="FE19" s="359"/>
      <c r="FF19" s="359"/>
      <c r="FG19" s="359"/>
      <c r="FH19" s="359"/>
      <c r="FI19" s="359"/>
      <c r="FJ19" s="359"/>
      <c r="FK19" s="359"/>
      <c r="FL19" s="359"/>
      <c r="FM19" s="359"/>
      <c r="FN19" s="359"/>
      <c r="FO19" s="359"/>
      <c r="FQ19" s="425" t="s">
        <v>506</v>
      </c>
      <c r="FR19" s="425"/>
      <c r="FS19" s="425"/>
      <c r="FT19" s="425"/>
      <c r="FU19" s="425"/>
      <c r="FV19" s="425"/>
      <c r="FW19" s="425"/>
      <c r="FX19" s="425"/>
      <c r="FY19" s="425"/>
      <c r="FZ19" s="425"/>
      <c r="GA19" s="425"/>
      <c r="GB19" s="425"/>
      <c r="GC19" s="425"/>
      <c r="GD19" s="425"/>
      <c r="GE19" s="425"/>
      <c r="GF19" s="425"/>
      <c r="GG19" s="425"/>
      <c r="GH19" s="425"/>
      <c r="GI19" s="425"/>
      <c r="GJ19" s="425"/>
      <c r="GK19" s="425"/>
      <c r="GL19" s="425"/>
      <c r="GM19" s="425"/>
      <c r="GN19" s="425"/>
      <c r="GO19" s="425"/>
      <c r="GP19" s="425"/>
    </row>
    <row r="20" spans="1:198" ht="13.5" customHeight="1">
      <c r="A20" s="1441" t="s">
        <v>284</v>
      </c>
      <c r="B20" s="1441" t="str">
        <f>CONCATENATE(TEXT(HOUR(C20),"0"),":",TEXT(MINUTE(C20),"00"))</f>
        <v>22:00</v>
      </c>
      <c r="C20" s="1442">
        <v>0.91666666666666663</v>
      </c>
      <c r="D20" s="1441" t="str">
        <f>CONCATENATE(TEXT(HOUR(E20),"0"),":",TEXT(MINUTE(E20),"00"))</f>
        <v>22:00</v>
      </c>
      <c r="E20" s="1442">
        <v>0.91666666666666663</v>
      </c>
      <c r="F20" s="1441" t="str">
        <f>CONCATENATE(TEXT(HOUR(G20),"0"),":",TEXT(MINUTE(G20),"00"))</f>
        <v>6:45</v>
      </c>
      <c r="G20" s="1442">
        <v>0.28125</v>
      </c>
      <c r="H20" s="202" t="s">
        <v>151</v>
      </c>
      <c r="I20" s="194"/>
      <c r="J20" s="194"/>
      <c r="K20" s="194"/>
      <c r="L20" s="194"/>
      <c r="M20" s="194"/>
      <c r="N20" s="194"/>
      <c r="O20" s="195"/>
      <c r="P20" s="194"/>
      <c r="Q20" s="194"/>
      <c r="R20" s="194"/>
      <c r="S20" s="194"/>
      <c r="T20" s="194"/>
      <c r="U20" s="196"/>
      <c r="V20" s="194"/>
      <c r="W20" s="194"/>
      <c r="X20" s="194"/>
      <c r="Y20" s="194"/>
      <c r="Z20" s="194"/>
      <c r="AA20" s="195"/>
      <c r="AB20" s="194"/>
      <c r="AC20" s="194"/>
      <c r="AD20" s="194"/>
      <c r="AE20" s="194"/>
      <c r="AF20" s="194"/>
      <c r="AG20" s="197"/>
      <c r="AH20" s="170"/>
      <c r="AI20" s="170"/>
      <c r="AJ20" s="170"/>
      <c r="AK20" s="170"/>
      <c r="AL20" s="170"/>
      <c r="AM20" s="171"/>
      <c r="AN20" s="170"/>
      <c r="AO20" s="170"/>
      <c r="AP20" s="170"/>
      <c r="AQ20" s="170"/>
      <c r="AR20" s="170"/>
      <c r="AS20" s="196"/>
      <c r="AT20" s="194"/>
      <c r="AU20" s="194"/>
      <c r="AV20" s="194"/>
      <c r="AW20" s="194"/>
      <c r="AX20" s="194"/>
      <c r="AY20" s="195"/>
      <c r="AZ20" s="194"/>
      <c r="BA20" s="194"/>
      <c r="BB20" s="194"/>
      <c r="BC20" s="194"/>
      <c r="BD20" s="194"/>
      <c r="BE20" s="196"/>
      <c r="BF20" s="194"/>
      <c r="BG20" s="194"/>
      <c r="BH20" s="194"/>
      <c r="BI20" s="194"/>
      <c r="BJ20" s="194"/>
      <c r="BK20" s="195"/>
      <c r="BL20" s="194"/>
      <c r="BM20" s="194"/>
      <c r="BN20" s="194"/>
      <c r="BO20" s="194"/>
      <c r="BP20" s="194"/>
      <c r="BQ20" s="196"/>
      <c r="BR20" s="194"/>
      <c r="BS20" s="194"/>
      <c r="BT20" s="194"/>
      <c r="BU20" s="194"/>
      <c r="BV20" s="194"/>
      <c r="BW20" s="195"/>
      <c r="BX20" s="194"/>
      <c r="BY20" s="194"/>
      <c r="BZ20" s="167"/>
      <c r="CA20" s="167"/>
      <c r="CB20" s="167"/>
      <c r="CC20" s="169"/>
      <c r="CD20" s="167"/>
      <c r="CE20" s="167"/>
      <c r="CF20" s="167"/>
      <c r="CG20" s="167"/>
      <c r="CH20" s="198"/>
      <c r="CI20" s="168"/>
      <c r="CJ20" s="167"/>
      <c r="CK20" s="167"/>
      <c r="CL20" s="170"/>
      <c r="CM20" s="170"/>
      <c r="CN20" s="176"/>
      <c r="CO20" s="170"/>
      <c r="CP20" s="170"/>
      <c r="CQ20" s="170"/>
      <c r="CR20" s="173"/>
      <c r="CS20" s="173"/>
      <c r="CT20" s="173"/>
      <c r="CU20" s="174"/>
      <c r="CV20" s="173"/>
      <c r="CW20" s="173"/>
      <c r="CX20" s="173"/>
      <c r="CY20" s="173"/>
      <c r="CZ20" s="173"/>
      <c r="DA20" s="172"/>
      <c r="DB20" s="173"/>
      <c r="DC20" s="173"/>
      <c r="DD20" s="173"/>
      <c r="DE20" s="173"/>
      <c r="DF20" s="173"/>
      <c r="DG20" s="174"/>
      <c r="DH20" s="173"/>
      <c r="DI20" s="173"/>
      <c r="DJ20" s="173"/>
      <c r="DK20" s="173"/>
      <c r="DL20" s="173"/>
      <c r="DM20" s="172"/>
      <c r="DN20" s="173"/>
      <c r="DO20" s="173"/>
      <c r="DP20" s="173"/>
      <c r="DQ20" s="173"/>
      <c r="DR20" s="173"/>
      <c r="DS20" s="174"/>
      <c r="DT20" s="173"/>
      <c r="DU20" s="173"/>
      <c r="DV20" s="173"/>
      <c r="DW20" s="173"/>
      <c r="DX20" s="173"/>
      <c r="DY20" s="172"/>
      <c r="DZ20" s="173"/>
      <c r="EA20" s="173"/>
      <c r="EB20" s="173"/>
      <c r="EC20" s="173"/>
      <c r="ED20" s="173"/>
      <c r="EE20" s="174"/>
      <c r="EF20" s="173"/>
      <c r="EG20" s="173"/>
      <c r="EH20" s="173"/>
      <c r="EI20" s="173"/>
      <c r="EJ20" s="173"/>
      <c r="EK20" s="172"/>
      <c r="EL20" s="173"/>
      <c r="EM20" s="173"/>
      <c r="EN20" s="170"/>
      <c r="EO20" s="170"/>
      <c r="EP20" s="170"/>
      <c r="EQ20" s="171"/>
      <c r="ER20" s="170"/>
      <c r="ES20" s="170"/>
      <c r="ET20" s="170"/>
      <c r="EU20" s="170"/>
      <c r="EV20" s="176"/>
      <c r="FB20" s="335" t="s">
        <v>406</v>
      </c>
      <c r="FC20" s="359"/>
      <c r="FD20" s="359"/>
      <c r="FE20" s="359"/>
      <c r="FF20" s="359"/>
      <c r="FG20" s="359"/>
      <c r="FH20" s="359"/>
      <c r="FI20" s="359"/>
      <c r="FJ20" s="359"/>
      <c r="FK20" s="359"/>
      <c r="FL20" s="359"/>
      <c r="FM20" s="359"/>
      <c r="FN20" s="359"/>
      <c r="FO20" s="359"/>
      <c r="FQ20" s="425" t="s">
        <v>505</v>
      </c>
      <c r="FR20" s="425"/>
      <c r="FS20" s="425"/>
      <c r="FT20" s="425"/>
      <c r="FU20" s="425"/>
      <c r="FV20" s="425"/>
      <c r="FW20" s="425"/>
      <c r="FX20" s="425"/>
      <c r="FY20" s="425"/>
      <c r="FZ20" s="425"/>
      <c r="GA20" s="425"/>
      <c r="GB20" s="425"/>
      <c r="GC20" s="425"/>
      <c r="GD20" s="425"/>
      <c r="GE20" s="425"/>
      <c r="GF20" s="425"/>
      <c r="GG20" s="425"/>
      <c r="GH20" s="425"/>
      <c r="GI20" s="425"/>
      <c r="GJ20" s="425"/>
      <c r="GK20" s="425"/>
      <c r="GL20" s="425"/>
      <c r="GM20" s="425"/>
      <c r="GN20" s="425"/>
      <c r="GO20" s="425"/>
      <c r="GP20" s="425"/>
    </row>
    <row r="21" spans="1:198" ht="13.5" customHeight="1" thickBot="1">
      <c r="A21" s="1441"/>
      <c r="B21" s="1441"/>
      <c r="C21" s="1441"/>
      <c r="D21" s="1441"/>
      <c r="E21" s="1441"/>
      <c r="F21" s="1441"/>
      <c r="G21" s="1441"/>
      <c r="H21" s="202" t="s">
        <v>152</v>
      </c>
      <c r="I21" s="180"/>
      <c r="J21" s="180"/>
      <c r="K21" s="180"/>
      <c r="L21" s="178"/>
      <c r="M21" s="178"/>
      <c r="N21" s="178"/>
      <c r="O21" s="179"/>
      <c r="P21" s="178"/>
      <c r="Q21" s="178"/>
      <c r="R21" s="178"/>
      <c r="S21" s="178"/>
      <c r="T21" s="178"/>
      <c r="U21" s="199"/>
      <c r="V21" s="178"/>
      <c r="W21" s="178"/>
      <c r="X21" s="178"/>
      <c r="Y21" s="178"/>
      <c r="Z21" s="178"/>
      <c r="AA21" s="179"/>
      <c r="AB21" s="178"/>
      <c r="AC21" s="178"/>
      <c r="AD21" s="178"/>
      <c r="AE21" s="178"/>
      <c r="AF21" s="178"/>
      <c r="AG21" s="199"/>
      <c r="AH21" s="178"/>
      <c r="AI21" s="178"/>
      <c r="AJ21" s="178"/>
      <c r="AK21" s="178"/>
      <c r="AL21" s="178"/>
      <c r="AM21" s="179"/>
      <c r="AN21" s="178"/>
      <c r="AO21" s="178"/>
      <c r="AP21" s="178"/>
      <c r="AQ21" s="178"/>
      <c r="AR21" s="178"/>
      <c r="AS21" s="199"/>
      <c r="AT21" s="178"/>
      <c r="AU21" s="178"/>
      <c r="AV21" s="178"/>
      <c r="AW21" s="178"/>
      <c r="AX21" s="178"/>
      <c r="AY21" s="179"/>
      <c r="AZ21" s="178"/>
      <c r="BA21" s="178"/>
      <c r="BB21" s="178"/>
      <c r="BC21" s="178"/>
      <c r="BD21" s="178"/>
      <c r="BE21" s="199"/>
      <c r="BF21" s="178"/>
      <c r="BG21" s="178"/>
      <c r="BH21" s="185"/>
      <c r="BI21" s="185"/>
      <c r="BJ21" s="185"/>
      <c r="BK21" s="184"/>
      <c r="BL21" s="185"/>
      <c r="BM21" s="185"/>
      <c r="BN21" s="178"/>
      <c r="BO21" s="178"/>
      <c r="BP21" s="178"/>
      <c r="BQ21" s="199"/>
      <c r="BR21" s="178"/>
      <c r="BS21" s="178"/>
      <c r="BT21" s="178"/>
      <c r="BU21" s="178"/>
      <c r="BV21" s="178"/>
      <c r="BW21" s="179"/>
      <c r="BX21" s="178"/>
      <c r="BY21" s="178"/>
      <c r="BZ21" s="178"/>
      <c r="CA21" s="178"/>
      <c r="CB21" s="178"/>
      <c r="CC21" s="199"/>
      <c r="CD21" s="178"/>
      <c r="CE21" s="178"/>
      <c r="CF21" s="178"/>
      <c r="CG21" s="178"/>
      <c r="CH21" s="200"/>
      <c r="CI21" s="179"/>
      <c r="CJ21" s="178"/>
      <c r="CK21" s="178"/>
      <c r="CL21" s="178"/>
      <c r="CM21" s="178"/>
      <c r="CN21" s="201"/>
      <c r="CO21" s="178"/>
      <c r="CP21" s="178"/>
      <c r="CQ21" s="178"/>
      <c r="CR21" s="178"/>
      <c r="CS21" s="178"/>
      <c r="CT21" s="178"/>
      <c r="CU21" s="179"/>
      <c r="CV21" s="178"/>
      <c r="CW21" s="178"/>
      <c r="CX21" s="178"/>
      <c r="CY21" s="178"/>
      <c r="CZ21" s="178"/>
      <c r="DA21" s="199"/>
      <c r="DB21" s="178"/>
      <c r="DC21" s="178"/>
      <c r="DD21" s="178"/>
      <c r="DE21" s="178"/>
      <c r="DF21" s="178"/>
      <c r="DG21" s="179"/>
      <c r="DH21" s="178"/>
      <c r="DI21" s="178"/>
      <c r="DJ21" s="185"/>
      <c r="DK21" s="185"/>
      <c r="DL21" s="185"/>
      <c r="DM21" s="186"/>
      <c r="DN21" s="185"/>
      <c r="DO21" s="185"/>
      <c r="DP21" s="178"/>
      <c r="DQ21" s="178"/>
      <c r="DR21" s="178"/>
      <c r="DS21" s="179"/>
      <c r="DT21" s="178"/>
      <c r="DU21" s="178"/>
      <c r="DV21" s="185"/>
      <c r="DW21" s="185"/>
      <c r="DX21" s="185"/>
      <c r="DY21" s="181"/>
      <c r="DZ21" s="182"/>
      <c r="EA21" s="182"/>
      <c r="EB21" s="182"/>
      <c r="EC21" s="182"/>
      <c r="ED21" s="182"/>
      <c r="EE21" s="183"/>
      <c r="EF21" s="182"/>
      <c r="EG21" s="182"/>
      <c r="EH21" s="182"/>
      <c r="EI21" s="182"/>
      <c r="EJ21" s="182"/>
      <c r="EK21" s="181"/>
      <c r="EL21" s="182"/>
      <c r="EM21" s="182"/>
      <c r="EN21" s="182"/>
      <c r="EO21" s="182"/>
      <c r="EP21" s="182"/>
      <c r="EQ21" s="183"/>
      <c r="ER21" s="182"/>
      <c r="ES21" s="182"/>
      <c r="ET21" s="182"/>
      <c r="EU21" s="182"/>
      <c r="EV21" s="188"/>
      <c r="FB21" s="335" t="s">
        <v>411</v>
      </c>
      <c r="FC21" s="359"/>
      <c r="FD21" s="359"/>
      <c r="FE21" s="359"/>
      <c r="FF21" s="359"/>
      <c r="FG21" s="359"/>
      <c r="FH21" s="359"/>
      <c r="FI21" s="359"/>
      <c r="FJ21" s="359"/>
      <c r="FK21" s="359"/>
      <c r="FL21" s="359"/>
      <c r="FM21" s="359"/>
      <c r="FN21" s="359"/>
      <c r="FO21" s="359"/>
      <c r="FQ21" s="425" t="s">
        <v>506</v>
      </c>
      <c r="FR21" s="425"/>
      <c r="FS21" s="425"/>
      <c r="FT21" s="425"/>
      <c r="FU21" s="425"/>
      <c r="FV21" s="425"/>
      <c r="FW21" s="425"/>
      <c r="FX21" s="425"/>
      <c r="FY21" s="425"/>
      <c r="FZ21" s="425"/>
      <c r="GA21" s="425"/>
      <c r="GB21" s="425"/>
      <c r="GC21" s="425"/>
      <c r="GD21" s="425"/>
      <c r="GE21" s="425"/>
      <c r="GF21" s="425"/>
      <c r="GG21" s="425"/>
      <c r="GH21" s="425"/>
      <c r="GI21" s="425"/>
      <c r="GJ21" s="425"/>
      <c r="GK21" s="425"/>
      <c r="GL21" s="425"/>
      <c r="GM21" s="425"/>
      <c r="GN21" s="425"/>
      <c r="GO21" s="425"/>
      <c r="GP21" s="425"/>
    </row>
    <row r="22" spans="1:198">
      <c r="A22" s="1438" t="s">
        <v>423</v>
      </c>
      <c r="B22" s="1438" t="str">
        <f>CONCATENATE(TEXT(HOUR(C22),"0"),":",TEXT(MINUTE(C22),"00"))</f>
        <v>8:50</v>
      </c>
      <c r="C22" s="1439">
        <v>0.36805555555555558</v>
      </c>
      <c r="D22" s="1440" t="str">
        <f>CONCATENATE(TEXT(HOUR(E22),"0"),":",TEXT(MINUTE(E22),"00"))</f>
        <v>13:00</v>
      </c>
      <c r="E22" s="1439">
        <v>0.54166666666666663</v>
      </c>
      <c r="F22" s="1440" t="str">
        <f>CONCATENATE(TEXT(HOUR(G22),"0"),":",TEXT(MINUTE(G22),"00"))</f>
        <v>17:35</v>
      </c>
      <c r="G22" s="1439">
        <v>0.73263888888888884</v>
      </c>
      <c r="H22" t="s">
        <v>151</v>
      </c>
      <c r="I22" s="98"/>
      <c r="J22" s="99"/>
      <c r="K22" s="99"/>
      <c r="L22" s="99"/>
      <c r="M22" s="99"/>
      <c r="N22" s="100"/>
      <c r="O22" s="101"/>
      <c r="P22" s="99"/>
      <c r="Q22" s="99"/>
      <c r="R22" s="99"/>
      <c r="S22" s="99"/>
      <c r="T22" s="99"/>
      <c r="U22" s="98"/>
      <c r="V22" s="99"/>
      <c r="W22" s="99"/>
      <c r="X22" s="99"/>
      <c r="Y22" s="99"/>
      <c r="Z22" s="100"/>
      <c r="AA22" s="101"/>
      <c r="AB22" s="99"/>
      <c r="AC22" s="99"/>
      <c r="AD22" s="99"/>
      <c r="AE22" s="99"/>
      <c r="AF22" s="102"/>
      <c r="AG22" s="98"/>
      <c r="AH22" s="99"/>
      <c r="AI22" s="99"/>
      <c r="AJ22" s="99"/>
      <c r="AK22" s="99"/>
      <c r="AL22" s="100"/>
      <c r="AM22" s="142"/>
      <c r="AN22" s="140"/>
      <c r="AO22" s="140"/>
      <c r="AP22" s="140"/>
      <c r="AQ22" s="140"/>
      <c r="AR22" s="143"/>
      <c r="AS22" s="98"/>
      <c r="AT22" s="99"/>
      <c r="AU22" s="99"/>
      <c r="AV22" s="99"/>
      <c r="AW22" s="99"/>
      <c r="AX22" s="100"/>
      <c r="AY22" s="101"/>
      <c r="AZ22" s="99"/>
      <c r="BA22" s="99"/>
      <c r="BB22" s="99"/>
      <c r="BC22" s="99"/>
      <c r="BD22" s="102"/>
      <c r="BE22" s="98"/>
      <c r="BF22" s="99"/>
      <c r="BG22" s="99"/>
      <c r="BH22" s="99"/>
      <c r="BI22" s="99"/>
      <c r="BJ22" s="100"/>
      <c r="BK22" s="101"/>
      <c r="BL22" s="99"/>
      <c r="BM22" s="99"/>
      <c r="BN22" s="99"/>
      <c r="BO22" s="99"/>
      <c r="BP22" s="102"/>
      <c r="BQ22" s="136"/>
      <c r="BR22" s="137"/>
      <c r="BS22" s="137"/>
      <c r="BT22" s="137"/>
      <c r="BU22" s="137"/>
      <c r="BV22" s="138"/>
      <c r="BW22" s="134"/>
      <c r="BX22" s="137"/>
      <c r="BY22" s="137"/>
      <c r="BZ22" s="137"/>
      <c r="CA22" s="137"/>
      <c r="CB22" s="135"/>
      <c r="CC22" s="136"/>
      <c r="CD22" s="137"/>
      <c r="CE22" s="137"/>
      <c r="CF22" s="137"/>
      <c r="CG22" s="137"/>
      <c r="CH22" s="138"/>
      <c r="CI22" s="134"/>
      <c r="CJ22" s="137"/>
      <c r="CK22" s="137"/>
      <c r="CL22" s="137"/>
      <c r="CM22" s="137"/>
      <c r="CN22" s="135"/>
      <c r="CO22" s="139"/>
      <c r="CP22" s="140"/>
      <c r="CQ22" s="140"/>
      <c r="CR22" s="140"/>
      <c r="CS22" s="140"/>
      <c r="CT22" s="141"/>
      <c r="CU22" s="134"/>
      <c r="CV22" s="137"/>
      <c r="CW22" s="137"/>
      <c r="CX22" s="137"/>
      <c r="CY22" s="137"/>
      <c r="CZ22" s="135"/>
      <c r="DA22" s="137"/>
      <c r="DB22" s="137"/>
      <c r="DC22" s="137"/>
      <c r="DD22" s="137"/>
      <c r="DE22" s="137"/>
      <c r="DF22" s="137"/>
      <c r="DG22" s="104"/>
      <c r="DH22" s="103"/>
      <c r="DI22" s="103"/>
      <c r="DJ22" s="103"/>
      <c r="DK22" s="105"/>
      <c r="DL22" s="106"/>
      <c r="DM22" s="107"/>
      <c r="DN22" s="105"/>
      <c r="DO22" s="105"/>
      <c r="DP22" s="105"/>
      <c r="DQ22" s="105"/>
      <c r="DR22" s="105"/>
      <c r="DS22" s="108"/>
      <c r="DT22" s="105"/>
      <c r="DU22" s="105"/>
      <c r="DV22" s="105"/>
      <c r="DW22" s="105"/>
      <c r="DX22" s="106"/>
      <c r="DY22" s="107"/>
      <c r="DZ22" s="105"/>
      <c r="EA22" s="105"/>
      <c r="EB22" s="105"/>
      <c r="EC22" s="105"/>
      <c r="ED22" s="109"/>
      <c r="EE22" s="108"/>
      <c r="EF22" s="105"/>
      <c r="EG22" s="105"/>
      <c r="EH22" s="105"/>
      <c r="EI22" s="105"/>
      <c r="EJ22" s="106"/>
      <c r="EK22" s="107"/>
      <c r="EL22" s="105"/>
      <c r="EM22" s="105"/>
      <c r="EN22" s="105"/>
      <c r="EO22" s="105"/>
      <c r="EP22" s="105"/>
      <c r="EQ22" s="108"/>
      <c r="ER22" s="105"/>
      <c r="ES22" s="105"/>
      <c r="ET22" s="105"/>
      <c r="EU22" s="105"/>
      <c r="EV22" s="106"/>
      <c r="FB22" s="335" t="s">
        <v>406</v>
      </c>
      <c r="FC22" s="359" t="s">
        <v>621</v>
      </c>
      <c r="FD22" s="359" t="s">
        <v>622</v>
      </c>
      <c r="FE22" s="359"/>
      <c r="FF22" s="359"/>
      <c r="FG22" s="359"/>
      <c r="FH22" s="359"/>
      <c r="FI22" s="359"/>
      <c r="FJ22" s="359"/>
      <c r="FK22" s="359"/>
      <c r="FL22" s="359"/>
      <c r="FM22" s="359"/>
      <c r="FN22" s="359"/>
      <c r="FO22" s="359"/>
      <c r="FQ22" s="425" t="s">
        <v>505</v>
      </c>
      <c r="FR22" s="425"/>
      <c r="FS22" s="425"/>
      <c r="FT22" s="425"/>
      <c r="FU22" s="425"/>
      <c r="FV22" s="425"/>
      <c r="FW22" s="425"/>
      <c r="FX22" s="425"/>
      <c r="FY22" s="425"/>
      <c r="FZ22" s="425"/>
      <c r="GA22" s="425"/>
      <c r="GB22" s="425"/>
      <c r="GC22" s="425"/>
      <c r="GD22" s="425"/>
      <c r="GE22" s="425"/>
      <c r="GF22" s="425"/>
      <c r="GG22" s="425"/>
      <c r="GH22" s="425"/>
      <c r="GI22" s="425"/>
      <c r="GJ22" s="425"/>
      <c r="GK22" s="425"/>
      <c r="GL22" s="425"/>
      <c r="GM22" s="425"/>
      <c r="GN22" s="425"/>
      <c r="GO22" s="425"/>
      <c r="GP22" s="425"/>
    </row>
    <row r="23" spans="1:198" ht="14.25" thickBot="1">
      <c r="A23" s="1438"/>
      <c r="B23" s="1438"/>
      <c r="C23" s="1439"/>
      <c r="D23" s="1440"/>
      <c r="E23" s="1439"/>
      <c r="F23" s="1440"/>
      <c r="G23" s="1439"/>
      <c r="H23" t="s">
        <v>152</v>
      </c>
      <c r="I23" s="132"/>
      <c r="J23" s="111"/>
      <c r="K23" s="424"/>
      <c r="L23" s="111"/>
      <c r="M23" s="111"/>
      <c r="N23" s="112"/>
      <c r="O23" s="113"/>
      <c r="P23" s="111"/>
      <c r="Q23" s="111"/>
      <c r="R23" s="111"/>
      <c r="S23" s="111"/>
      <c r="T23" s="111"/>
      <c r="U23" s="114"/>
      <c r="V23" s="115"/>
      <c r="W23" s="115"/>
      <c r="X23" s="115"/>
      <c r="Y23" s="115"/>
      <c r="Z23" s="116"/>
      <c r="AA23" s="117"/>
      <c r="AB23" s="115"/>
      <c r="AC23" s="115"/>
      <c r="AD23" s="115"/>
      <c r="AE23" s="115"/>
      <c r="AF23" s="118"/>
      <c r="AG23" s="114"/>
      <c r="AH23" s="115"/>
      <c r="AI23" s="115"/>
      <c r="AJ23" s="115"/>
      <c r="AK23" s="115"/>
      <c r="AL23" s="116"/>
      <c r="AM23" s="117"/>
      <c r="AN23" s="115"/>
      <c r="AO23" s="115"/>
      <c r="AP23" s="115"/>
      <c r="AQ23" s="115"/>
      <c r="AR23" s="118"/>
      <c r="AS23" s="114"/>
      <c r="AT23" s="115"/>
      <c r="AU23" s="115"/>
      <c r="AV23" s="115"/>
      <c r="AW23" s="115"/>
      <c r="AX23" s="116"/>
      <c r="AY23" s="117"/>
      <c r="AZ23" s="115"/>
      <c r="BA23" s="115"/>
      <c r="BB23" s="115"/>
      <c r="BC23" s="115"/>
      <c r="BD23" s="118"/>
      <c r="BE23" s="114"/>
      <c r="BF23" s="115"/>
      <c r="BG23" s="115"/>
      <c r="BH23" s="115"/>
      <c r="BI23" s="115"/>
      <c r="BJ23" s="116"/>
      <c r="BK23" s="117"/>
      <c r="BL23" s="115"/>
      <c r="BM23" s="115"/>
      <c r="BN23" s="115"/>
      <c r="BO23" s="115"/>
      <c r="BP23" s="118"/>
      <c r="BQ23" s="114"/>
      <c r="BR23" s="115"/>
      <c r="BS23" s="115"/>
      <c r="BT23" s="115"/>
      <c r="BU23" s="115"/>
      <c r="BV23" s="116"/>
      <c r="BW23" s="117"/>
      <c r="BX23" s="111"/>
      <c r="BY23" s="111"/>
      <c r="BZ23" s="111"/>
      <c r="CA23" s="111"/>
      <c r="CB23" s="119"/>
      <c r="CC23" s="110"/>
      <c r="CD23" s="115"/>
      <c r="CE23" s="115"/>
      <c r="CF23" s="115"/>
      <c r="CG23" s="115"/>
      <c r="CH23" s="115"/>
      <c r="CI23" s="117"/>
      <c r="CJ23" s="115"/>
      <c r="CK23" s="115"/>
      <c r="CL23" s="115"/>
      <c r="CM23" s="115"/>
      <c r="CN23" s="118"/>
      <c r="CO23" s="114"/>
      <c r="CP23" s="115"/>
      <c r="CQ23" s="115"/>
      <c r="CR23" s="115"/>
      <c r="CS23" s="115"/>
      <c r="CT23" s="116"/>
      <c r="CU23" s="117"/>
      <c r="CV23" s="115"/>
      <c r="CW23" s="115"/>
      <c r="CX23" s="115"/>
      <c r="CY23" s="115"/>
      <c r="CZ23" s="118"/>
      <c r="DA23" s="114"/>
      <c r="DB23" s="115"/>
      <c r="DC23" s="115"/>
      <c r="DD23" s="115"/>
      <c r="DE23" s="115"/>
      <c r="DF23" s="116"/>
      <c r="DG23" s="117"/>
      <c r="DH23" s="115"/>
      <c r="DI23" s="115"/>
      <c r="DJ23" s="115"/>
      <c r="DK23" s="115"/>
      <c r="DL23" s="118"/>
      <c r="DM23" s="114"/>
      <c r="DN23" s="115"/>
      <c r="DO23" s="115"/>
      <c r="DP23" s="120"/>
      <c r="DQ23" s="120"/>
      <c r="DR23" s="120"/>
      <c r="DS23" s="121"/>
      <c r="DT23" s="120"/>
      <c r="DU23" s="120"/>
      <c r="DV23" s="120"/>
      <c r="DW23" s="120"/>
      <c r="DX23" s="122"/>
      <c r="DY23" s="110"/>
      <c r="DZ23" s="111"/>
      <c r="EA23" s="111"/>
      <c r="EB23" s="111"/>
      <c r="EC23" s="111"/>
      <c r="ED23" s="112"/>
      <c r="EE23" s="125"/>
      <c r="EF23" s="126"/>
      <c r="EG23" s="126"/>
      <c r="EH23" s="126"/>
      <c r="EI23" s="126"/>
      <c r="EJ23" s="127"/>
      <c r="EK23" s="128"/>
      <c r="EL23" s="126"/>
      <c r="EM23" s="126"/>
      <c r="EN23" s="126"/>
      <c r="EO23" s="126"/>
      <c r="EP23" s="126"/>
      <c r="EQ23" s="125"/>
      <c r="ER23" s="126"/>
      <c r="ES23" s="126"/>
      <c r="ET23" s="126"/>
      <c r="EU23" s="126"/>
      <c r="EV23" s="127"/>
      <c r="FB23" s="335" t="s">
        <v>411</v>
      </c>
      <c r="FC23" s="359" t="s">
        <v>623</v>
      </c>
      <c r="FD23" s="359" t="s">
        <v>621</v>
      </c>
      <c r="FE23" s="359"/>
      <c r="FF23" s="359"/>
      <c r="FG23" s="359"/>
      <c r="FH23" s="359"/>
      <c r="FI23" s="359"/>
      <c r="FJ23" s="359"/>
      <c r="FK23" s="359"/>
      <c r="FL23" s="359"/>
      <c r="FM23" s="359"/>
      <c r="FN23" s="359"/>
      <c r="FO23" s="359"/>
      <c r="FQ23" s="425" t="s">
        <v>506</v>
      </c>
      <c r="FR23" s="425"/>
      <c r="FS23" s="425"/>
      <c r="FT23" s="425"/>
      <c r="FU23" s="425"/>
      <c r="FV23" s="425"/>
      <c r="FW23" s="425"/>
      <c r="FX23" s="425"/>
      <c r="FY23" s="425"/>
      <c r="FZ23" s="425"/>
      <c r="GA23" s="425"/>
      <c r="GB23" s="425"/>
      <c r="GC23" s="425"/>
      <c r="GD23" s="425"/>
      <c r="GE23" s="425"/>
      <c r="GF23" s="425"/>
      <c r="GG23" s="425"/>
      <c r="GH23" s="425"/>
      <c r="GI23" s="425"/>
      <c r="GJ23" s="425"/>
      <c r="GK23" s="425"/>
      <c r="GL23" s="425"/>
      <c r="GM23" s="425"/>
      <c r="GN23" s="425"/>
      <c r="GO23" s="425"/>
      <c r="GP23" s="425"/>
    </row>
    <row r="24" spans="1:198" ht="13.5" customHeight="1">
      <c r="A24" s="1441" t="s">
        <v>630</v>
      </c>
      <c r="B24" s="1441" t="str">
        <f>CONCATENATE(TEXT(HOUR(C24),"0"),":",TEXT(MINUTE(C24),"00"))</f>
        <v>8:50</v>
      </c>
      <c r="C24" s="1442">
        <v>0.36805555555555558</v>
      </c>
      <c r="D24" s="1441" t="str">
        <f>CONCATENATE(TEXT(HOUR(E24),"0"),":",TEXT(MINUTE(E24),"00"))</f>
        <v>8:50</v>
      </c>
      <c r="E24" s="1442">
        <v>0.36805555555555558</v>
      </c>
      <c r="F24" s="1441" t="str">
        <f>CONCATENATE(TEXT(HOUR(G24),"0"),":",TEXT(MINUTE(G24),"00"))</f>
        <v>0:00</v>
      </c>
      <c r="G24" s="1442">
        <v>0</v>
      </c>
      <c r="H24" s="202" t="s">
        <v>151</v>
      </c>
      <c r="I24" s="347"/>
      <c r="J24" s="347"/>
      <c r="K24" s="347"/>
      <c r="L24" s="347"/>
      <c r="M24" s="347"/>
      <c r="N24" s="347"/>
      <c r="O24" s="348"/>
      <c r="P24" s="347"/>
      <c r="Q24" s="347"/>
      <c r="R24" s="347"/>
      <c r="S24" s="347"/>
      <c r="T24" s="347"/>
      <c r="U24" s="349"/>
      <c r="V24" s="347"/>
      <c r="W24" s="347"/>
      <c r="X24" s="347"/>
      <c r="Y24" s="347"/>
      <c r="Z24" s="347"/>
      <c r="AA24" s="348"/>
      <c r="AB24" s="347"/>
      <c r="AC24" s="347"/>
      <c r="AD24" s="347"/>
      <c r="AE24" s="347"/>
      <c r="AF24" s="347"/>
      <c r="AG24" s="349"/>
      <c r="AH24" s="347"/>
      <c r="AI24" s="347"/>
      <c r="AJ24" s="347"/>
      <c r="AK24" s="347"/>
      <c r="AL24" s="347"/>
      <c r="AM24" s="348"/>
      <c r="AN24" s="347"/>
      <c r="AO24" s="347"/>
      <c r="AP24" s="347"/>
      <c r="AQ24" s="347"/>
      <c r="AR24" s="347"/>
      <c r="AS24" s="349"/>
      <c r="AT24" s="347"/>
      <c r="AU24" s="347"/>
      <c r="AV24" s="347"/>
      <c r="AW24" s="347"/>
      <c r="AX24" s="347"/>
      <c r="AY24" s="348"/>
      <c r="AZ24" s="347"/>
      <c r="BA24" s="347"/>
      <c r="BB24" s="347"/>
      <c r="BC24" s="347"/>
      <c r="BD24" s="347"/>
      <c r="BE24" s="349"/>
      <c r="BF24" s="347"/>
      <c r="BG24" s="347"/>
      <c r="BH24" s="347"/>
      <c r="BI24" s="347"/>
      <c r="BJ24" s="347"/>
      <c r="BK24" s="348"/>
      <c r="BL24" s="347"/>
      <c r="BM24" s="347"/>
      <c r="BN24" s="347"/>
      <c r="BO24" s="347"/>
      <c r="BP24" s="347"/>
      <c r="BQ24" s="349"/>
      <c r="BR24" s="347"/>
      <c r="BS24" s="347"/>
      <c r="BT24" s="347"/>
      <c r="BU24" s="347"/>
      <c r="BV24" s="347"/>
      <c r="BW24" s="348"/>
      <c r="BX24" s="347"/>
      <c r="BY24" s="347"/>
      <c r="BZ24" s="347"/>
      <c r="CA24" s="347"/>
      <c r="CB24" s="347"/>
      <c r="CC24" s="349"/>
      <c r="CD24" s="347"/>
      <c r="CE24" s="347"/>
      <c r="CF24" s="347"/>
      <c r="CG24" s="347"/>
      <c r="CH24" s="350"/>
      <c r="CI24" s="348"/>
      <c r="CJ24" s="347"/>
      <c r="CK24" s="347"/>
      <c r="CL24" s="347"/>
      <c r="CM24" s="347"/>
      <c r="CN24" s="351"/>
      <c r="CO24" s="347"/>
      <c r="CP24" s="347"/>
      <c r="CQ24" s="347"/>
      <c r="CR24" s="347"/>
      <c r="CS24" s="347"/>
      <c r="CT24" s="347"/>
      <c r="CU24" s="348"/>
      <c r="CV24" s="347"/>
      <c r="CW24" s="347"/>
      <c r="CX24" s="347"/>
      <c r="CY24" s="347"/>
      <c r="CZ24" s="347"/>
      <c r="DA24" s="349"/>
      <c r="DB24" s="347"/>
      <c r="DC24" s="347"/>
      <c r="DD24" s="347"/>
      <c r="DE24" s="347"/>
      <c r="DF24" s="347"/>
      <c r="DG24" s="348"/>
      <c r="DH24" s="347"/>
      <c r="DI24" s="347"/>
      <c r="DJ24" s="347"/>
      <c r="DK24" s="347"/>
      <c r="DL24" s="347"/>
      <c r="DM24" s="349"/>
      <c r="DN24" s="347"/>
      <c r="DO24" s="347"/>
      <c r="DP24" s="347"/>
      <c r="DQ24" s="347"/>
      <c r="DR24" s="347"/>
      <c r="DS24" s="348"/>
      <c r="DT24" s="347"/>
      <c r="DU24" s="347"/>
      <c r="DV24" s="347"/>
      <c r="DW24" s="347"/>
      <c r="DX24" s="347"/>
      <c r="DY24" s="349"/>
      <c r="DZ24" s="347"/>
      <c r="EA24" s="347"/>
      <c r="EB24" s="347"/>
      <c r="EC24" s="347"/>
      <c r="ED24" s="347"/>
      <c r="EE24" s="348"/>
      <c r="EF24" s="347"/>
      <c r="EG24" s="347"/>
      <c r="EH24" s="347"/>
      <c r="EI24" s="347"/>
      <c r="EJ24" s="347"/>
      <c r="EK24" s="349"/>
      <c r="EL24" s="347"/>
      <c r="EM24" s="347"/>
      <c r="EN24" s="347"/>
      <c r="EO24" s="347"/>
      <c r="EP24" s="347"/>
      <c r="EQ24" s="348"/>
      <c r="ER24" s="347"/>
      <c r="ES24" s="347"/>
      <c r="ET24" s="347"/>
      <c r="EU24" s="347"/>
      <c r="EV24" s="351"/>
      <c r="FB24" s="335" t="s">
        <v>406</v>
      </c>
      <c r="FC24" s="359"/>
      <c r="FD24" s="359"/>
      <c r="FE24" s="359"/>
      <c r="FF24" s="359"/>
      <c r="FG24" s="359"/>
      <c r="FH24" s="359"/>
      <c r="FI24" s="359"/>
      <c r="FJ24" s="359"/>
      <c r="FK24" s="359"/>
      <c r="FL24" s="359"/>
      <c r="FM24" s="359"/>
      <c r="FN24" s="359"/>
      <c r="FO24" s="359"/>
      <c r="FQ24" s="425" t="s">
        <v>505</v>
      </c>
      <c r="FR24" s="425"/>
      <c r="FS24" s="425"/>
      <c r="FT24" s="425"/>
      <c r="FU24" s="425"/>
      <c r="FV24" s="425"/>
      <c r="FW24" s="425"/>
      <c r="FX24" s="425"/>
      <c r="FY24" s="425"/>
      <c r="FZ24" s="425"/>
      <c r="GA24" s="425"/>
      <c r="GB24" s="425"/>
      <c r="GC24" s="425"/>
      <c r="GD24" s="425"/>
      <c r="GE24" s="425"/>
      <c r="GF24" s="425"/>
      <c r="GG24" s="425"/>
      <c r="GH24" s="425"/>
      <c r="GI24" s="425"/>
      <c r="GJ24" s="425"/>
      <c r="GK24" s="425"/>
      <c r="GL24" s="425"/>
      <c r="GM24" s="425"/>
      <c r="GN24" s="425"/>
      <c r="GO24" s="425"/>
      <c r="GP24" s="425"/>
    </row>
    <row r="25" spans="1:198" ht="13.5" customHeight="1" thickBot="1">
      <c r="A25" s="1441"/>
      <c r="B25" s="1441"/>
      <c r="C25" s="1441"/>
      <c r="D25" s="1441"/>
      <c r="E25" s="1441"/>
      <c r="F25" s="1441"/>
      <c r="G25" s="1441"/>
      <c r="H25" s="202" t="s">
        <v>152</v>
      </c>
      <c r="I25" s="352"/>
      <c r="J25" s="352"/>
      <c r="K25" s="352"/>
      <c r="L25" s="352"/>
      <c r="M25" s="352"/>
      <c r="N25" s="352"/>
      <c r="O25" s="353"/>
      <c r="P25" s="352"/>
      <c r="Q25" s="352"/>
      <c r="R25" s="352"/>
      <c r="S25" s="352"/>
      <c r="T25" s="352"/>
      <c r="U25" s="354"/>
      <c r="V25" s="352"/>
      <c r="W25" s="352"/>
      <c r="X25" s="352"/>
      <c r="Y25" s="352"/>
      <c r="Z25" s="352"/>
      <c r="AA25" s="353"/>
      <c r="AB25" s="352"/>
      <c r="AC25" s="352"/>
      <c r="AD25" s="352"/>
      <c r="AE25" s="352"/>
      <c r="AF25" s="352"/>
      <c r="AG25" s="354"/>
      <c r="AH25" s="352"/>
      <c r="AI25" s="352"/>
      <c r="AJ25" s="352"/>
      <c r="AK25" s="352"/>
      <c r="AL25" s="352"/>
      <c r="AM25" s="353"/>
      <c r="AN25" s="352"/>
      <c r="AO25" s="352"/>
      <c r="AP25" s="352"/>
      <c r="AQ25" s="352"/>
      <c r="AR25" s="352"/>
      <c r="AS25" s="354"/>
      <c r="AT25" s="352"/>
      <c r="AU25" s="352"/>
      <c r="AV25" s="352"/>
      <c r="AW25" s="352"/>
      <c r="AX25" s="352"/>
      <c r="AY25" s="353"/>
      <c r="AZ25" s="352"/>
      <c r="BA25" s="352"/>
      <c r="BB25" s="352"/>
      <c r="BC25" s="352"/>
      <c r="BD25" s="352"/>
      <c r="BE25" s="354"/>
      <c r="BF25" s="352"/>
      <c r="BG25" s="352"/>
      <c r="BH25" s="352"/>
      <c r="BI25" s="352"/>
      <c r="BJ25" s="352"/>
      <c r="BK25" s="353"/>
      <c r="BL25" s="352"/>
      <c r="BM25" s="352"/>
      <c r="BN25" s="352"/>
      <c r="BO25" s="352"/>
      <c r="BP25" s="352"/>
      <c r="BQ25" s="354"/>
      <c r="BR25" s="352"/>
      <c r="BS25" s="352"/>
      <c r="BT25" s="352"/>
      <c r="BU25" s="352"/>
      <c r="BV25" s="352"/>
      <c r="BW25" s="353"/>
      <c r="BX25" s="352"/>
      <c r="BY25" s="352"/>
      <c r="BZ25" s="352"/>
      <c r="CA25" s="352"/>
      <c r="CB25" s="352"/>
      <c r="CC25" s="354"/>
      <c r="CD25" s="352"/>
      <c r="CE25" s="352"/>
      <c r="CF25" s="352"/>
      <c r="CG25" s="352"/>
      <c r="CH25" s="355"/>
      <c r="CI25" s="353"/>
      <c r="CJ25" s="352"/>
      <c r="CK25" s="352"/>
      <c r="CL25" s="352"/>
      <c r="CM25" s="352"/>
      <c r="CN25" s="356"/>
      <c r="CO25" s="352"/>
      <c r="CP25" s="352"/>
      <c r="CQ25" s="352"/>
      <c r="CR25" s="352"/>
      <c r="CS25" s="352"/>
      <c r="CT25" s="352"/>
      <c r="CU25" s="353"/>
      <c r="CV25" s="352"/>
      <c r="CW25" s="352"/>
      <c r="CX25" s="352"/>
      <c r="CY25" s="352"/>
      <c r="CZ25" s="352"/>
      <c r="DA25" s="354"/>
      <c r="DB25" s="352"/>
      <c r="DC25" s="352"/>
      <c r="DD25" s="352"/>
      <c r="DE25" s="352"/>
      <c r="DF25" s="352"/>
      <c r="DG25" s="353"/>
      <c r="DH25" s="352"/>
      <c r="DI25" s="352"/>
      <c r="DJ25" s="352"/>
      <c r="DK25" s="352"/>
      <c r="DL25" s="352"/>
      <c r="DM25" s="354"/>
      <c r="DN25" s="352"/>
      <c r="DO25" s="352"/>
      <c r="DP25" s="352"/>
      <c r="DQ25" s="352"/>
      <c r="DR25" s="352"/>
      <c r="DS25" s="353"/>
      <c r="DT25" s="352"/>
      <c r="DU25" s="352"/>
      <c r="DV25" s="352"/>
      <c r="DW25" s="352"/>
      <c r="DX25" s="352"/>
      <c r="DY25" s="354"/>
      <c r="DZ25" s="352"/>
      <c r="EA25" s="352"/>
      <c r="EB25" s="352"/>
      <c r="EC25" s="352"/>
      <c r="ED25" s="352"/>
      <c r="EE25" s="353"/>
      <c r="EF25" s="352"/>
      <c r="EG25" s="352"/>
      <c r="EH25" s="352"/>
      <c r="EI25" s="352"/>
      <c r="EJ25" s="352"/>
      <c r="EK25" s="354"/>
      <c r="EL25" s="352"/>
      <c r="EM25" s="352"/>
      <c r="EN25" s="352"/>
      <c r="EO25" s="352"/>
      <c r="EP25" s="352"/>
      <c r="EQ25" s="353"/>
      <c r="ER25" s="352"/>
      <c r="ES25" s="352"/>
      <c r="ET25" s="352"/>
      <c r="EU25" s="352"/>
      <c r="EV25" s="356"/>
      <c r="FB25" s="335" t="s">
        <v>411</v>
      </c>
      <c r="FC25" s="359" t="s">
        <v>631</v>
      </c>
      <c r="FD25" s="359" t="s">
        <v>631</v>
      </c>
      <c r="FE25" s="359" t="s">
        <v>632</v>
      </c>
      <c r="FF25" s="359"/>
      <c r="FG25" s="359"/>
      <c r="FH25" s="359"/>
      <c r="FI25" s="359"/>
      <c r="FJ25" s="359"/>
      <c r="FK25" s="359"/>
      <c r="FL25" s="359"/>
      <c r="FM25" s="359"/>
      <c r="FN25" s="359"/>
      <c r="FO25" s="359"/>
      <c r="FQ25" s="425" t="s">
        <v>506</v>
      </c>
      <c r="FR25" s="425"/>
      <c r="FS25" s="425"/>
      <c r="FT25" s="425"/>
      <c r="FU25" s="425"/>
      <c r="FV25" s="425"/>
      <c r="FW25" s="425"/>
      <c r="FX25" s="425"/>
      <c r="FY25" s="425"/>
      <c r="FZ25" s="425"/>
      <c r="GA25" s="425"/>
      <c r="GB25" s="425"/>
      <c r="GC25" s="425"/>
      <c r="GD25" s="425"/>
      <c r="GE25" s="425"/>
      <c r="GF25" s="425"/>
      <c r="GG25" s="425"/>
      <c r="GH25" s="425"/>
      <c r="GI25" s="425"/>
      <c r="GJ25" s="425"/>
      <c r="GK25" s="425"/>
      <c r="GL25" s="425"/>
      <c r="GM25" s="425"/>
      <c r="GN25" s="425"/>
      <c r="GO25" s="425"/>
      <c r="GP25" s="425"/>
    </row>
    <row r="26" spans="1:198" ht="13.5" customHeight="1">
      <c r="A26" s="1441" t="s">
        <v>631</v>
      </c>
      <c r="B26" s="1441" t="str">
        <f>CONCATENATE(TEXT(HOUR(C26),"0"),":",TEXT(MINUTE(C26),"00"))</f>
        <v>0:00</v>
      </c>
      <c r="C26" s="1442">
        <v>0</v>
      </c>
      <c r="D26" s="1441" t="str">
        <f>CONCATENATE(TEXT(HOUR(E26),"0"),":",TEXT(MINUTE(E26),"00"))</f>
        <v>0:00</v>
      </c>
      <c r="E26" s="1442">
        <v>0</v>
      </c>
      <c r="F26" s="1441" t="str">
        <f>CONCATENATE(TEXT(HOUR(G26),"0"),":",TEXT(MINUTE(G26),"00"))</f>
        <v>8:35</v>
      </c>
      <c r="G26" s="1442">
        <v>0.3576388888888889</v>
      </c>
      <c r="H26" s="202" t="s">
        <v>151</v>
      </c>
      <c r="I26" s="170"/>
      <c r="J26" s="170"/>
      <c r="K26" s="170"/>
      <c r="L26" s="170"/>
      <c r="M26" s="170"/>
      <c r="N26" s="170"/>
      <c r="O26" s="171"/>
      <c r="P26" s="170"/>
      <c r="Q26" s="170"/>
      <c r="R26" s="170"/>
      <c r="S26" s="170"/>
      <c r="T26" s="170"/>
      <c r="U26" s="197"/>
      <c r="V26" s="170"/>
      <c r="W26" s="170"/>
      <c r="X26" s="170"/>
      <c r="Y26" s="170"/>
      <c r="Z26" s="170"/>
      <c r="AA26" s="171"/>
      <c r="AB26" s="170"/>
      <c r="AC26" s="170"/>
      <c r="AD26" s="170"/>
      <c r="AE26" s="170"/>
      <c r="AF26" s="170"/>
      <c r="AG26" s="197"/>
      <c r="AH26" s="170"/>
      <c r="AI26" s="170"/>
      <c r="AJ26" s="170"/>
      <c r="AK26" s="170"/>
      <c r="AL26" s="170"/>
      <c r="AM26" s="171"/>
      <c r="AN26" s="170"/>
      <c r="AO26" s="170"/>
      <c r="AP26" s="170"/>
      <c r="AQ26" s="170"/>
      <c r="AR26" s="170"/>
      <c r="AS26" s="197"/>
      <c r="AT26" s="170"/>
      <c r="AU26" s="170"/>
      <c r="AV26" s="170"/>
      <c r="AW26" s="170"/>
      <c r="AX26" s="170"/>
      <c r="AY26" s="171"/>
      <c r="AZ26" s="170"/>
      <c r="BA26" s="170"/>
      <c r="BB26" s="170"/>
      <c r="BC26" s="170"/>
      <c r="BD26" s="170"/>
      <c r="BE26" s="197"/>
      <c r="BF26" s="170"/>
      <c r="BG26" s="170"/>
      <c r="BH26" s="170"/>
      <c r="BI26" s="170"/>
      <c r="BJ26" s="170"/>
      <c r="BK26" s="171"/>
      <c r="BL26" s="170"/>
      <c r="BM26" s="170"/>
      <c r="BN26" s="170"/>
      <c r="BO26" s="170"/>
      <c r="BP26" s="170"/>
      <c r="BQ26" s="197"/>
      <c r="BR26" s="170"/>
      <c r="BS26" s="170"/>
      <c r="BT26" s="170"/>
      <c r="BU26" s="170"/>
      <c r="BV26" s="170"/>
      <c r="BW26" s="171"/>
      <c r="BX26" s="170"/>
      <c r="BY26" s="170"/>
      <c r="BZ26" s="170"/>
      <c r="CA26" s="170"/>
      <c r="CB26" s="170"/>
      <c r="CC26" s="197"/>
      <c r="CD26" s="170"/>
      <c r="CE26" s="170"/>
      <c r="CF26" s="170"/>
      <c r="CG26" s="170"/>
      <c r="CH26" s="357"/>
      <c r="CI26" s="171"/>
      <c r="CJ26" s="170"/>
      <c r="CK26" s="170"/>
      <c r="CL26" s="170"/>
      <c r="CM26" s="170"/>
      <c r="CN26" s="176"/>
      <c r="CO26" s="170"/>
      <c r="CP26" s="170"/>
      <c r="CQ26" s="170"/>
      <c r="CR26" s="170"/>
      <c r="CS26" s="170"/>
      <c r="CT26" s="170"/>
      <c r="CU26" s="171"/>
      <c r="CV26" s="170"/>
      <c r="CW26" s="170"/>
      <c r="CX26" s="170"/>
      <c r="CY26" s="170"/>
      <c r="CZ26" s="170"/>
      <c r="DA26" s="197"/>
      <c r="DB26" s="170"/>
      <c r="DC26" s="170"/>
      <c r="DD26" s="170"/>
      <c r="DE26" s="170"/>
      <c r="DF26" s="170"/>
      <c r="DG26" s="171"/>
      <c r="DH26" s="170"/>
      <c r="DI26" s="170"/>
      <c r="DJ26" s="170"/>
      <c r="DK26" s="170"/>
      <c r="DL26" s="170"/>
      <c r="DM26" s="197"/>
      <c r="DN26" s="170"/>
      <c r="DO26" s="170"/>
      <c r="DP26" s="170"/>
      <c r="DQ26" s="170"/>
      <c r="DR26" s="170"/>
      <c r="DS26" s="171"/>
      <c r="DT26" s="170"/>
      <c r="DU26" s="170"/>
      <c r="DV26" s="170"/>
      <c r="DW26" s="170"/>
      <c r="DX26" s="170"/>
      <c r="DY26" s="197"/>
      <c r="DZ26" s="170"/>
      <c r="EA26" s="170"/>
      <c r="EB26" s="170"/>
      <c r="EC26" s="170"/>
      <c r="ED26" s="170"/>
      <c r="EE26" s="171"/>
      <c r="EF26" s="170"/>
      <c r="EG26" s="170"/>
      <c r="EH26" s="170"/>
      <c r="EI26" s="170"/>
      <c r="EJ26" s="170"/>
      <c r="EK26" s="197"/>
      <c r="EL26" s="170"/>
      <c r="EM26" s="170"/>
      <c r="EN26" s="170"/>
      <c r="EO26" s="170"/>
      <c r="EP26" s="170"/>
      <c r="EQ26" s="171"/>
      <c r="ER26" s="170"/>
      <c r="ES26" s="170"/>
      <c r="ET26" s="170"/>
      <c r="EU26" s="170"/>
      <c r="EV26" s="176"/>
      <c r="FB26" s="335" t="s">
        <v>406</v>
      </c>
      <c r="FC26" s="359"/>
      <c r="FD26" s="359"/>
      <c r="FE26" s="359"/>
      <c r="FF26" s="359"/>
      <c r="FG26" s="359"/>
      <c r="FH26" s="359"/>
      <c r="FI26" s="359"/>
      <c r="FJ26" s="359"/>
      <c r="FK26" s="359"/>
      <c r="FL26" s="359"/>
      <c r="FM26" s="359"/>
      <c r="FN26" s="359"/>
      <c r="FO26" s="359"/>
      <c r="FQ26" s="425" t="s">
        <v>505</v>
      </c>
      <c r="FR26" s="425"/>
      <c r="FS26" s="425"/>
      <c r="FT26" s="425"/>
      <c r="FU26" s="425"/>
      <c r="FV26" s="425"/>
      <c r="FW26" s="425"/>
      <c r="FX26" s="425"/>
      <c r="FY26" s="425"/>
      <c r="FZ26" s="425"/>
      <c r="GA26" s="425"/>
      <c r="GB26" s="425"/>
      <c r="GC26" s="425"/>
      <c r="GD26" s="425"/>
      <c r="GE26" s="425"/>
      <c r="GF26" s="425"/>
      <c r="GG26" s="425"/>
      <c r="GH26" s="425"/>
      <c r="GI26" s="425"/>
      <c r="GJ26" s="425"/>
      <c r="GK26" s="425"/>
      <c r="GL26" s="425"/>
      <c r="GM26" s="425"/>
      <c r="GN26" s="425"/>
      <c r="GO26" s="425"/>
      <c r="GP26" s="425"/>
    </row>
    <row r="27" spans="1:198" ht="13.5" customHeight="1" thickBot="1">
      <c r="A27" s="1441"/>
      <c r="B27" s="1441"/>
      <c r="C27" s="1441"/>
      <c r="D27" s="1441"/>
      <c r="E27" s="1441"/>
      <c r="F27" s="1441"/>
      <c r="G27" s="1441"/>
      <c r="H27" s="202" t="s">
        <v>152</v>
      </c>
      <c r="I27" s="185"/>
      <c r="J27" s="185"/>
      <c r="K27" s="185"/>
      <c r="L27" s="185"/>
      <c r="M27" s="185"/>
      <c r="N27" s="185"/>
      <c r="O27" s="184"/>
      <c r="P27" s="185"/>
      <c r="Q27" s="185"/>
      <c r="R27" s="185"/>
      <c r="S27" s="185"/>
      <c r="T27" s="185"/>
      <c r="U27" s="186"/>
      <c r="V27" s="185"/>
      <c r="W27" s="185"/>
      <c r="X27" s="185"/>
      <c r="Y27" s="185"/>
      <c r="Z27" s="185"/>
      <c r="AA27" s="184"/>
      <c r="AB27" s="185"/>
      <c r="AC27" s="185"/>
      <c r="AD27" s="185"/>
      <c r="AE27" s="185"/>
      <c r="AF27" s="185"/>
      <c r="AG27" s="186"/>
      <c r="AH27" s="185"/>
      <c r="AI27" s="185"/>
      <c r="AJ27" s="185"/>
      <c r="AK27" s="185"/>
      <c r="AL27" s="185"/>
      <c r="AM27" s="184"/>
      <c r="AN27" s="185"/>
      <c r="AO27" s="185"/>
      <c r="AP27" s="185"/>
      <c r="AQ27" s="185"/>
      <c r="AR27" s="185"/>
      <c r="AS27" s="186"/>
      <c r="AT27" s="185"/>
      <c r="AU27" s="185"/>
      <c r="AV27" s="185"/>
      <c r="AW27" s="185"/>
      <c r="AX27" s="185"/>
      <c r="AY27" s="184"/>
      <c r="AZ27" s="185"/>
      <c r="BA27" s="185"/>
      <c r="BB27" s="185"/>
      <c r="BC27" s="185"/>
      <c r="BD27" s="185"/>
      <c r="BE27" s="186"/>
      <c r="BF27" s="185"/>
      <c r="BG27" s="185"/>
      <c r="BH27" s="185"/>
      <c r="BI27" s="185"/>
      <c r="BJ27" s="185"/>
      <c r="BK27" s="184"/>
      <c r="BL27" s="185"/>
      <c r="BM27" s="185"/>
      <c r="BN27" s="185"/>
      <c r="BO27" s="185"/>
      <c r="BP27" s="185"/>
      <c r="BQ27" s="186"/>
      <c r="BR27" s="185"/>
      <c r="BS27" s="185"/>
      <c r="BT27" s="185"/>
      <c r="BU27" s="185"/>
      <c r="BV27" s="185"/>
      <c r="BW27" s="184"/>
      <c r="BX27" s="185"/>
      <c r="BY27" s="185"/>
      <c r="BZ27" s="185"/>
      <c r="CA27" s="185"/>
      <c r="CB27" s="185"/>
      <c r="CC27" s="186"/>
      <c r="CD27" s="185"/>
      <c r="CE27" s="185"/>
      <c r="CF27" s="185"/>
      <c r="CG27" s="185"/>
      <c r="CH27" s="187"/>
      <c r="CI27" s="184"/>
      <c r="CJ27" s="185"/>
      <c r="CK27" s="185"/>
      <c r="CL27" s="185"/>
      <c r="CM27" s="185"/>
      <c r="CN27" s="358"/>
      <c r="CO27" s="185"/>
      <c r="CP27" s="185"/>
      <c r="CQ27" s="185"/>
      <c r="CR27" s="185"/>
      <c r="CS27" s="185"/>
      <c r="CT27" s="185"/>
      <c r="CU27" s="184"/>
      <c r="CV27" s="185"/>
      <c r="CW27" s="185"/>
      <c r="CX27" s="185"/>
      <c r="CY27" s="185"/>
      <c r="CZ27" s="185"/>
      <c r="DA27" s="186"/>
      <c r="DB27" s="185"/>
      <c r="DC27" s="185"/>
      <c r="DD27" s="185"/>
      <c r="DE27" s="185"/>
      <c r="DF27" s="185"/>
      <c r="DG27" s="184"/>
      <c r="DH27" s="185"/>
      <c r="DI27" s="185"/>
      <c r="DJ27" s="185"/>
      <c r="DK27" s="185"/>
      <c r="DL27" s="185"/>
      <c r="DM27" s="186"/>
      <c r="DN27" s="185"/>
      <c r="DO27" s="185"/>
      <c r="DP27" s="185"/>
      <c r="DQ27" s="185"/>
      <c r="DR27" s="185"/>
      <c r="DS27" s="184"/>
      <c r="DT27" s="185"/>
      <c r="DU27" s="185"/>
      <c r="DV27" s="185"/>
      <c r="DW27" s="185"/>
      <c r="DX27" s="185"/>
      <c r="DY27" s="186"/>
      <c r="DZ27" s="185"/>
      <c r="EA27" s="185"/>
      <c r="EB27" s="185"/>
      <c r="EC27" s="185"/>
      <c r="ED27" s="185"/>
      <c r="EE27" s="184"/>
      <c r="EF27" s="185"/>
      <c r="EG27" s="185"/>
      <c r="EH27" s="185"/>
      <c r="EI27" s="185"/>
      <c r="EJ27" s="185"/>
      <c r="EK27" s="186"/>
      <c r="EL27" s="185"/>
      <c r="EM27" s="185"/>
      <c r="EN27" s="185"/>
      <c r="EO27" s="185"/>
      <c r="EP27" s="185"/>
      <c r="EQ27" s="184"/>
      <c r="ER27" s="185"/>
      <c r="ES27" s="185"/>
      <c r="ET27" s="185"/>
      <c r="EU27" s="185"/>
      <c r="EV27" s="358"/>
      <c r="FB27" s="335" t="s">
        <v>411</v>
      </c>
      <c r="FC27" s="359" t="s">
        <v>630</v>
      </c>
      <c r="FD27" s="359" t="s">
        <v>630</v>
      </c>
      <c r="FE27" s="359"/>
      <c r="FF27" s="359"/>
      <c r="FG27" s="359"/>
      <c r="FH27" s="359"/>
      <c r="FI27" s="359"/>
      <c r="FJ27" s="359"/>
      <c r="FK27" s="359"/>
      <c r="FL27" s="359"/>
      <c r="FM27" s="359"/>
      <c r="FN27" s="359"/>
      <c r="FO27" s="359"/>
      <c r="FQ27" s="425" t="s">
        <v>506</v>
      </c>
      <c r="FR27" s="425"/>
      <c r="FS27" s="425"/>
      <c r="FT27" s="425"/>
      <c r="FU27" s="425"/>
      <c r="FV27" s="425"/>
      <c r="FW27" s="425"/>
      <c r="FX27" s="425"/>
      <c r="FY27" s="425"/>
      <c r="FZ27" s="425"/>
      <c r="GA27" s="425"/>
      <c r="GB27" s="425"/>
      <c r="GC27" s="425"/>
      <c r="GD27" s="425"/>
      <c r="GE27" s="425"/>
      <c r="GF27" s="425"/>
      <c r="GG27" s="425"/>
      <c r="GH27" s="425"/>
      <c r="GI27" s="425"/>
      <c r="GJ27" s="425"/>
      <c r="GK27" s="425"/>
      <c r="GL27" s="425"/>
      <c r="GM27" s="425"/>
      <c r="GN27" s="425"/>
      <c r="GO27" s="425"/>
      <c r="GP27" s="425"/>
    </row>
    <row r="28" spans="1:198">
      <c r="A28" s="1438" t="s">
        <v>459</v>
      </c>
      <c r="B28" s="1438" t="str">
        <f>CONCATENATE(TEXT(HOUR(C28),"0"),":",TEXT(MINUTE(C28),"00"))</f>
        <v>17:30</v>
      </c>
      <c r="C28" s="1439">
        <v>0.72916666666666663</v>
      </c>
      <c r="D28" s="1440" t="str">
        <f>CONCATENATE(TEXT(HOUR(E28),"0"),":",TEXT(MINUTE(E28),"00"))</f>
        <v>17:30</v>
      </c>
      <c r="E28" s="1439">
        <v>0.72916666666666663</v>
      </c>
      <c r="F28" s="1440" t="str">
        <f>CONCATENATE(TEXT(HOUR(G28),"0"),":",TEXT(MINUTE(G28),"00"))</f>
        <v>10:30</v>
      </c>
      <c r="G28" s="1439">
        <v>0.4375</v>
      </c>
      <c r="H28" t="s">
        <v>151</v>
      </c>
      <c r="I28" s="107"/>
      <c r="J28" s="105"/>
      <c r="K28" s="105"/>
      <c r="L28" s="105"/>
      <c r="M28" s="105"/>
      <c r="N28" s="109"/>
      <c r="O28" s="108"/>
      <c r="P28" s="105"/>
      <c r="Q28" s="105"/>
      <c r="R28" s="105"/>
      <c r="S28" s="105"/>
      <c r="T28" s="105"/>
      <c r="U28" s="107"/>
      <c r="V28" s="105"/>
      <c r="W28" s="105"/>
      <c r="X28" s="105"/>
      <c r="Y28" s="105"/>
      <c r="Z28" s="109"/>
      <c r="AA28" s="108"/>
      <c r="AB28" s="105"/>
      <c r="AC28" s="105"/>
      <c r="AD28" s="105"/>
      <c r="AE28" s="105"/>
      <c r="AF28" s="106"/>
      <c r="AG28" s="107"/>
      <c r="AH28" s="105"/>
      <c r="AI28" s="105"/>
      <c r="AJ28" s="105"/>
      <c r="AK28" s="105"/>
      <c r="AL28" s="109"/>
      <c r="AM28" s="108"/>
      <c r="AN28" s="105"/>
      <c r="AO28" s="105"/>
      <c r="AP28" s="105"/>
      <c r="AQ28" s="105"/>
      <c r="AR28" s="106"/>
      <c r="AS28" s="107"/>
      <c r="AT28" s="105"/>
      <c r="AU28" s="105"/>
      <c r="AV28" s="105"/>
      <c r="AW28" s="105"/>
      <c r="AX28" s="109"/>
      <c r="AY28" s="108"/>
      <c r="AZ28" s="105"/>
      <c r="BA28" s="105"/>
      <c r="BB28" s="105"/>
      <c r="BC28" s="105"/>
      <c r="BD28" s="106"/>
      <c r="BE28" s="107"/>
      <c r="BF28" s="105"/>
      <c r="BG28" s="105"/>
      <c r="BH28" s="105"/>
      <c r="BI28" s="105"/>
      <c r="BJ28" s="109"/>
      <c r="BK28" s="142"/>
      <c r="BL28" s="140"/>
      <c r="BM28" s="140"/>
      <c r="BN28" s="140"/>
      <c r="BO28" s="140"/>
      <c r="BP28" s="143"/>
      <c r="BQ28" s="107"/>
      <c r="BR28" s="105"/>
      <c r="BS28" s="105"/>
      <c r="BT28" s="105"/>
      <c r="BU28" s="105"/>
      <c r="BV28" s="109"/>
      <c r="BW28" s="108"/>
      <c r="BX28" s="105"/>
      <c r="BY28" s="105"/>
      <c r="BZ28" s="105"/>
      <c r="CA28" s="105"/>
      <c r="CB28" s="106"/>
      <c r="CC28" s="107"/>
      <c r="CD28" s="105"/>
      <c r="CE28" s="105"/>
      <c r="CF28" s="105"/>
      <c r="CG28" s="105"/>
      <c r="CH28" s="109"/>
      <c r="CI28" s="108"/>
      <c r="CJ28" s="105"/>
      <c r="CK28" s="105"/>
      <c r="CL28" s="105"/>
      <c r="CM28" s="105"/>
      <c r="CN28" s="106"/>
      <c r="CO28" s="107"/>
      <c r="CP28" s="105"/>
      <c r="CQ28" s="105"/>
      <c r="CR28" s="105"/>
      <c r="CS28" s="105"/>
      <c r="CT28" s="109"/>
      <c r="CU28" s="108"/>
      <c r="CV28" s="105"/>
      <c r="CW28" s="105"/>
      <c r="CX28" s="105"/>
      <c r="CY28" s="105"/>
      <c r="CZ28" s="106"/>
      <c r="DA28" s="105"/>
      <c r="DB28" s="105"/>
      <c r="DC28" s="105"/>
      <c r="DD28" s="105"/>
      <c r="DE28" s="105"/>
      <c r="DF28" s="105"/>
      <c r="DG28" s="108"/>
      <c r="DH28" s="105"/>
      <c r="DI28" s="105"/>
      <c r="DJ28" s="105"/>
      <c r="DK28" s="105"/>
      <c r="DL28" s="106"/>
      <c r="DM28" s="107"/>
      <c r="DN28" s="105"/>
      <c r="DO28" s="105"/>
      <c r="DP28" s="105"/>
      <c r="DQ28" s="105"/>
      <c r="DR28" s="105"/>
      <c r="DS28" s="108"/>
      <c r="DT28" s="105"/>
      <c r="DU28" s="105"/>
      <c r="DV28" s="105"/>
      <c r="DW28" s="105"/>
      <c r="DX28" s="106"/>
      <c r="DY28" s="107"/>
      <c r="DZ28" s="105"/>
      <c r="EA28" s="105"/>
      <c r="EB28" s="105"/>
      <c r="EC28" s="105"/>
      <c r="ED28" s="109"/>
      <c r="EE28" s="142"/>
      <c r="EF28" s="140"/>
      <c r="EG28" s="140"/>
      <c r="EH28" s="140"/>
      <c r="EI28" s="140"/>
      <c r="EJ28" s="143"/>
      <c r="EK28" s="136"/>
      <c r="EL28" s="137"/>
      <c r="EM28" s="137"/>
      <c r="EN28" s="137"/>
      <c r="EO28" s="137"/>
      <c r="EP28" s="137"/>
      <c r="EQ28" s="134"/>
      <c r="ER28" s="137"/>
      <c r="ES28" s="137"/>
      <c r="ET28" s="137"/>
      <c r="EU28" s="137"/>
      <c r="EV28" s="135"/>
      <c r="FB28" s="335" t="s">
        <v>406</v>
      </c>
      <c r="FC28" s="359"/>
      <c r="FD28" s="359"/>
      <c r="FE28" s="359"/>
      <c r="FF28" s="359"/>
      <c r="FG28" s="359"/>
      <c r="FH28" s="359"/>
      <c r="FI28" s="359"/>
      <c r="FJ28" s="359"/>
      <c r="FK28" s="359"/>
      <c r="FL28" s="359"/>
      <c r="FM28" s="359"/>
      <c r="FN28" s="359"/>
      <c r="FO28" s="359"/>
      <c r="FQ28" s="425" t="s">
        <v>505</v>
      </c>
      <c r="FR28" s="425"/>
      <c r="FS28" s="425"/>
      <c r="FT28" s="425"/>
      <c r="FU28" s="425"/>
      <c r="FV28" s="425"/>
      <c r="FW28" s="425"/>
      <c r="FX28" s="425"/>
      <c r="FY28" s="425"/>
      <c r="FZ28" s="425"/>
      <c r="GA28" s="425"/>
      <c r="GB28" s="425"/>
      <c r="GC28" s="425"/>
      <c r="GD28" s="425"/>
      <c r="GE28" s="425"/>
      <c r="GF28" s="425"/>
      <c r="GG28" s="425"/>
      <c r="GH28" s="425"/>
      <c r="GI28" s="425"/>
      <c r="GJ28" s="425"/>
      <c r="GK28" s="425"/>
      <c r="GL28" s="425"/>
      <c r="GM28" s="425"/>
      <c r="GN28" s="425"/>
      <c r="GO28" s="425"/>
      <c r="GP28" s="425"/>
    </row>
    <row r="29" spans="1:198" ht="14.25" thickBot="1">
      <c r="A29" s="1438"/>
      <c r="B29" s="1438"/>
      <c r="C29" s="1439"/>
      <c r="D29" s="1440"/>
      <c r="E29" s="1439"/>
      <c r="F29" s="1440"/>
      <c r="G29" s="1439"/>
      <c r="H29" t="s">
        <v>152</v>
      </c>
      <c r="I29" s="123"/>
      <c r="J29" s="120"/>
      <c r="K29" s="483"/>
      <c r="L29" s="120"/>
      <c r="M29" s="120"/>
      <c r="N29" s="124"/>
      <c r="O29" s="121"/>
      <c r="P29" s="120"/>
      <c r="Q29" s="120"/>
      <c r="R29" s="120"/>
      <c r="S29" s="120"/>
      <c r="T29" s="120"/>
      <c r="U29" s="123"/>
      <c r="V29" s="120"/>
      <c r="W29" s="120"/>
      <c r="X29" s="120"/>
      <c r="Y29" s="120"/>
      <c r="Z29" s="124"/>
      <c r="AA29" s="121"/>
      <c r="AB29" s="120"/>
      <c r="AC29" s="120"/>
      <c r="AD29" s="120"/>
      <c r="AE29" s="120"/>
      <c r="AF29" s="122"/>
      <c r="AG29" s="123"/>
      <c r="AH29" s="120"/>
      <c r="AI29" s="120"/>
      <c r="AJ29" s="120"/>
      <c r="AK29" s="120"/>
      <c r="AL29" s="124"/>
      <c r="AM29" s="121"/>
      <c r="AN29" s="120"/>
      <c r="AO29" s="120"/>
      <c r="AP29" s="120"/>
      <c r="AQ29" s="120"/>
      <c r="AR29" s="122"/>
      <c r="AS29" s="123"/>
      <c r="AT29" s="120"/>
      <c r="AU29" s="120"/>
      <c r="AV29" s="120"/>
      <c r="AW29" s="120"/>
      <c r="AX29" s="124"/>
      <c r="AY29" s="121"/>
      <c r="AZ29" s="120"/>
      <c r="BA29" s="120"/>
      <c r="BB29" s="120"/>
      <c r="BC29" s="120"/>
      <c r="BD29" s="122"/>
      <c r="BE29" s="123"/>
      <c r="BF29" s="120"/>
      <c r="BG29" s="120"/>
      <c r="BH29" s="120"/>
      <c r="BI29" s="120"/>
      <c r="BJ29" s="124"/>
      <c r="BK29" s="129"/>
      <c r="BL29" s="131"/>
      <c r="BM29" s="131"/>
      <c r="BN29" s="131"/>
      <c r="BO29" s="131"/>
      <c r="BP29" s="133"/>
      <c r="BQ29" s="114"/>
      <c r="BR29" s="115"/>
      <c r="BS29" s="115"/>
      <c r="BT29" s="115"/>
      <c r="BU29" s="115"/>
      <c r="BV29" s="116"/>
      <c r="BW29" s="117"/>
      <c r="BX29" s="115"/>
      <c r="BY29" s="115"/>
      <c r="BZ29" s="115"/>
      <c r="CA29" s="115"/>
      <c r="CB29" s="118"/>
      <c r="CC29" s="114"/>
      <c r="CD29" s="115"/>
      <c r="CE29" s="115"/>
      <c r="CF29" s="115"/>
      <c r="CG29" s="115"/>
      <c r="CH29" s="115"/>
      <c r="CI29" s="117"/>
      <c r="CJ29" s="115"/>
      <c r="CK29" s="115"/>
      <c r="CL29" s="115"/>
      <c r="CM29" s="115"/>
      <c r="CN29" s="118"/>
      <c r="CO29" s="114"/>
      <c r="CP29" s="115"/>
      <c r="CQ29" s="115"/>
      <c r="CR29" s="115"/>
      <c r="CS29" s="115"/>
      <c r="CT29" s="116"/>
      <c r="CU29" s="117"/>
      <c r="CV29" s="115"/>
      <c r="CW29" s="115"/>
      <c r="CX29" s="115"/>
      <c r="CY29" s="115"/>
      <c r="CZ29" s="118"/>
      <c r="DA29" s="114"/>
      <c r="DB29" s="115"/>
      <c r="DC29" s="115"/>
      <c r="DD29" s="115"/>
      <c r="DE29" s="115"/>
      <c r="DF29" s="116"/>
      <c r="DG29" s="117"/>
      <c r="DH29" s="115"/>
      <c r="DI29" s="115"/>
      <c r="DJ29" s="115"/>
      <c r="DK29" s="115"/>
      <c r="DL29" s="118"/>
      <c r="DM29" s="114"/>
      <c r="DN29" s="115"/>
      <c r="DO29" s="115"/>
      <c r="DP29" s="115"/>
      <c r="DQ29" s="115"/>
      <c r="DR29" s="115"/>
      <c r="DS29" s="117"/>
      <c r="DT29" s="115"/>
      <c r="DU29" s="115"/>
      <c r="DV29" s="115"/>
      <c r="DW29" s="115"/>
      <c r="DX29" s="118"/>
      <c r="DY29" s="132"/>
      <c r="DZ29" s="131"/>
      <c r="EA29" s="131"/>
      <c r="EB29" s="131"/>
      <c r="EC29" s="131"/>
      <c r="ED29" s="372"/>
      <c r="EE29" s="129"/>
      <c r="EF29" s="131"/>
      <c r="EG29" s="131"/>
      <c r="EH29" s="131"/>
      <c r="EI29" s="131"/>
      <c r="EJ29" s="133"/>
      <c r="EK29" s="114"/>
      <c r="EL29" s="115"/>
      <c r="EM29" s="115"/>
      <c r="EN29" s="115"/>
      <c r="EO29" s="115"/>
      <c r="EP29" s="115"/>
      <c r="EQ29" s="117"/>
      <c r="ER29" s="115"/>
      <c r="ES29" s="115"/>
      <c r="ET29" s="115"/>
      <c r="EU29" s="115"/>
      <c r="EV29" s="118"/>
      <c r="FB29" s="335" t="s">
        <v>411</v>
      </c>
      <c r="FC29" s="359"/>
      <c r="FD29" s="359"/>
      <c r="FE29" s="359"/>
      <c r="FF29" s="359"/>
      <c r="FG29" s="359"/>
      <c r="FH29" s="359"/>
      <c r="FI29" s="359"/>
      <c r="FJ29" s="359"/>
      <c r="FK29" s="359"/>
      <c r="FL29" s="359"/>
      <c r="FM29" s="359"/>
      <c r="FN29" s="359"/>
      <c r="FO29" s="359"/>
      <c r="FQ29" s="425" t="s">
        <v>506</v>
      </c>
      <c r="FR29" s="425"/>
      <c r="FS29" s="425"/>
      <c r="FT29" s="425"/>
      <c r="FU29" s="425"/>
      <c r="FV29" s="425"/>
      <c r="FW29" s="425"/>
      <c r="FX29" s="425"/>
      <c r="FY29" s="425"/>
      <c r="FZ29" s="425"/>
      <c r="GA29" s="425"/>
      <c r="GB29" s="425"/>
      <c r="GC29" s="425"/>
      <c r="GD29" s="425"/>
      <c r="GE29" s="425"/>
      <c r="GF29" s="425"/>
      <c r="GG29" s="425"/>
      <c r="GH29" s="425"/>
      <c r="GI29" s="425"/>
      <c r="GJ29" s="425"/>
      <c r="GK29" s="425"/>
      <c r="GL29" s="425"/>
      <c r="GM29" s="425"/>
      <c r="GN29" s="425"/>
      <c r="GO29" s="425"/>
      <c r="GP29" s="425"/>
    </row>
    <row r="30" spans="1:198">
      <c r="A30" s="1438" t="s">
        <v>633</v>
      </c>
      <c r="B30" s="1438" t="str">
        <f>CONCATENATE(TEXT(HOUR(C30),"0"),":",TEXT(MINUTE(C30),"00"))</f>
        <v>8:50</v>
      </c>
      <c r="C30" s="1439">
        <v>0.36805555555555558</v>
      </c>
      <c r="D30" s="1440" t="str">
        <f>CONCATENATE(TEXT(HOUR(E30),"0"),":",TEXT(MINUTE(E30),"00"))</f>
        <v>8:50</v>
      </c>
      <c r="E30" s="1439">
        <v>0.36805555555555558</v>
      </c>
      <c r="F30" s="1440" t="str">
        <f>CONCATENATE(TEXT(HOUR(G30),"0"),":",TEXT(MINUTE(G30),"00"))</f>
        <v>8:50</v>
      </c>
      <c r="G30" s="1439">
        <v>0.36805555555555558</v>
      </c>
      <c r="H30" t="s">
        <v>151</v>
      </c>
      <c r="I30" s="136"/>
      <c r="J30" s="137"/>
      <c r="K30" s="137"/>
      <c r="L30" s="137"/>
      <c r="M30" s="137"/>
      <c r="N30" s="138"/>
      <c r="O30" s="134"/>
      <c r="P30" s="137"/>
      <c r="Q30" s="137"/>
      <c r="R30" s="137"/>
      <c r="S30" s="137"/>
      <c r="T30" s="137"/>
      <c r="U30" s="136"/>
      <c r="V30" s="137"/>
      <c r="W30" s="137"/>
      <c r="X30" s="137"/>
      <c r="Y30" s="137"/>
      <c r="Z30" s="138"/>
      <c r="AA30" s="134"/>
      <c r="AB30" s="137"/>
      <c r="AC30" s="137"/>
      <c r="AD30" s="137"/>
      <c r="AE30" s="137"/>
      <c r="AF30" s="135"/>
      <c r="AG30" s="136"/>
      <c r="AH30" s="137"/>
      <c r="AI30" s="137"/>
      <c r="AJ30" s="137"/>
      <c r="AK30" s="137"/>
      <c r="AL30" s="138"/>
      <c r="AM30" s="134"/>
      <c r="AN30" s="137"/>
      <c r="AO30" s="137"/>
      <c r="AP30" s="137"/>
      <c r="AQ30" s="137"/>
      <c r="AR30" s="135"/>
      <c r="AS30" s="136"/>
      <c r="AT30" s="137"/>
      <c r="AU30" s="137"/>
      <c r="AV30" s="137"/>
      <c r="AW30" s="137"/>
      <c r="AX30" s="138"/>
      <c r="AY30" s="134"/>
      <c r="AZ30" s="137"/>
      <c r="BA30" s="137"/>
      <c r="BB30" s="137"/>
      <c r="BC30" s="137"/>
      <c r="BD30" s="135"/>
      <c r="BE30" s="136"/>
      <c r="BF30" s="137"/>
      <c r="BG30" s="137"/>
      <c r="BH30" s="137"/>
      <c r="BI30" s="137"/>
      <c r="BJ30" s="138"/>
      <c r="BK30" s="134"/>
      <c r="BL30" s="137"/>
      <c r="BM30" s="137"/>
      <c r="BN30" s="137"/>
      <c r="BO30" s="137"/>
      <c r="BP30" s="135"/>
      <c r="BQ30" s="136"/>
      <c r="BR30" s="137"/>
      <c r="BS30" s="137"/>
      <c r="BT30" s="137"/>
      <c r="BU30" s="137"/>
      <c r="BV30" s="138"/>
      <c r="BW30" s="134"/>
      <c r="BX30" s="137"/>
      <c r="BY30" s="137"/>
      <c r="BZ30" s="137"/>
      <c r="CA30" s="137"/>
      <c r="CB30" s="135"/>
      <c r="CC30" s="136"/>
      <c r="CD30" s="137"/>
      <c r="CE30" s="137"/>
      <c r="CF30" s="137"/>
      <c r="CG30" s="137"/>
      <c r="CH30" s="138"/>
      <c r="CI30" s="134"/>
      <c r="CJ30" s="137"/>
      <c r="CK30" s="137"/>
      <c r="CL30" s="137"/>
      <c r="CM30" s="137"/>
      <c r="CN30" s="135"/>
      <c r="CO30" s="136"/>
      <c r="CP30" s="137"/>
      <c r="CQ30" s="137"/>
      <c r="CR30" s="137"/>
      <c r="CS30" s="137"/>
      <c r="CT30" s="138"/>
      <c r="CU30" s="134"/>
      <c r="CV30" s="137"/>
      <c r="CW30" s="137"/>
      <c r="CX30" s="137"/>
      <c r="CY30" s="137"/>
      <c r="CZ30" s="135"/>
      <c r="DA30" s="137"/>
      <c r="DB30" s="137"/>
      <c r="DC30" s="137"/>
      <c r="DD30" s="137"/>
      <c r="DE30" s="137"/>
      <c r="DF30" s="137"/>
      <c r="DG30" s="134"/>
      <c r="DH30" s="137"/>
      <c r="DI30" s="137"/>
      <c r="DJ30" s="137"/>
      <c r="DK30" s="137"/>
      <c r="DL30" s="135"/>
      <c r="DM30" s="136"/>
      <c r="DN30" s="137"/>
      <c r="DO30" s="137"/>
      <c r="DP30" s="137"/>
      <c r="DQ30" s="137"/>
      <c r="DR30" s="137"/>
      <c r="DS30" s="134"/>
      <c r="DT30" s="137"/>
      <c r="DU30" s="137"/>
      <c r="DV30" s="137"/>
      <c r="DW30" s="137"/>
      <c r="DX30" s="135"/>
      <c r="DY30" s="136"/>
      <c r="DZ30" s="137"/>
      <c r="EA30" s="137"/>
      <c r="EB30" s="137"/>
      <c r="EC30" s="137"/>
      <c r="ED30" s="138"/>
      <c r="EE30" s="134"/>
      <c r="EF30" s="137"/>
      <c r="EG30" s="137"/>
      <c r="EH30" s="137"/>
      <c r="EI30" s="137"/>
      <c r="EJ30" s="135"/>
      <c r="EK30" s="136"/>
      <c r="EL30" s="137"/>
      <c r="EM30" s="137"/>
      <c r="EN30" s="137"/>
      <c r="EO30" s="137"/>
      <c r="EP30" s="137"/>
      <c r="EQ30" s="134"/>
      <c r="ER30" s="137"/>
      <c r="ES30" s="137"/>
      <c r="ET30" s="137"/>
      <c r="EU30" s="137"/>
      <c r="EV30" s="135"/>
      <c r="FB30" s="335" t="s">
        <v>406</v>
      </c>
      <c r="FC30" s="359"/>
      <c r="FD30" s="359"/>
      <c r="FE30" s="359"/>
      <c r="FF30" s="359"/>
      <c r="FG30" s="359"/>
      <c r="FH30" s="359"/>
      <c r="FI30" s="359"/>
      <c r="FJ30" s="359"/>
      <c r="FK30" s="359"/>
      <c r="FL30" s="359"/>
      <c r="FM30" s="359"/>
      <c r="FN30" s="359"/>
      <c r="FO30" s="359"/>
      <c r="FQ30" s="425" t="s">
        <v>505</v>
      </c>
      <c r="FR30" s="425"/>
      <c r="FS30" s="425"/>
      <c r="FT30" s="425"/>
      <c r="FU30" s="425"/>
      <c r="FV30" s="425"/>
      <c r="FW30" s="425"/>
      <c r="FX30" s="425"/>
      <c r="FY30" s="425"/>
      <c r="FZ30" s="425"/>
      <c r="GA30" s="425"/>
      <c r="GB30" s="425"/>
      <c r="GC30" s="425"/>
      <c r="GD30" s="425"/>
      <c r="GE30" s="425"/>
      <c r="GF30" s="425"/>
      <c r="GG30" s="425"/>
      <c r="GH30" s="425"/>
      <c r="GI30" s="425"/>
      <c r="GJ30" s="425"/>
      <c r="GK30" s="425"/>
      <c r="GL30" s="425"/>
      <c r="GM30" s="425"/>
      <c r="GN30" s="425"/>
      <c r="GO30" s="425"/>
      <c r="GP30" s="425"/>
    </row>
    <row r="31" spans="1:198" ht="14.25" thickBot="1">
      <c r="A31" s="1438"/>
      <c r="B31" s="1438"/>
      <c r="C31" s="1439"/>
      <c r="D31" s="1440"/>
      <c r="E31" s="1439"/>
      <c r="F31" s="1440"/>
      <c r="G31" s="1439"/>
      <c r="H31" t="s">
        <v>152</v>
      </c>
      <c r="I31" s="123"/>
      <c r="J31" s="120"/>
      <c r="K31" s="483"/>
      <c r="L31" s="120"/>
      <c r="M31" s="120"/>
      <c r="N31" s="124"/>
      <c r="O31" s="121"/>
      <c r="P31" s="120"/>
      <c r="Q31" s="120"/>
      <c r="R31" s="120"/>
      <c r="S31" s="120"/>
      <c r="T31" s="120"/>
      <c r="U31" s="123"/>
      <c r="V31" s="120"/>
      <c r="W31" s="120"/>
      <c r="X31" s="120"/>
      <c r="Y31" s="120"/>
      <c r="Z31" s="124"/>
      <c r="AA31" s="121"/>
      <c r="AB31" s="120"/>
      <c r="AC31" s="120"/>
      <c r="AD31" s="120"/>
      <c r="AE31" s="120"/>
      <c r="AF31" s="122"/>
      <c r="AG31" s="123"/>
      <c r="AH31" s="120"/>
      <c r="AI31" s="120"/>
      <c r="AJ31" s="120"/>
      <c r="AK31" s="120"/>
      <c r="AL31" s="124"/>
      <c r="AM31" s="121"/>
      <c r="AN31" s="120"/>
      <c r="AO31" s="120"/>
      <c r="AP31" s="120"/>
      <c r="AQ31" s="120"/>
      <c r="AR31" s="122"/>
      <c r="AS31" s="123"/>
      <c r="AT31" s="120"/>
      <c r="AU31" s="120"/>
      <c r="AV31" s="120"/>
      <c r="AW31" s="120"/>
      <c r="AX31" s="124"/>
      <c r="AY31" s="121"/>
      <c r="AZ31" s="120"/>
      <c r="BA31" s="120"/>
      <c r="BB31" s="120"/>
      <c r="BC31" s="120"/>
      <c r="BD31" s="122"/>
      <c r="BE31" s="123"/>
      <c r="BF31" s="120"/>
      <c r="BG31" s="120"/>
      <c r="BH31" s="120"/>
      <c r="BI31" s="120"/>
      <c r="BJ31" s="124"/>
      <c r="BK31" s="121"/>
      <c r="BL31" s="120"/>
      <c r="BM31" s="120"/>
      <c r="BN31" s="120"/>
      <c r="BO31" s="120"/>
      <c r="BP31" s="122"/>
      <c r="BQ31" s="123"/>
      <c r="BR31" s="120"/>
      <c r="BS31" s="120"/>
      <c r="BT31" s="120"/>
      <c r="BU31" s="120"/>
      <c r="BV31" s="124"/>
      <c r="BW31" s="121"/>
      <c r="BX31" s="120"/>
      <c r="BY31" s="120"/>
      <c r="BZ31" s="120"/>
      <c r="CA31" s="120"/>
      <c r="CB31" s="122"/>
      <c r="CC31" s="123"/>
      <c r="CD31" s="120"/>
      <c r="CE31" s="120"/>
      <c r="CF31" s="120"/>
      <c r="CG31" s="120"/>
      <c r="CH31" s="120"/>
      <c r="CI31" s="121"/>
      <c r="CJ31" s="120"/>
      <c r="CK31" s="120"/>
      <c r="CL31" s="120"/>
      <c r="CM31" s="120"/>
      <c r="CN31" s="122"/>
      <c r="CO31" s="123"/>
      <c r="CP31" s="120"/>
      <c r="CQ31" s="120"/>
      <c r="CR31" s="120"/>
      <c r="CS31" s="120"/>
      <c r="CT31" s="124"/>
      <c r="CU31" s="121"/>
      <c r="CV31" s="120"/>
      <c r="CW31" s="120"/>
      <c r="CX31" s="120"/>
      <c r="CY31" s="120"/>
      <c r="CZ31" s="122"/>
      <c r="DA31" s="123"/>
      <c r="DB31" s="120"/>
      <c r="DC31" s="120"/>
      <c r="DD31" s="120"/>
      <c r="DE31" s="120"/>
      <c r="DF31" s="124"/>
      <c r="DG31" s="121"/>
      <c r="DH31" s="120"/>
      <c r="DI31" s="120"/>
      <c r="DJ31" s="120"/>
      <c r="DK31" s="120"/>
      <c r="DL31" s="122"/>
      <c r="DM31" s="123"/>
      <c r="DN31" s="120"/>
      <c r="DO31" s="120"/>
      <c r="DP31" s="120"/>
      <c r="DQ31" s="120"/>
      <c r="DR31" s="120"/>
      <c r="DS31" s="121"/>
      <c r="DT31" s="120"/>
      <c r="DU31" s="120"/>
      <c r="DV31" s="120"/>
      <c r="DW31" s="120"/>
      <c r="DX31" s="122"/>
      <c r="DY31" s="123"/>
      <c r="DZ31" s="120"/>
      <c r="EA31" s="120"/>
      <c r="EB31" s="120"/>
      <c r="EC31" s="120"/>
      <c r="ED31" s="124"/>
      <c r="EE31" s="121"/>
      <c r="EF31" s="120"/>
      <c r="EG31" s="120"/>
      <c r="EH31" s="120"/>
      <c r="EI31" s="120"/>
      <c r="EJ31" s="122"/>
      <c r="EK31" s="123"/>
      <c r="EL31" s="120"/>
      <c r="EM31" s="120"/>
      <c r="EN31" s="120"/>
      <c r="EO31" s="120"/>
      <c r="EP31" s="120"/>
      <c r="EQ31" s="121"/>
      <c r="ER31" s="120"/>
      <c r="ES31" s="120"/>
      <c r="ET31" s="120"/>
      <c r="EU31" s="120"/>
      <c r="EV31" s="122"/>
      <c r="FB31" s="335" t="s">
        <v>411</v>
      </c>
      <c r="FC31" s="359"/>
      <c r="FD31" s="359"/>
      <c r="FE31" s="359"/>
      <c r="FF31" s="359"/>
      <c r="FG31" s="359"/>
      <c r="FH31" s="359"/>
      <c r="FI31" s="359"/>
      <c r="FJ31" s="359"/>
      <c r="FK31" s="359"/>
      <c r="FL31" s="359"/>
      <c r="FM31" s="359"/>
      <c r="FN31" s="359"/>
      <c r="FO31" s="359"/>
      <c r="FQ31" s="425" t="s">
        <v>506</v>
      </c>
      <c r="FR31" s="425"/>
      <c r="FS31" s="425"/>
      <c r="FT31" s="425"/>
      <c r="FU31" s="425"/>
      <c r="FV31" s="425"/>
      <c r="FW31" s="425"/>
      <c r="FX31" s="425"/>
      <c r="FY31" s="425"/>
      <c r="FZ31" s="425"/>
      <c r="GA31" s="425"/>
      <c r="GB31" s="425"/>
      <c r="GC31" s="425"/>
      <c r="GD31" s="425"/>
      <c r="GE31" s="425"/>
      <c r="GF31" s="425"/>
      <c r="GG31" s="425"/>
      <c r="GH31" s="425"/>
      <c r="GI31" s="425"/>
      <c r="GJ31" s="425"/>
      <c r="GK31" s="425"/>
      <c r="GL31" s="425"/>
      <c r="GM31" s="425"/>
      <c r="GN31" s="425"/>
      <c r="GO31" s="425"/>
      <c r="GP31" s="425"/>
    </row>
    <row r="32" spans="1:198">
      <c r="A32" s="1438" t="s">
        <v>635</v>
      </c>
      <c r="B32" s="1438" t="str">
        <f>CONCATENATE(TEXT(HOUR(C32),"0"),":",TEXT(MINUTE(C32),"00"))</f>
        <v>8:50</v>
      </c>
      <c r="C32" s="1439">
        <v>0.36805555555555558</v>
      </c>
      <c r="D32" s="1440" t="str">
        <f>CONCATENATE(TEXT(HOUR(E32),"0"),":",TEXT(MINUTE(E32),"00"))</f>
        <v>8:50</v>
      </c>
      <c r="E32" s="1439">
        <v>0.36805555555555558</v>
      </c>
      <c r="F32" s="1440" t="str">
        <f>CONCATENATE(TEXT(HOUR(G32),"0"),":",TEXT(MINUTE(G32),"00"))</f>
        <v>17:35</v>
      </c>
      <c r="G32" s="1439">
        <v>0.73263888888888884</v>
      </c>
      <c r="H32" t="s">
        <v>151</v>
      </c>
      <c r="I32" s="98"/>
      <c r="J32" s="99"/>
      <c r="K32" s="99"/>
      <c r="L32" s="99"/>
      <c r="M32" s="99"/>
      <c r="N32" s="100"/>
      <c r="O32" s="101"/>
      <c r="P32" s="99"/>
      <c r="Q32" s="99"/>
      <c r="R32" s="99"/>
      <c r="S32" s="99"/>
      <c r="T32" s="99"/>
      <c r="U32" s="98"/>
      <c r="V32" s="99"/>
      <c r="W32" s="99"/>
      <c r="X32" s="99"/>
      <c r="Y32" s="99"/>
      <c r="Z32" s="100"/>
      <c r="AA32" s="101"/>
      <c r="AB32" s="99"/>
      <c r="AC32" s="99"/>
      <c r="AD32" s="99"/>
      <c r="AE32" s="99"/>
      <c r="AF32" s="102"/>
      <c r="AG32" s="98"/>
      <c r="AH32" s="99"/>
      <c r="AI32" s="99"/>
      <c r="AJ32" s="99"/>
      <c r="AK32" s="99"/>
      <c r="AL32" s="100"/>
      <c r="AM32" s="142"/>
      <c r="AN32" s="140"/>
      <c r="AO32" s="140"/>
      <c r="AP32" s="140"/>
      <c r="AQ32" s="140"/>
      <c r="AR32" s="143"/>
      <c r="AS32" s="98"/>
      <c r="AT32" s="99"/>
      <c r="AU32" s="99"/>
      <c r="AV32" s="99"/>
      <c r="AW32" s="99"/>
      <c r="AX32" s="100"/>
      <c r="AY32" s="101"/>
      <c r="AZ32" s="99"/>
      <c r="BA32" s="99"/>
      <c r="BB32" s="99"/>
      <c r="BC32" s="99"/>
      <c r="BD32" s="102"/>
      <c r="BE32" s="98"/>
      <c r="BF32" s="99"/>
      <c r="BG32" s="99"/>
      <c r="BH32" s="99"/>
      <c r="BI32" s="99"/>
      <c r="BJ32" s="100"/>
      <c r="BK32" s="101"/>
      <c r="BL32" s="99"/>
      <c r="BM32" s="99"/>
      <c r="BN32" s="99"/>
      <c r="BO32" s="99"/>
      <c r="BP32" s="102"/>
      <c r="BQ32" s="136"/>
      <c r="BR32" s="137"/>
      <c r="BS32" s="137"/>
      <c r="BT32" s="137"/>
      <c r="BU32" s="137"/>
      <c r="BV32" s="138"/>
      <c r="BW32" s="134"/>
      <c r="BX32" s="137"/>
      <c r="BY32" s="137"/>
      <c r="BZ32" s="137"/>
      <c r="CA32" s="137"/>
      <c r="CB32" s="135"/>
      <c r="CC32" s="136"/>
      <c r="CD32" s="137"/>
      <c r="CE32" s="137"/>
      <c r="CF32" s="137"/>
      <c r="CG32" s="137"/>
      <c r="CH32" s="138"/>
      <c r="CI32" s="134"/>
      <c r="CJ32" s="137"/>
      <c r="CK32" s="137"/>
      <c r="CL32" s="137"/>
      <c r="CM32" s="137"/>
      <c r="CN32" s="135"/>
      <c r="CO32" s="139"/>
      <c r="CP32" s="140"/>
      <c r="CQ32" s="140"/>
      <c r="CR32" s="140"/>
      <c r="CS32" s="140"/>
      <c r="CT32" s="141"/>
      <c r="CU32" s="134"/>
      <c r="CV32" s="137"/>
      <c r="CW32" s="137"/>
      <c r="CX32" s="137"/>
      <c r="CY32" s="137"/>
      <c r="CZ32" s="135"/>
      <c r="DA32" s="137"/>
      <c r="DB32" s="137"/>
      <c r="DC32" s="137"/>
      <c r="DD32" s="137"/>
      <c r="DE32" s="137"/>
      <c r="DF32" s="137"/>
      <c r="DG32" s="104"/>
      <c r="DH32" s="103"/>
      <c r="DI32" s="103"/>
      <c r="DJ32" s="103"/>
      <c r="DK32" s="105"/>
      <c r="DL32" s="106"/>
      <c r="DM32" s="107"/>
      <c r="DN32" s="105"/>
      <c r="DO32" s="105"/>
      <c r="DP32" s="105"/>
      <c r="DQ32" s="105"/>
      <c r="DR32" s="105"/>
      <c r="DS32" s="108"/>
      <c r="DT32" s="105"/>
      <c r="DU32" s="105"/>
      <c r="DV32" s="105"/>
      <c r="DW32" s="105"/>
      <c r="DX32" s="106"/>
      <c r="DY32" s="107"/>
      <c r="DZ32" s="105"/>
      <c r="EA32" s="105"/>
      <c r="EB32" s="105"/>
      <c r="EC32" s="105"/>
      <c r="ED32" s="109"/>
      <c r="EE32" s="108"/>
      <c r="EF32" s="105"/>
      <c r="EG32" s="105"/>
      <c r="EH32" s="105"/>
      <c r="EI32" s="105"/>
      <c r="EJ32" s="106"/>
      <c r="EK32" s="107"/>
      <c r="EL32" s="105"/>
      <c r="EM32" s="105"/>
      <c r="EN32" s="105"/>
      <c r="EO32" s="105"/>
      <c r="EP32" s="105"/>
      <c r="EQ32" s="108"/>
      <c r="ER32" s="105"/>
      <c r="ES32" s="105"/>
      <c r="ET32" s="105"/>
      <c r="EU32" s="105"/>
      <c r="EV32" s="106"/>
      <c r="FB32" s="335" t="s">
        <v>406</v>
      </c>
      <c r="FC32" s="359" t="s">
        <v>621</v>
      </c>
      <c r="FD32" s="359" t="s">
        <v>622</v>
      </c>
      <c r="FE32" s="359"/>
      <c r="FF32" s="359"/>
      <c r="FG32" s="359"/>
      <c r="FH32" s="359"/>
      <c r="FI32" s="359"/>
      <c r="FJ32" s="359"/>
      <c r="FK32" s="359"/>
      <c r="FL32" s="359"/>
      <c r="FM32" s="359"/>
      <c r="FN32" s="359"/>
      <c r="FO32" s="359"/>
      <c r="FQ32" s="425" t="s">
        <v>505</v>
      </c>
      <c r="FR32" s="425"/>
      <c r="FS32" s="425"/>
      <c r="FT32" s="425"/>
      <c r="FU32" s="425"/>
      <c r="FV32" s="425"/>
      <c r="FW32" s="425"/>
      <c r="FX32" s="425"/>
      <c r="FY32" s="425"/>
      <c r="FZ32" s="425"/>
      <c r="GA32" s="425"/>
      <c r="GB32" s="425"/>
      <c r="GC32" s="425"/>
      <c r="GD32" s="425"/>
      <c r="GE32" s="425"/>
      <c r="GF32" s="425"/>
      <c r="GG32" s="425"/>
      <c r="GH32" s="425"/>
      <c r="GI32" s="425"/>
      <c r="GJ32" s="425"/>
      <c r="GK32" s="425"/>
      <c r="GL32" s="425"/>
      <c r="GM32" s="425"/>
      <c r="GN32" s="425"/>
      <c r="GO32" s="425"/>
      <c r="GP32" s="425"/>
    </row>
    <row r="33" spans="1:198" ht="14.25" thickBot="1">
      <c r="A33" s="1438"/>
      <c r="B33" s="1438"/>
      <c r="C33" s="1439"/>
      <c r="D33" s="1440"/>
      <c r="E33" s="1439"/>
      <c r="F33" s="1440"/>
      <c r="G33" s="1439"/>
      <c r="H33" t="s">
        <v>152</v>
      </c>
      <c r="I33" s="132"/>
      <c r="J33" s="111"/>
      <c r="K33" s="424"/>
      <c r="L33" s="111"/>
      <c r="M33" s="111"/>
      <c r="N33" s="112"/>
      <c r="O33" s="113"/>
      <c r="P33" s="111"/>
      <c r="Q33" s="111"/>
      <c r="R33" s="111"/>
      <c r="S33" s="111"/>
      <c r="T33" s="111"/>
      <c r="U33" s="114"/>
      <c r="V33" s="115"/>
      <c r="W33" s="115"/>
      <c r="X33" s="115"/>
      <c r="Y33" s="115"/>
      <c r="Z33" s="116"/>
      <c r="AA33" s="117"/>
      <c r="AB33" s="115"/>
      <c r="AC33" s="115"/>
      <c r="AD33" s="115"/>
      <c r="AE33" s="115"/>
      <c r="AF33" s="118"/>
      <c r="AG33" s="114"/>
      <c r="AH33" s="115"/>
      <c r="AI33" s="115"/>
      <c r="AJ33" s="115"/>
      <c r="AK33" s="115"/>
      <c r="AL33" s="116"/>
      <c r="AM33" s="117"/>
      <c r="AN33" s="115"/>
      <c r="AO33" s="115"/>
      <c r="AP33" s="115"/>
      <c r="AQ33" s="115"/>
      <c r="AR33" s="118"/>
      <c r="AS33" s="114"/>
      <c r="AT33" s="115"/>
      <c r="AU33" s="115"/>
      <c r="AV33" s="115"/>
      <c r="AW33" s="115"/>
      <c r="AX33" s="116"/>
      <c r="AY33" s="117"/>
      <c r="AZ33" s="115"/>
      <c r="BA33" s="115"/>
      <c r="BB33" s="115"/>
      <c r="BC33" s="115"/>
      <c r="BD33" s="118"/>
      <c r="BE33" s="114"/>
      <c r="BF33" s="115"/>
      <c r="BG33" s="115"/>
      <c r="BH33" s="115"/>
      <c r="BI33" s="115"/>
      <c r="BJ33" s="116"/>
      <c r="BK33" s="117"/>
      <c r="BL33" s="115"/>
      <c r="BM33" s="115"/>
      <c r="BN33" s="115"/>
      <c r="BO33" s="115"/>
      <c r="BP33" s="118"/>
      <c r="BQ33" s="114"/>
      <c r="BR33" s="115"/>
      <c r="BS33" s="115"/>
      <c r="BT33" s="115"/>
      <c r="BU33" s="115"/>
      <c r="BV33" s="116"/>
      <c r="BW33" s="129"/>
      <c r="BX33" s="115"/>
      <c r="BY33" s="111"/>
      <c r="BZ33" s="111"/>
      <c r="CA33" s="111"/>
      <c r="CB33" s="122"/>
      <c r="CC33" s="123"/>
      <c r="CD33" s="120"/>
      <c r="CE33" s="120"/>
      <c r="CF33" s="120"/>
      <c r="CG33" s="120"/>
      <c r="CH33" s="120"/>
      <c r="CI33" s="121"/>
      <c r="CJ33" s="120"/>
      <c r="CK33" s="120"/>
      <c r="CL33" s="120"/>
      <c r="CM33" s="120"/>
      <c r="CN33" s="122"/>
      <c r="CO33" s="123"/>
      <c r="CP33" s="120"/>
      <c r="CQ33" s="120"/>
      <c r="CR33" s="120"/>
      <c r="CS33" s="120"/>
      <c r="CT33" s="124"/>
      <c r="CU33" s="121"/>
      <c r="CV33" s="120"/>
      <c r="CW33" s="120"/>
      <c r="CX33" s="120"/>
      <c r="CY33" s="120"/>
      <c r="CZ33" s="122"/>
      <c r="DA33" s="123"/>
      <c r="DB33" s="120"/>
      <c r="DC33" s="120"/>
      <c r="DD33" s="120"/>
      <c r="DE33" s="120"/>
      <c r="DF33" s="124"/>
      <c r="DG33" s="121"/>
      <c r="DH33" s="120"/>
      <c r="DI33" s="120"/>
      <c r="DJ33" s="120"/>
      <c r="DK33" s="120"/>
      <c r="DL33" s="122"/>
      <c r="DM33" s="123"/>
      <c r="DN33" s="120"/>
      <c r="DO33" s="120"/>
      <c r="DP33" s="120"/>
      <c r="DQ33" s="120"/>
      <c r="DR33" s="120"/>
      <c r="DS33" s="121"/>
      <c r="DT33" s="120"/>
      <c r="DU33" s="120"/>
      <c r="DV33" s="120"/>
      <c r="DW33" s="120"/>
      <c r="DX33" s="122"/>
      <c r="DY33" s="110"/>
      <c r="DZ33" s="111"/>
      <c r="EA33" s="111"/>
      <c r="EB33" s="111"/>
      <c r="EC33" s="111"/>
      <c r="ED33" s="112"/>
      <c r="EE33" s="125"/>
      <c r="EF33" s="126"/>
      <c r="EG33" s="126"/>
      <c r="EH33" s="126"/>
      <c r="EI33" s="126"/>
      <c r="EJ33" s="127"/>
      <c r="EK33" s="128"/>
      <c r="EL33" s="126"/>
      <c r="EM33" s="126"/>
      <c r="EN33" s="126"/>
      <c r="EO33" s="126"/>
      <c r="EP33" s="126"/>
      <c r="EQ33" s="125"/>
      <c r="ER33" s="126"/>
      <c r="ES33" s="126"/>
      <c r="ET33" s="126"/>
      <c r="EU33" s="126"/>
      <c r="EV33" s="127"/>
      <c r="FB33" s="335" t="s">
        <v>411</v>
      </c>
      <c r="FC33" s="359" t="s">
        <v>623</v>
      </c>
      <c r="FD33" s="359" t="s">
        <v>621</v>
      </c>
      <c r="FE33" s="359"/>
      <c r="FF33" s="359"/>
      <c r="FG33" s="371"/>
      <c r="FH33" s="359"/>
      <c r="FI33" s="359"/>
      <c r="FJ33" s="359"/>
      <c r="FK33" s="359"/>
      <c r="FL33" s="359"/>
      <c r="FM33" s="359"/>
      <c r="FN33" s="359"/>
      <c r="FO33" s="359"/>
      <c r="FQ33" s="425" t="s">
        <v>506</v>
      </c>
      <c r="FR33" s="425"/>
      <c r="FS33" s="425"/>
      <c r="FT33" s="425"/>
      <c r="FU33" s="425"/>
      <c r="FV33" s="425"/>
      <c r="FW33" s="425"/>
      <c r="FX33" s="425"/>
      <c r="FY33" s="425"/>
      <c r="FZ33" s="425"/>
      <c r="GA33" s="425"/>
      <c r="GB33" s="425"/>
      <c r="GC33" s="425"/>
      <c r="GD33" s="425"/>
      <c r="GE33" s="425"/>
      <c r="GF33" s="425"/>
      <c r="GG33" s="425"/>
      <c r="GH33" s="425"/>
      <c r="GI33" s="425"/>
      <c r="GJ33" s="425"/>
      <c r="GK33" s="425"/>
      <c r="GL33" s="425"/>
      <c r="GM33" s="425"/>
      <c r="GN33" s="425"/>
      <c r="GO33" s="425"/>
      <c r="GP33" s="425"/>
    </row>
    <row r="34" spans="1:198">
      <c r="A34" s="1438" t="s">
        <v>601</v>
      </c>
      <c r="B34" s="1438" t="str">
        <f>CONCATENATE(TEXT(HOUR(C34),"0"),":",TEXT(MINUTE(C34),"00"))</f>
        <v>9:00</v>
      </c>
      <c r="C34" s="1439">
        <v>0.375</v>
      </c>
      <c r="D34" s="1440" t="str">
        <f>CONCATENATE(TEXT(HOUR(E34),"0"),":",TEXT(MINUTE(E34),"00"))</f>
        <v>9:00</v>
      </c>
      <c r="E34" s="1439">
        <v>0.375</v>
      </c>
      <c r="F34" s="1440" t="str">
        <f>CONCATENATE(TEXT(HOUR(G34),"0"),":",TEXT(MINUTE(G34),"00"))</f>
        <v>17:30</v>
      </c>
      <c r="G34" s="1439">
        <v>0.72916666666666663</v>
      </c>
      <c r="H34" t="s">
        <v>151</v>
      </c>
      <c r="I34" s="98"/>
      <c r="J34" s="99"/>
      <c r="K34" s="99"/>
      <c r="L34" s="99"/>
      <c r="M34" s="99"/>
      <c r="N34" s="100"/>
      <c r="O34" s="101"/>
      <c r="P34" s="99"/>
      <c r="Q34" s="99"/>
      <c r="R34" s="99"/>
      <c r="S34" s="99"/>
      <c r="T34" s="99"/>
      <c r="U34" s="98"/>
      <c r="V34" s="99"/>
      <c r="W34" s="99"/>
      <c r="X34" s="99"/>
      <c r="Y34" s="99"/>
      <c r="Z34" s="100"/>
      <c r="AA34" s="101"/>
      <c r="AB34" s="99"/>
      <c r="AC34" s="99"/>
      <c r="AD34" s="99"/>
      <c r="AE34" s="99"/>
      <c r="AF34" s="102"/>
      <c r="AG34" s="98"/>
      <c r="AH34" s="99"/>
      <c r="AI34" s="99"/>
      <c r="AJ34" s="99"/>
      <c r="AK34" s="99"/>
      <c r="AL34" s="100"/>
      <c r="AM34" s="101"/>
      <c r="AN34" s="99"/>
      <c r="AO34" s="99"/>
      <c r="AP34" s="99"/>
      <c r="AQ34" s="99"/>
      <c r="AR34" s="102"/>
      <c r="AS34" s="98"/>
      <c r="AT34" s="99"/>
      <c r="AU34" s="99"/>
      <c r="AV34" s="99"/>
      <c r="AW34" s="99"/>
      <c r="AX34" s="100"/>
      <c r="AY34" s="101"/>
      <c r="AZ34" s="99"/>
      <c r="BA34" s="99"/>
      <c r="BB34" s="99"/>
      <c r="BC34" s="99"/>
      <c r="BD34" s="102"/>
      <c r="BE34" s="98"/>
      <c r="BF34" s="99"/>
      <c r="BG34" s="99"/>
      <c r="BH34" s="99"/>
      <c r="BI34" s="99"/>
      <c r="BJ34" s="100"/>
      <c r="BK34" s="101"/>
      <c r="BL34" s="99"/>
      <c r="BM34" s="99"/>
      <c r="BN34" s="99"/>
      <c r="BO34" s="99"/>
      <c r="BP34" s="102"/>
      <c r="BQ34" s="134"/>
      <c r="BR34" s="137"/>
      <c r="BS34" s="137"/>
      <c r="BT34" s="137"/>
      <c r="BU34" s="137"/>
      <c r="BV34" s="138"/>
      <c r="BW34" s="134"/>
      <c r="BX34" s="137"/>
      <c r="BY34" s="137"/>
      <c r="BZ34" s="137"/>
      <c r="CA34" s="137"/>
      <c r="CB34" s="135"/>
      <c r="CC34" s="136"/>
      <c r="CD34" s="137"/>
      <c r="CE34" s="137"/>
      <c r="CF34" s="137"/>
      <c r="CG34" s="137"/>
      <c r="CH34" s="138"/>
      <c r="CI34" s="134"/>
      <c r="CJ34" s="137"/>
      <c r="CK34" s="137"/>
      <c r="CL34" s="137"/>
      <c r="CM34" s="137"/>
      <c r="CN34" s="135"/>
      <c r="CO34" s="136"/>
      <c r="CP34" s="137"/>
      <c r="CQ34" s="137"/>
      <c r="CR34" s="137"/>
      <c r="CS34" s="137"/>
      <c r="CT34" s="138"/>
      <c r="CU34" s="142"/>
      <c r="CV34" s="140"/>
      <c r="CW34" s="140"/>
      <c r="CX34" s="140"/>
      <c r="CY34" s="140"/>
      <c r="CZ34" s="143"/>
      <c r="DA34" s="137"/>
      <c r="DB34" s="137"/>
      <c r="DC34" s="137"/>
      <c r="DD34" s="137"/>
      <c r="DE34" s="137"/>
      <c r="DF34" s="137"/>
      <c r="DG34" s="343"/>
      <c r="DH34" s="344"/>
      <c r="DI34" s="137"/>
      <c r="DJ34" s="137"/>
      <c r="DK34" s="137"/>
      <c r="DL34" s="137"/>
      <c r="DM34" s="422"/>
      <c r="DN34" s="423"/>
      <c r="DO34" s="105"/>
      <c r="DP34" s="105"/>
      <c r="DQ34" s="105"/>
      <c r="DR34" s="105"/>
      <c r="DS34" s="130"/>
      <c r="DT34" s="105"/>
      <c r="DU34" s="105"/>
      <c r="DV34" s="105"/>
      <c r="DW34" s="105"/>
      <c r="DX34" s="106"/>
      <c r="DY34" s="107"/>
      <c r="DZ34" s="105"/>
      <c r="EA34" s="105"/>
      <c r="EB34" s="105"/>
      <c r="EC34" s="105"/>
      <c r="ED34" s="109"/>
      <c r="EE34" s="108"/>
      <c r="EF34" s="105"/>
      <c r="EG34" s="105"/>
      <c r="EH34" s="105"/>
      <c r="EI34" s="105"/>
      <c r="EJ34" s="106"/>
      <c r="EK34" s="107"/>
      <c r="EL34" s="105"/>
      <c r="EM34" s="105"/>
      <c r="EN34" s="105"/>
      <c r="EO34" s="105"/>
      <c r="EP34" s="105"/>
      <c r="EQ34" s="108"/>
      <c r="ER34" s="105"/>
      <c r="ES34" s="105"/>
      <c r="ET34" s="105"/>
      <c r="EU34" s="105"/>
      <c r="EV34" s="106"/>
      <c r="FB34" s="335" t="s">
        <v>406</v>
      </c>
      <c r="FC34" s="359" t="s">
        <v>634</v>
      </c>
      <c r="FD34" s="359" t="s">
        <v>636</v>
      </c>
      <c r="FE34" s="359"/>
      <c r="FF34" s="359"/>
      <c r="FG34" s="359"/>
      <c r="FH34" s="359"/>
      <c r="FI34" s="359"/>
      <c r="FJ34" s="359"/>
      <c r="FK34" s="359"/>
      <c r="FL34" s="359"/>
      <c r="FM34" s="359"/>
      <c r="FN34" s="359"/>
      <c r="FO34" s="359"/>
      <c r="FQ34" s="425" t="s">
        <v>505</v>
      </c>
      <c r="FR34" s="425"/>
      <c r="FS34" s="425"/>
      <c r="FT34" s="425"/>
      <c r="FU34" s="425"/>
      <c r="FV34" s="425"/>
      <c r="FW34" s="425"/>
      <c r="FX34" s="425"/>
      <c r="FY34" s="425"/>
      <c r="FZ34" s="425"/>
      <c r="GA34" s="425"/>
      <c r="GB34" s="425"/>
      <c r="GC34" s="425"/>
      <c r="GD34" s="425"/>
      <c r="GE34" s="425"/>
      <c r="GF34" s="425"/>
      <c r="GG34" s="425"/>
      <c r="GH34" s="425"/>
      <c r="GI34" s="425"/>
      <c r="GJ34" s="425"/>
      <c r="GK34" s="425"/>
      <c r="GL34" s="425"/>
      <c r="GM34" s="425"/>
      <c r="GN34" s="425"/>
      <c r="GO34" s="425"/>
      <c r="GP34" s="425"/>
    </row>
    <row r="35" spans="1:198" ht="14.25" thickBot="1">
      <c r="A35" s="1438"/>
      <c r="B35" s="1438"/>
      <c r="C35" s="1439"/>
      <c r="D35" s="1440"/>
      <c r="E35" s="1439"/>
      <c r="F35" s="1440"/>
      <c r="G35" s="1439"/>
      <c r="H35" t="s">
        <v>152</v>
      </c>
      <c r="I35" s="132"/>
      <c r="J35" s="111"/>
      <c r="K35" s="424"/>
      <c r="L35" s="111"/>
      <c r="M35" s="111"/>
      <c r="N35" s="112"/>
      <c r="O35" s="113"/>
      <c r="P35" s="111"/>
      <c r="Q35" s="111"/>
      <c r="R35" s="131"/>
      <c r="S35" s="131"/>
      <c r="T35" s="131"/>
      <c r="U35" s="114"/>
      <c r="V35" s="115"/>
      <c r="W35" s="115"/>
      <c r="X35" s="115"/>
      <c r="Y35" s="115"/>
      <c r="Z35" s="116"/>
      <c r="AA35" s="117"/>
      <c r="AB35" s="115"/>
      <c r="AC35" s="115"/>
      <c r="AD35" s="115"/>
      <c r="AE35" s="115"/>
      <c r="AF35" s="118"/>
      <c r="AG35" s="114"/>
      <c r="AH35" s="115"/>
      <c r="AI35" s="115"/>
      <c r="AJ35" s="115"/>
      <c r="AK35" s="115"/>
      <c r="AL35" s="116"/>
      <c r="AM35" s="117"/>
      <c r="AN35" s="115"/>
      <c r="AO35" s="115"/>
      <c r="AP35" s="115"/>
      <c r="AQ35" s="115"/>
      <c r="AR35" s="118"/>
      <c r="AS35" s="114"/>
      <c r="AT35" s="115"/>
      <c r="AU35" s="115"/>
      <c r="AV35" s="115"/>
      <c r="AW35" s="115"/>
      <c r="AX35" s="116"/>
      <c r="AY35" s="117"/>
      <c r="AZ35" s="115"/>
      <c r="BA35" s="115"/>
      <c r="BB35" s="115"/>
      <c r="BC35" s="115"/>
      <c r="BD35" s="118"/>
      <c r="BE35" s="114"/>
      <c r="BF35" s="115"/>
      <c r="BG35" s="115"/>
      <c r="BH35" s="115"/>
      <c r="BI35" s="115"/>
      <c r="BJ35" s="116"/>
      <c r="BK35" s="117"/>
      <c r="BL35" s="115"/>
      <c r="BM35" s="115"/>
      <c r="BN35" s="115"/>
      <c r="BO35" s="115"/>
      <c r="BP35" s="118"/>
      <c r="BQ35" s="114"/>
      <c r="BR35" s="115"/>
      <c r="BS35" s="115"/>
      <c r="BT35" s="115"/>
      <c r="BU35" s="115"/>
      <c r="BV35" s="115"/>
      <c r="BW35" s="129"/>
      <c r="BX35" s="131"/>
      <c r="BY35" s="131"/>
      <c r="BZ35" s="131"/>
      <c r="CA35" s="131"/>
      <c r="CB35" s="133"/>
      <c r="CC35" s="123"/>
      <c r="CD35" s="120"/>
      <c r="CE35" s="120"/>
      <c r="CF35" s="120"/>
      <c r="CG35" s="120"/>
      <c r="CH35" s="120"/>
      <c r="CI35" s="179"/>
      <c r="CJ35" s="120"/>
      <c r="CK35" s="120"/>
      <c r="CL35" s="120"/>
      <c r="CM35" s="120"/>
      <c r="CN35" s="122"/>
      <c r="CO35" s="123"/>
      <c r="CP35" s="120"/>
      <c r="CQ35" s="120"/>
      <c r="CR35" s="120"/>
      <c r="CS35" s="120"/>
      <c r="CT35" s="124"/>
      <c r="CU35" s="179"/>
      <c r="CV35" s="120"/>
      <c r="CW35" s="120"/>
      <c r="CX35" s="120"/>
      <c r="CY35" s="120"/>
      <c r="CZ35" s="122"/>
      <c r="DA35" s="123"/>
      <c r="DB35" s="120"/>
      <c r="DC35" s="120"/>
      <c r="DD35" s="120"/>
      <c r="DE35" s="120"/>
      <c r="DF35" s="120"/>
      <c r="DG35" s="121"/>
      <c r="DH35" s="120"/>
      <c r="DI35" s="120"/>
      <c r="DJ35" s="120"/>
      <c r="DK35" s="120"/>
      <c r="DL35" s="120"/>
      <c r="DM35" s="123"/>
      <c r="DN35" s="120"/>
      <c r="DO35" s="120"/>
      <c r="DP35" s="120"/>
      <c r="DQ35" s="120"/>
      <c r="DR35" s="120"/>
      <c r="DS35" s="121"/>
      <c r="DT35" s="120"/>
      <c r="DU35" s="120"/>
      <c r="DV35" s="120"/>
      <c r="DW35" s="120"/>
      <c r="DX35" s="122"/>
      <c r="DY35" s="132"/>
      <c r="DZ35" s="131"/>
      <c r="EA35" s="131"/>
      <c r="EB35" s="131"/>
      <c r="EC35" s="131"/>
      <c r="ED35" s="372"/>
      <c r="EE35" s="125"/>
      <c r="EF35" s="126"/>
      <c r="EG35" s="126"/>
      <c r="EH35" s="126"/>
      <c r="EI35" s="126"/>
      <c r="EJ35" s="127"/>
      <c r="EK35" s="128"/>
      <c r="EL35" s="126"/>
      <c r="EM35" s="126"/>
      <c r="EN35" s="126"/>
      <c r="EO35" s="126"/>
      <c r="EP35" s="126"/>
      <c r="EQ35" s="125"/>
      <c r="ER35" s="126"/>
      <c r="ES35" s="126"/>
      <c r="ET35" s="126"/>
      <c r="EU35" s="126"/>
      <c r="EV35" s="127"/>
      <c r="FB35" s="335" t="s">
        <v>411</v>
      </c>
      <c r="FC35" s="359" t="s">
        <v>637</v>
      </c>
      <c r="FD35" s="359" t="s">
        <v>117</v>
      </c>
      <c r="FE35" s="359"/>
      <c r="FF35" s="359"/>
      <c r="FG35" s="359"/>
      <c r="FH35" s="359"/>
      <c r="FI35" s="359"/>
      <c r="FJ35" s="359"/>
      <c r="FK35" s="359"/>
      <c r="FL35" s="359"/>
      <c r="FM35" s="359"/>
      <c r="FN35" s="359"/>
      <c r="FO35" s="359"/>
      <c r="FQ35" s="425" t="s">
        <v>506</v>
      </c>
      <c r="FR35" s="425"/>
      <c r="FS35" s="425"/>
      <c r="FT35" s="425"/>
      <c r="FU35" s="425"/>
      <c r="FV35" s="425"/>
      <c r="FW35" s="425"/>
      <c r="FX35" s="425"/>
      <c r="FY35" s="425"/>
      <c r="FZ35" s="425"/>
      <c r="GA35" s="425"/>
      <c r="GB35" s="425"/>
      <c r="GC35" s="425"/>
      <c r="GD35" s="425"/>
      <c r="GE35" s="425"/>
      <c r="GF35" s="425"/>
      <c r="GG35" s="425"/>
      <c r="GH35" s="425"/>
      <c r="GI35" s="425"/>
      <c r="GJ35" s="425"/>
      <c r="GK35" s="425"/>
      <c r="GL35" s="425"/>
      <c r="GM35" s="425"/>
      <c r="GN35" s="425"/>
      <c r="GO35" s="425"/>
      <c r="GP35" s="425"/>
    </row>
  </sheetData>
  <mergeCells count="185">
    <mergeCell ref="G24:G25"/>
    <mergeCell ref="E20:E21"/>
    <mergeCell ref="F20:F21"/>
    <mergeCell ref="G20:G21"/>
    <mergeCell ref="E22:E23"/>
    <mergeCell ref="F22:F23"/>
    <mergeCell ref="G22:G23"/>
    <mergeCell ref="E24:E25"/>
    <mergeCell ref="F24:F25"/>
    <mergeCell ref="A24:A25"/>
    <mergeCell ref="B24:B25"/>
    <mergeCell ref="C24:C25"/>
    <mergeCell ref="D24:D25"/>
    <mergeCell ref="A22:A23"/>
    <mergeCell ref="B22:B23"/>
    <mergeCell ref="C22:C23"/>
    <mergeCell ref="D22:D23"/>
    <mergeCell ref="C20:C21"/>
    <mergeCell ref="D20:D21"/>
    <mergeCell ref="FO4:FO5"/>
    <mergeCell ref="FK4:FK5"/>
    <mergeCell ref="FL4:FL5"/>
    <mergeCell ref="FM4:FM5"/>
    <mergeCell ref="FN4:FN5"/>
    <mergeCell ref="FI4:FI5"/>
    <mergeCell ref="FJ4:FJ5"/>
    <mergeCell ref="FB4:FB5"/>
    <mergeCell ref="EX4:EX5"/>
    <mergeCell ref="EY4:EY5"/>
    <mergeCell ref="EZ4:EZ5"/>
    <mergeCell ref="FA4:FA5"/>
    <mergeCell ref="FC4:FC5"/>
    <mergeCell ref="FD4:FD5"/>
    <mergeCell ref="FE4:FE5"/>
    <mergeCell ref="FH4:FH5"/>
    <mergeCell ref="FF4:FF5"/>
    <mergeCell ref="FG4:FG5"/>
    <mergeCell ref="DM4:DR4"/>
    <mergeCell ref="CU4:CZ4"/>
    <mergeCell ref="DA4:DF4"/>
    <mergeCell ref="DG4:DL4"/>
    <mergeCell ref="DM5:DR5"/>
    <mergeCell ref="DA5:DF5"/>
    <mergeCell ref="DG5:DL5"/>
    <mergeCell ref="AA5:AF5"/>
    <mergeCell ref="U4:Z4"/>
    <mergeCell ref="EQ4:EV4"/>
    <mergeCell ref="DS5:DX5"/>
    <mergeCell ref="DY5:ED5"/>
    <mergeCell ref="EE5:EJ5"/>
    <mergeCell ref="EK5:EP5"/>
    <mergeCell ref="EQ5:EV5"/>
    <mergeCell ref="DS4:DX4"/>
    <mergeCell ref="DY4:ED4"/>
    <mergeCell ref="EE4:EJ4"/>
    <mergeCell ref="EK4:EP4"/>
    <mergeCell ref="CE2:CS2"/>
    <mergeCell ref="C4:C5"/>
    <mergeCell ref="BW4:CB4"/>
    <mergeCell ref="CC4:CH4"/>
    <mergeCell ref="CI4:CN4"/>
    <mergeCell ref="BW5:CB5"/>
    <mergeCell ref="BE4:BJ4"/>
    <mergeCell ref="BK4:BP4"/>
    <mergeCell ref="CO5:CT5"/>
    <mergeCell ref="AA4:AF4"/>
    <mergeCell ref="CO4:CT4"/>
    <mergeCell ref="BP2:CD2"/>
    <mergeCell ref="W2:AK2"/>
    <mergeCell ref="CT2:DH2"/>
    <mergeCell ref="BA2:BO2"/>
    <mergeCell ref="CU5:CZ5"/>
    <mergeCell ref="CC5:CH5"/>
    <mergeCell ref="CI5:CN5"/>
    <mergeCell ref="AL2:AZ2"/>
    <mergeCell ref="O4:T4"/>
    <mergeCell ref="AS5:AX5"/>
    <mergeCell ref="AY5:BD5"/>
    <mergeCell ref="BE5:BJ5"/>
    <mergeCell ref="U5:Z5"/>
    <mergeCell ref="G6:G7"/>
    <mergeCell ref="I4:N4"/>
    <mergeCell ref="AG4:AL4"/>
    <mergeCell ref="AM4:AR4"/>
    <mergeCell ref="AY4:BD4"/>
    <mergeCell ref="C8:C9"/>
    <mergeCell ref="D8:D9"/>
    <mergeCell ref="A8:A9"/>
    <mergeCell ref="B8:B9"/>
    <mergeCell ref="A4:A5"/>
    <mergeCell ref="D4:D5"/>
    <mergeCell ref="C6:C7"/>
    <mergeCell ref="D6:D7"/>
    <mergeCell ref="G8:G9"/>
    <mergeCell ref="A6:A7"/>
    <mergeCell ref="B6:B7"/>
    <mergeCell ref="B4:B5"/>
    <mergeCell ref="E8:E9"/>
    <mergeCell ref="F8:F9"/>
    <mergeCell ref="E6:E7"/>
    <mergeCell ref="F6:F7"/>
    <mergeCell ref="G16:G17"/>
    <mergeCell ref="A16:A17"/>
    <mergeCell ref="B16:B17"/>
    <mergeCell ref="C16:C17"/>
    <mergeCell ref="E12:E13"/>
    <mergeCell ref="F12:F13"/>
    <mergeCell ref="G12:G13"/>
    <mergeCell ref="A12:A13"/>
    <mergeCell ref="B12:B13"/>
    <mergeCell ref="C12:C13"/>
    <mergeCell ref="A14:A15"/>
    <mergeCell ref="B14:B15"/>
    <mergeCell ref="C14:C15"/>
    <mergeCell ref="D12:D13"/>
    <mergeCell ref="D14:D15"/>
    <mergeCell ref="EW4:EW5"/>
    <mergeCell ref="E14:E15"/>
    <mergeCell ref="F14:F15"/>
    <mergeCell ref="G14:G15"/>
    <mergeCell ref="G4:G5"/>
    <mergeCell ref="E16:E17"/>
    <mergeCell ref="F16:F17"/>
    <mergeCell ref="F26:F27"/>
    <mergeCell ref="F18:F19"/>
    <mergeCell ref="G18:G19"/>
    <mergeCell ref="G26:G27"/>
    <mergeCell ref="E10:E11"/>
    <mergeCell ref="F10:F11"/>
    <mergeCell ref="G10:G11"/>
    <mergeCell ref="E4:E5"/>
    <mergeCell ref="F4:F5"/>
    <mergeCell ref="I5:N5"/>
    <mergeCell ref="O5:T5"/>
    <mergeCell ref="BQ4:BV4"/>
    <mergeCell ref="BK5:BP5"/>
    <mergeCell ref="BQ5:BV5"/>
    <mergeCell ref="AG5:AL5"/>
    <mergeCell ref="AM5:AR5"/>
    <mergeCell ref="AS4:AX4"/>
    <mergeCell ref="A18:A19"/>
    <mergeCell ref="B18:B19"/>
    <mergeCell ref="C18:C19"/>
    <mergeCell ref="D18:D19"/>
    <mergeCell ref="E18:E19"/>
    <mergeCell ref="A20:A21"/>
    <mergeCell ref="B20:B21"/>
    <mergeCell ref="A10:A11"/>
    <mergeCell ref="B10:B11"/>
    <mergeCell ref="C10:C11"/>
    <mergeCell ref="D10:D11"/>
    <mergeCell ref="D16:D17"/>
    <mergeCell ref="E28:E29"/>
    <mergeCell ref="F28:F29"/>
    <mergeCell ref="C28:C29"/>
    <mergeCell ref="D28:D29"/>
    <mergeCell ref="G32:G33"/>
    <mergeCell ref="A26:A27"/>
    <mergeCell ref="B26:B27"/>
    <mergeCell ref="C26:C27"/>
    <mergeCell ref="D26:D27"/>
    <mergeCell ref="E26:E27"/>
    <mergeCell ref="G28:G29"/>
    <mergeCell ref="A30:A31"/>
    <mergeCell ref="B30:B31"/>
    <mergeCell ref="C30:C31"/>
    <mergeCell ref="D30:D31"/>
    <mergeCell ref="E30:E31"/>
    <mergeCell ref="F30:F31"/>
    <mergeCell ref="G30:G31"/>
    <mergeCell ref="A28:A29"/>
    <mergeCell ref="B28:B29"/>
    <mergeCell ref="A34:A35"/>
    <mergeCell ref="B34:B35"/>
    <mergeCell ref="C34:C35"/>
    <mergeCell ref="D34:D35"/>
    <mergeCell ref="E34:E35"/>
    <mergeCell ref="F34:F35"/>
    <mergeCell ref="G34:G35"/>
    <mergeCell ref="A32:A33"/>
    <mergeCell ref="B32:B33"/>
    <mergeCell ref="C32:C33"/>
    <mergeCell ref="D32:D33"/>
    <mergeCell ref="E32:E33"/>
    <mergeCell ref="F32:F33"/>
  </mergeCells>
  <phoneticPr fontId="2"/>
  <pageMargins left="0.75" right="0.75" top="1" bottom="1" header="0.51200000000000001" footer="0.51200000000000001"/>
  <pageSetup paperSize="9"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H70"/>
  <sheetViews>
    <sheetView topLeftCell="L1" workbookViewId="0">
      <selection activeCell="L1" sqref="L1"/>
    </sheetView>
  </sheetViews>
  <sheetFormatPr defaultColWidth="9" defaultRowHeight="13.5"/>
  <cols>
    <col min="1" max="1" width="0" style="1" hidden="1" customWidth="1"/>
    <col min="2" max="2" width="11.125" style="1" hidden="1" customWidth="1"/>
    <col min="3" max="3" width="18" style="1" hidden="1" customWidth="1"/>
    <col min="4" max="5" width="0" style="1" hidden="1" customWidth="1"/>
    <col min="6" max="6" width="14.5" style="1" hidden="1" customWidth="1"/>
    <col min="7" max="7" width="13.25" style="1" hidden="1" customWidth="1"/>
    <col min="8" max="8" width="9" style="1" hidden="1" customWidth="1"/>
    <col min="9" max="9" width="20.875" style="1" hidden="1" customWidth="1"/>
    <col min="10" max="10" width="0" style="1" hidden="1" customWidth="1"/>
    <col min="11" max="11" width="22.5" style="1" hidden="1" customWidth="1"/>
    <col min="12" max="12" width="9" style="1"/>
    <col min="13" max="15" width="0" style="1" hidden="1" customWidth="1"/>
    <col min="16" max="16" width="21" style="1" customWidth="1"/>
    <col min="17" max="17" width="29.875" style="1" hidden="1" customWidth="1"/>
    <col min="18" max="18" width="9" style="1"/>
    <col min="19" max="19" width="12.25" style="1" customWidth="1"/>
    <col min="20" max="20" width="9" style="1"/>
    <col min="21" max="21" width="0" style="1" hidden="1" customWidth="1"/>
    <col min="22" max="22" width="14.5" style="1" customWidth="1"/>
    <col min="23" max="24" width="9" style="1"/>
    <col min="25" max="26" width="0" style="1" hidden="1" customWidth="1"/>
    <col min="27" max="32" width="9" style="1"/>
    <col min="33" max="33" width="23.5" style="1" customWidth="1"/>
    <col min="34" max="34" width="14.625" style="1" customWidth="1"/>
    <col min="35" max="16384" width="9" style="1"/>
  </cols>
  <sheetData>
    <row r="2" spans="2:34">
      <c r="V2" s="564" t="s">
        <v>685</v>
      </c>
    </row>
    <row r="3" spans="2:34" ht="14.25" thickBot="1">
      <c r="V3" s="564" t="s">
        <v>684</v>
      </c>
    </row>
    <row r="4" spans="2:34">
      <c r="B4" s="36" t="s">
        <v>116</v>
      </c>
      <c r="C4" s="40" t="s">
        <v>119</v>
      </c>
      <c r="D4" s="13"/>
      <c r="E4" s="13"/>
      <c r="F4" s="13"/>
      <c r="G4" s="14"/>
      <c r="I4" s="12" t="s">
        <v>222</v>
      </c>
      <c r="J4" s="31"/>
      <c r="K4" s="14" t="s">
        <v>223</v>
      </c>
      <c r="M4" s="12" t="s">
        <v>228</v>
      </c>
      <c r="N4" s="14"/>
      <c r="P4" s="36" t="s">
        <v>232</v>
      </c>
      <c r="Q4" s="149" t="s">
        <v>202</v>
      </c>
      <c r="S4" s="36"/>
      <c r="V4" s="1467" t="s">
        <v>468</v>
      </c>
      <c r="W4" s="1468"/>
      <c r="X4" s="1469"/>
      <c r="AB4" s="1467" t="s">
        <v>469</v>
      </c>
      <c r="AC4" s="1468"/>
      <c r="AD4" s="1468"/>
      <c r="AE4" s="1469"/>
      <c r="AG4" s="12" t="s">
        <v>424</v>
      </c>
      <c r="AH4" s="361">
        <v>1</v>
      </c>
    </row>
    <row r="5" spans="2:34" ht="14.25" thickBot="1">
      <c r="B5" s="37" t="str">
        <f>C4</f>
        <v>本社時間</v>
      </c>
      <c r="C5" s="41" t="s">
        <v>0</v>
      </c>
      <c r="D5" s="11" t="s">
        <v>20</v>
      </c>
      <c r="E5" s="11"/>
      <c r="F5" s="11" t="s">
        <v>3</v>
      </c>
      <c r="G5" s="16" t="s">
        <v>4</v>
      </c>
      <c r="I5" s="151" t="s">
        <v>361</v>
      </c>
      <c r="J5" s="32"/>
      <c r="K5" s="16" t="s">
        <v>120</v>
      </c>
      <c r="M5" s="15" t="s">
        <v>31</v>
      </c>
      <c r="N5" s="16" t="s">
        <v>5</v>
      </c>
      <c r="P5" s="37" t="s">
        <v>427</v>
      </c>
      <c r="Q5" s="341"/>
      <c r="S5" s="37"/>
      <c r="V5" s="15" t="s">
        <v>266</v>
      </c>
      <c r="W5" s="11" t="s">
        <v>31</v>
      </c>
      <c r="X5" s="16" t="s">
        <v>5</v>
      </c>
      <c r="AB5" s="15" t="s">
        <v>266</v>
      </c>
      <c r="AC5" s="11" t="s">
        <v>56</v>
      </c>
      <c r="AD5" s="11" t="s">
        <v>57</v>
      </c>
      <c r="AE5" s="16" t="s">
        <v>58</v>
      </c>
      <c r="AG5" s="17" t="s">
        <v>425</v>
      </c>
      <c r="AH5" s="19" t="s">
        <v>793</v>
      </c>
    </row>
    <row r="6" spans="2:34">
      <c r="B6" s="37" t="str">
        <f>C14</f>
        <v>８:５０分開始</v>
      </c>
      <c r="C6" s="41" t="s">
        <v>1</v>
      </c>
      <c r="D6" s="11" t="s">
        <v>21</v>
      </c>
      <c r="E6" s="11"/>
      <c r="F6" s="11" t="s">
        <v>23</v>
      </c>
      <c r="G6" s="16" t="s">
        <v>28</v>
      </c>
      <c r="I6" s="15" t="s">
        <v>362</v>
      </c>
      <c r="J6" s="32"/>
      <c r="K6" s="16" t="s">
        <v>59</v>
      </c>
      <c r="M6" s="34">
        <v>1</v>
      </c>
      <c r="N6" s="35">
        <v>1</v>
      </c>
      <c r="P6" s="562" t="s">
        <v>409</v>
      </c>
      <c r="Q6" s="163"/>
      <c r="S6" s="37"/>
      <c r="V6" s="34" t="str">
        <f>IF(YEAR(計算シート!H5)&gt;=1949,"元旦","")</f>
        <v>元旦</v>
      </c>
      <c r="W6" s="20">
        <f>IF(YEAR(計算シート!H5)&gt;=1949,1,"")</f>
        <v>1</v>
      </c>
      <c r="X6" s="35">
        <f>IF(YEAR(計算シート!H5)&gt;=1949,1,"")</f>
        <v>1</v>
      </c>
      <c r="AB6" s="34" t="str">
        <f>IF(YEAR(計算シート!H5)&gt;=2000,"成人の日","")</f>
        <v>成人の日</v>
      </c>
      <c r="AC6" s="20">
        <f>IF(YEAR(計算シート!H5)&gt;=2000,1,"")</f>
        <v>1</v>
      </c>
      <c r="AD6" s="20">
        <f>IF(YEAR(計算シート!H5)&gt;=2000,2,"")</f>
        <v>2</v>
      </c>
      <c r="AE6" s="39" t="str">
        <f>IF(YEAR(計算シート!H5)&gt;=2000,"月","")</f>
        <v>月</v>
      </c>
    </row>
    <row r="7" spans="2:34">
      <c r="B7" s="37" t="str">
        <f>C24</f>
        <v>９:２０分開始</v>
      </c>
      <c r="C7" s="41" t="s">
        <v>2</v>
      </c>
      <c r="D7" s="11" t="s">
        <v>22</v>
      </c>
      <c r="E7" s="11" t="s">
        <v>32</v>
      </c>
      <c r="F7" s="11" t="s">
        <v>24</v>
      </c>
      <c r="G7" s="16" t="s">
        <v>21</v>
      </c>
      <c r="H7" s="1" t="s">
        <v>32</v>
      </c>
      <c r="I7" s="15" t="s">
        <v>363</v>
      </c>
      <c r="J7" s="32" t="s">
        <v>32</v>
      </c>
      <c r="K7" s="16" t="s">
        <v>60</v>
      </c>
      <c r="M7" s="34" t="str">
        <f>IF(YEAR(計算シート!H5)&lt;2000,1,"")</f>
        <v/>
      </c>
      <c r="N7" s="35" t="str">
        <f>IF(YEAR(計算シート!H5)&lt;2000,15,"")</f>
        <v/>
      </c>
      <c r="P7" s="562" t="s">
        <v>410</v>
      </c>
      <c r="Q7" s="341"/>
      <c r="S7" s="37"/>
      <c r="V7" s="156" t="str">
        <f>IF(AND(YEAR(計算シート!H5)&lt;2000,YEAR(計算シート!H5)&gt;=1949),"成人の日","")</f>
        <v/>
      </c>
      <c r="W7" s="20" t="str">
        <f>IF(AND(YEAR(計算シート!H5)&lt;2000,YEAR(計算シート!H5)&gt;=1949),1,"")</f>
        <v/>
      </c>
      <c r="X7" s="160" t="str">
        <f>IF(AND(YEAR(計算シート!H5)&lt;2000,YEAR(計算シート!H5)&gt;=1949),15,"")</f>
        <v/>
      </c>
      <c r="AB7" s="801"/>
      <c r="AC7" s="802"/>
      <c r="AD7" s="802"/>
      <c r="AE7" s="803"/>
      <c r="AG7" s="11" t="s">
        <v>446</v>
      </c>
      <c r="AH7" s="20">
        <f>INT(20.8431 + 0.242194 * (YEAR(計算シート!H5) - 1980) - INT((YEAR(計算シート!H5) - 1980) / 4))</f>
        <v>20</v>
      </c>
    </row>
    <row r="8" spans="2:34">
      <c r="B8" s="37" t="str">
        <f>C34</f>
        <v>午前半休用</v>
      </c>
      <c r="C8" s="41" t="s">
        <v>47</v>
      </c>
      <c r="D8" s="11" t="s">
        <v>24</v>
      </c>
      <c r="E8" s="11"/>
      <c r="F8" s="11" t="s">
        <v>25</v>
      </c>
      <c r="G8" s="16" t="s">
        <v>22</v>
      </c>
      <c r="I8" s="15" t="s">
        <v>365</v>
      </c>
      <c r="J8" s="32"/>
      <c r="K8" s="16" t="s">
        <v>61</v>
      </c>
      <c r="M8" s="34">
        <v>2</v>
      </c>
      <c r="N8" s="35">
        <v>11</v>
      </c>
      <c r="P8" s="562" t="s">
        <v>34</v>
      </c>
      <c r="Q8" s="341"/>
      <c r="S8" s="37"/>
      <c r="V8" s="34" t="str">
        <f>IF(YEAR(計算シート!H5)&gt;=1967,"建国記念日","")</f>
        <v>建国記念日</v>
      </c>
      <c r="W8" s="20">
        <f>IF(YEAR(計算シート!H5)&gt;=1967,2,"")</f>
        <v>2</v>
      </c>
      <c r="X8" s="35">
        <f>IF(YEAR(計算シート!H5)&gt;=1967,11,"")</f>
        <v>11</v>
      </c>
      <c r="Y8" s="155" t="str">
        <f>IF(YEAR(計算シート!K5)&gt;=1967,"建国記念日","")</f>
        <v/>
      </c>
      <c r="Z8" s="34" t="str">
        <f>IF(YEAR(計算シート!L5)&gt;=1967,"建国記念日","")</f>
        <v/>
      </c>
      <c r="AB8" s="34" t="str">
        <f>IF(YEAR(計算シート!H5)&gt;=2003,"敬老の日","")</f>
        <v>敬老の日</v>
      </c>
      <c r="AC8" s="20">
        <f>IF(YEAR(計算シート!H5)&gt;=2003,9,"")</f>
        <v>9</v>
      </c>
      <c r="AD8" s="20">
        <f>IF(YEAR(計算シート!H5)&gt;=2003,3,"")</f>
        <v>3</v>
      </c>
      <c r="AE8" s="39" t="str">
        <f>IF(YEAR(計算シート!H5)&gt;=2003,"月","")</f>
        <v>月</v>
      </c>
      <c r="AG8" s="11" t="s">
        <v>447</v>
      </c>
      <c r="AH8" s="20">
        <f>INT(23.2488 + 0.242194 * (YEAR(計算シート!H5) - 1980) - INT((YEAR(計算シート!H5) - 1980) / 4))</f>
        <v>23</v>
      </c>
    </row>
    <row r="9" spans="2:34">
      <c r="B9" s="37" t="str">
        <f>C44</f>
        <v>午後半休用</v>
      </c>
      <c r="C9" s="41" t="s">
        <v>49</v>
      </c>
      <c r="D9" s="11" t="s">
        <v>50</v>
      </c>
      <c r="E9" s="11"/>
      <c r="F9" s="11" t="s">
        <v>26</v>
      </c>
      <c r="G9" s="16" t="s">
        <v>29</v>
      </c>
      <c r="I9" s="15" t="s">
        <v>366</v>
      </c>
      <c r="J9" s="32"/>
      <c r="K9" s="16" t="s">
        <v>62</v>
      </c>
      <c r="M9" s="34">
        <v>3</v>
      </c>
      <c r="N9" s="35">
        <f>IF(OR(YEAR(計算シート!H5)&lt;1980,YEAR(計算シート!H5)&gt;=2100),21,INT(20.8431+0.242194*(YEAR(計算シート!H5)-1980)-INT((YEAR(計算シート!H5)-1980)/4)))</f>
        <v>20</v>
      </c>
      <c r="P9" s="562" t="s">
        <v>33</v>
      </c>
      <c r="Q9" s="341"/>
      <c r="S9" s="37"/>
      <c r="V9" s="34" t="str">
        <f>IF(YEAR(計算シート!H5)&gt;=1949,"春分の日","")</f>
        <v>春分の日</v>
      </c>
      <c r="W9" s="20">
        <f>IF(YEAR(計算シート!H5)&gt;=1949,3,"")</f>
        <v>3</v>
      </c>
      <c r="X9" s="35">
        <f>IF(YEAR(計算シート!H5)&gt;=1949,IF(AND(YEAR(計算シート!H5)&gt;=1980,YEAR(計算シート!H5)&lt;2100),AH7,21),"")</f>
        <v>20</v>
      </c>
      <c r="AB9" s="801"/>
      <c r="AC9" s="802"/>
      <c r="AD9" s="802"/>
      <c r="AE9" s="803"/>
    </row>
    <row r="10" spans="2:34" ht="14.25" thickBot="1">
      <c r="B10" s="38" t="str">
        <f>C54</f>
        <v>予備時間３</v>
      </c>
      <c r="C10" s="41" t="s">
        <v>51</v>
      </c>
      <c r="D10" s="11">
        <f>MINUTE(D9)+HOUR(D9)*60</f>
        <v>465</v>
      </c>
      <c r="E10" s="11"/>
      <c r="F10" s="11" t="s">
        <v>27</v>
      </c>
      <c r="G10" s="16" t="s">
        <v>30</v>
      </c>
      <c r="I10" s="15" t="s">
        <v>367</v>
      </c>
      <c r="J10" s="32"/>
      <c r="K10" s="16" t="s">
        <v>63</v>
      </c>
      <c r="M10" s="34">
        <v>4</v>
      </c>
      <c r="N10" s="35">
        <v>29</v>
      </c>
      <c r="P10" s="37" t="s">
        <v>35</v>
      </c>
      <c r="Q10" s="341"/>
      <c r="S10" s="37"/>
      <c r="V10" s="34" t="str">
        <f>IF(YEAR(計算シート!H5)&gt;=1949,IF(YEAR(計算シート!H5)&gt;=2007,"昭和の日",IF(YEAR(計算シート!H5)&gt;=1989,"みどりの日","天皇誕生日")))</f>
        <v>昭和の日</v>
      </c>
      <c r="W10" s="20">
        <f>IF(YEAR(計算シート!H5)&gt;=1949,4,"")</f>
        <v>4</v>
      </c>
      <c r="X10" s="35">
        <f>IF(YEAR(計算シート!H5)&gt;=1949,29,"")</f>
        <v>29</v>
      </c>
      <c r="AB10" s="801"/>
      <c r="AC10" s="802"/>
      <c r="AD10" s="802"/>
      <c r="AE10" s="803"/>
      <c r="AG10" s="813" t="s">
        <v>729</v>
      </c>
      <c r="AH10" s="813" t="s">
        <v>663</v>
      </c>
    </row>
    <row r="11" spans="2:34">
      <c r="C11" s="15"/>
      <c r="D11" s="11"/>
      <c r="E11" s="11"/>
      <c r="F11" s="11"/>
      <c r="G11" s="16"/>
      <c r="I11" s="15" t="s">
        <v>368</v>
      </c>
      <c r="J11" s="32"/>
      <c r="K11" s="16" t="s">
        <v>64</v>
      </c>
      <c r="M11" s="34">
        <v>5</v>
      </c>
      <c r="N11" s="35">
        <v>3</v>
      </c>
      <c r="P11" s="37" t="s">
        <v>36</v>
      </c>
      <c r="Q11" s="341"/>
      <c r="S11" s="37"/>
      <c r="V11" s="34" t="str">
        <f>IF(YEAR(計算シート!H5)&gt;=1949,"憲法記念日","")</f>
        <v>憲法記念日</v>
      </c>
      <c r="W11" s="20">
        <f>IF(YEAR(計算シート!H5)&gt;=1949,5,"")</f>
        <v>5</v>
      </c>
      <c r="X11" s="35">
        <f>IF(YEAR(計算シート!H5)&gt;=1949,3,"")</f>
        <v>3</v>
      </c>
      <c r="AB11" s="15"/>
      <c r="AC11" s="57"/>
      <c r="AD11" s="57"/>
      <c r="AE11" s="55"/>
      <c r="AG11" s="813" t="s">
        <v>794</v>
      </c>
      <c r="AH11" s="813" t="s">
        <v>795</v>
      </c>
    </row>
    <row r="12" spans="2:34">
      <c r="C12" s="15"/>
      <c r="D12" s="11"/>
      <c r="E12" s="11"/>
      <c r="F12" s="11"/>
      <c r="G12" s="16"/>
      <c r="I12" s="15" t="s">
        <v>364</v>
      </c>
      <c r="J12" s="32"/>
      <c r="K12" s="16" t="s">
        <v>65</v>
      </c>
      <c r="M12" s="34">
        <v>5</v>
      </c>
      <c r="N12" s="35">
        <v>4</v>
      </c>
      <c r="P12" s="37" t="s">
        <v>37</v>
      </c>
      <c r="Q12" s="341"/>
      <c r="S12" s="37"/>
      <c r="V12" s="34" t="str">
        <f>IF(YEAR(計算シート!H5)&gt;=1986,"国民の休日","")</f>
        <v>国民の休日</v>
      </c>
      <c r="W12" s="20">
        <f>IF(YEAR(計算シート!H5)&gt;=1986,5,"")</f>
        <v>5</v>
      </c>
      <c r="X12" s="35">
        <f>IF(YEAR(計算シート!H5)&gt;=1986,4,"")</f>
        <v>4</v>
      </c>
      <c r="AB12" s="15"/>
      <c r="AC12" s="57"/>
      <c r="AD12" s="57"/>
      <c r="AE12" s="55"/>
      <c r="AG12" s="813" t="s">
        <v>728</v>
      </c>
      <c r="AH12" s="813" t="s">
        <v>796</v>
      </c>
    </row>
    <row r="13" spans="2:34" ht="14.25" thickBot="1">
      <c r="C13" s="17"/>
      <c r="D13" s="18"/>
      <c r="E13" s="18"/>
      <c r="F13" s="18"/>
      <c r="G13" s="19"/>
      <c r="I13" s="15" t="s">
        <v>369</v>
      </c>
      <c r="J13" s="32"/>
      <c r="K13" s="16" t="s">
        <v>66</v>
      </c>
      <c r="M13" s="34">
        <v>5</v>
      </c>
      <c r="N13" s="35">
        <v>5</v>
      </c>
      <c r="P13" s="37" t="s">
        <v>38</v>
      </c>
      <c r="Q13" s="341"/>
      <c r="S13" s="37"/>
      <c r="V13" s="34" t="str">
        <f>IF(YEAR(計算シート!H5)&gt;=1949,"こどもの日","")</f>
        <v>こどもの日</v>
      </c>
      <c r="W13" s="20">
        <f>IF(YEAR(計算シート!H5)&gt;=1949,5,"")</f>
        <v>5</v>
      </c>
      <c r="X13" s="35">
        <f>IF(YEAR(計算シート!H5)&gt;=1949,5,"")</f>
        <v>5</v>
      </c>
      <c r="AB13" s="15"/>
      <c r="AC13" s="57"/>
      <c r="AD13" s="57"/>
      <c r="AE13" s="55"/>
    </row>
    <row r="14" spans="2:34">
      <c r="C14" s="12" t="s">
        <v>129</v>
      </c>
      <c r="D14" s="13"/>
      <c r="E14" s="13"/>
      <c r="F14" s="13"/>
      <c r="G14" s="14"/>
      <c r="I14" s="15" t="s">
        <v>370</v>
      </c>
      <c r="J14" s="32"/>
      <c r="K14" s="16" t="s">
        <v>67</v>
      </c>
      <c r="M14" s="34">
        <v>7</v>
      </c>
      <c r="N14" s="35">
        <v>20</v>
      </c>
      <c r="P14" s="37" t="s">
        <v>45</v>
      </c>
      <c r="Q14" s="341"/>
      <c r="S14" s="37"/>
      <c r="V14" s="34" t="s">
        <v>800</v>
      </c>
      <c r="W14" s="20">
        <v>5</v>
      </c>
      <c r="X14" s="35">
        <v>6</v>
      </c>
      <c r="AB14" s="15"/>
      <c r="AC14" s="57"/>
      <c r="AD14" s="57"/>
      <c r="AE14" s="55"/>
    </row>
    <row r="15" spans="2:34">
      <c r="C15" s="15" t="s">
        <v>0</v>
      </c>
      <c r="D15" s="11" t="s">
        <v>120</v>
      </c>
      <c r="E15" s="11"/>
      <c r="F15" s="11" t="s">
        <v>3</v>
      </c>
      <c r="G15" s="16" t="s">
        <v>4</v>
      </c>
      <c r="I15" s="15" t="s">
        <v>371</v>
      </c>
      <c r="J15" s="32"/>
      <c r="K15" s="16" t="s">
        <v>68</v>
      </c>
      <c r="M15" s="34">
        <v>9</v>
      </c>
      <c r="N15" s="35">
        <v>15</v>
      </c>
      <c r="P15" s="37" t="s">
        <v>612</v>
      </c>
      <c r="Q15" s="341"/>
      <c r="S15" s="37"/>
      <c r="V15" s="804" t="str">
        <f>IF(YEAR(計算シート!H5)&gt;=2000,"スポーツの日","")</f>
        <v>スポーツの日</v>
      </c>
      <c r="W15" s="805">
        <f>IF(YEAR(計算シート!H5)&gt;=2000,7,"")</f>
        <v>7</v>
      </c>
      <c r="X15" s="806">
        <f>IF(YEAR(計算シート!H5)&gt;=2000,24,"")</f>
        <v>24</v>
      </c>
      <c r="AB15" s="15"/>
      <c r="AC15" s="57"/>
      <c r="AD15" s="57"/>
      <c r="AE15" s="55"/>
    </row>
    <row r="16" spans="2:34">
      <c r="C16" s="15" t="s">
        <v>1</v>
      </c>
      <c r="D16" s="11" t="s">
        <v>121</v>
      </c>
      <c r="E16" s="11"/>
      <c r="F16" s="11" t="s">
        <v>117</v>
      </c>
      <c r="G16" s="16" t="s">
        <v>118</v>
      </c>
      <c r="I16" s="15" t="s">
        <v>372</v>
      </c>
      <c r="J16" s="32"/>
      <c r="K16" s="16" t="s">
        <v>69</v>
      </c>
      <c r="M16" s="34">
        <v>9</v>
      </c>
      <c r="N16" s="35">
        <f>IF(OR(YEAR(計算シート!H5)&lt;1980,YEAR(計算シート!H5)&gt;=2100),23,INT(23.2488 + 0.242194 * (YEAR(計算シート!H5) - 1980) - INT((YEAR(計算シート!H5) - 1980) / 4)))</f>
        <v>23</v>
      </c>
      <c r="P16" s="37" t="s">
        <v>613</v>
      </c>
      <c r="Q16" s="341"/>
      <c r="S16" s="37"/>
      <c r="V16" s="804" t="str">
        <f>IF(YEAR(計算シート!H5)&gt;=2003,"海の日","")</f>
        <v>海の日</v>
      </c>
      <c r="W16" s="805">
        <f>IF(YEAR(計算シート!H5)&gt;=2003,7,"")</f>
        <v>7</v>
      </c>
      <c r="X16" s="806">
        <f>IF(YEAR(計算シート!H5)&gt;=2003,23,"")</f>
        <v>23</v>
      </c>
      <c r="AB16" s="15"/>
      <c r="AC16" s="154"/>
      <c r="AD16" s="154"/>
      <c r="AE16" s="55"/>
    </row>
    <row r="17" spans="3:31">
      <c r="C17" s="15" t="s">
        <v>2</v>
      </c>
      <c r="D17" s="11" t="s">
        <v>122</v>
      </c>
      <c r="E17" s="11" t="s">
        <v>32</v>
      </c>
      <c r="F17" s="11" t="s">
        <v>24</v>
      </c>
      <c r="G17" s="16" t="s">
        <v>21</v>
      </c>
      <c r="I17" s="15" t="s">
        <v>373</v>
      </c>
      <c r="J17" s="32"/>
      <c r="K17" s="16" t="s">
        <v>70</v>
      </c>
      <c r="M17" s="34" t="str">
        <f>IF(YEAR(計算シート!H5)&lt;2000,10,"")</f>
        <v/>
      </c>
      <c r="N17" s="35" t="str">
        <f>IF(YEAR(計算シート!H5)&lt;2000,10,"")</f>
        <v/>
      </c>
      <c r="P17" s="37"/>
      <c r="Q17" s="341"/>
      <c r="S17" s="37"/>
      <c r="V17" s="804" t="str">
        <f>IF(YEAR(計算シート!H5)&gt;=2016,"山の日","")</f>
        <v>山の日</v>
      </c>
      <c r="W17" s="805">
        <f>IF(YEAR(計算シート!H5)&gt;=2016,8,"")</f>
        <v>8</v>
      </c>
      <c r="X17" s="806">
        <f>IF(YEAR(計算シート!H5)&gt;=2016,10,"")</f>
        <v>10</v>
      </c>
      <c r="AB17" s="15"/>
      <c r="AC17" s="11"/>
      <c r="AD17" s="11"/>
      <c r="AE17" s="55"/>
    </row>
    <row r="18" spans="3:31">
      <c r="C18" s="15" t="s">
        <v>47</v>
      </c>
      <c r="D18" s="11" t="s">
        <v>121</v>
      </c>
      <c r="E18" s="11"/>
      <c r="F18" s="11" t="s">
        <v>25</v>
      </c>
      <c r="G18" s="16" t="s">
        <v>22</v>
      </c>
      <c r="I18" s="15" t="s">
        <v>374</v>
      </c>
      <c r="J18" s="32"/>
      <c r="K18" s="16" t="s">
        <v>71</v>
      </c>
      <c r="M18" s="34">
        <v>11</v>
      </c>
      <c r="N18" s="35">
        <v>3</v>
      </c>
      <c r="P18" s="37"/>
      <c r="Q18" s="341"/>
      <c r="S18" s="37"/>
      <c r="V18" s="34" t="str">
        <f>IF(YEAR(計算シート!H5)&gt;=1949,"秋分の日","")</f>
        <v>秋分の日</v>
      </c>
      <c r="W18" s="20">
        <f>IF(YEAR(計算シート!H5)&gt;=1949,9,"")</f>
        <v>9</v>
      </c>
      <c r="X18" s="158">
        <f>IF(YEAR(計算シート!H5)&gt;=1949,IF(AND(YEAR(計算シート!H5)&gt;=1980,YEAR(計算シート!H5)&lt;2100),AH8,23),"")</f>
        <v>23</v>
      </c>
      <c r="AB18" s="15"/>
      <c r="AC18" s="11"/>
      <c r="AD18" s="11"/>
      <c r="AE18" s="55"/>
    </row>
    <row r="19" spans="3:31">
      <c r="C19" s="15" t="s">
        <v>49</v>
      </c>
      <c r="D19" s="11" t="s">
        <v>50</v>
      </c>
      <c r="E19" s="11"/>
      <c r="F19" s="11" t="s">
        <v>26</v>
      </c>
      <c r="G19" s="16" t="s">
        <v>29</v>
      </c>
      <c r="I19" s="15" t="s">
        <v>375</v>
      </c>
      <c r="J19" s="32"/>
      <c r="K19" s="16" t="s">
        <v>72</v>
      </c>
      <c r="M19" s="34">
        <v>11</v>
      </c>
      <c r="N19" s="35">
        <v>23</v>
      </c>
      <c r="P19" s="37"/>
      <c r="Q19" s="341"/>
      <c r="S19" s="37"/>
      <c r="V19" s="156" t="str">
        <f>IF(AND(YEAR(計算シート!H5)&lt;2000,YEAR(計算シート!H5)&gt;=1949),"体育の日","")</f>
        <v/>
      </c>
      <c r="W19" s="157" t="str">
        <f>IF(AND(YEAR(計算シート!I5)&lt;2000,YEAR(計算シート!I5)&gt;=1949),10,"")</f>
        <v/>
      </c>
      <c r="X19" s="35" t="str">
        <f>IF(AND(YEAR(計算シート!J5)&lt;2000,YEAR(計算シート!J5)&gt;=1949),10,"")</f>
        <v/>
      </c>
      <c r="AB19" s="15"/>
      <c r="AC19" s="11"/>
      <c r="AD19" s="11"/>
      <c r="AE19" s="55"/>
    </row>
    <row r="20" spans="3:31">
      <c r="C20" s="15" t="s">
        <v>51</v>
      </c>
      <c r="D20" s="11">
        <f>MINUTE(D19)+HOUR(D19)*60</f>
        <v>465</v>
      </c>
      <c r="E20" s="11"/>
      <c r="F20" s="11" t="s">
        <v>27</v>
      </c>
      <c r="G20" s="16" t="s">
        <v>30</v>
      </c>
      <c r="I20" s="15" t="s">
        <v>376</v>
      </c>
      <c r="J20" s="32"/>
      <c r="K20" s="16" t="s">
        <v>73</v>
      </c>
      <c r="M20" s="34">
        <v>12</v>
      </c>
      <c r="N20" s="35">
        <v>23</v>
      </c>
      <c r="P20" s="37"/>
      <c r="Q20" s="341"/>
      <c r="S20" s="37"/>
      <c r="V20" s="34" t="str">
        <f>IF(YEAR(計算シート!H5)&gt;=1949,"文化の日","")</f>
        <v>文化の日</v>
      </c>
      <c r="W20" s="20">
        <f>IF(YEAR(計算シート!H5)&gt;=1949,11,"")</f>
        <v>11</v>
      </c>
      <c r="X20" s="159">
        <f>IF(YEAR(計算シート!H5)&gt;=1949,3,"")</f>
        <v>3</v>
      </c>
      <c r="Y20" s="155" t="str">
        <f>IF(YEAR(計算シート!K5)&gt;=1989,"天皇誕生日の日","")</f>
        <v/>
      </c>
      <c r="Z20" s="34" t="str">
        <f>IF(YEAR(計算シート!L5)&gt;=1989,"天皇誕生日の日","")</f>
        <v/>
      </c>
      <c r="AB20" s="15"/>
      <c r="AC20" s="11"/>
      <c r="AD20" s="11"/>
      <c r="AE20" s="55"/>
    </row>
    <row r="21" spans="3:31">
      <c r="C21" s="15"/>
      <c r="D21" s="11"/>
      <c r="E21" s="11"/>
      <c r="F21" s="11"/>
      <c r="G21" s="16"/>
      <c r="I21" s="15" t="s">
        <v>377</v>
      </c>
      <c r="J21" s="32"/>
      <c r="K21" s="16" t="s">
        <v>74</v>
      </c>
      <c r="M21" s="34"/>
      <c r="N21" s="35"/>
      <c r="P21" s="37"/>
      <c r="Q21" s="341"/>
      <c r="S21" s="37"/>
      <c r="V21" s="34" t="str">
        <f>IF(YEAR(計算シート!H5)&gt;=1949,"勤労感謝の日","")</f>
        <v>勤労感謝の日</v>
      </c>
      <c r="W21" s="20">
        <f>IF(YEAR(計算シート!H5)&gt;=1949,11,"")</f>
        <v>11</v>
      </c>
      <c r="X21" s="35">
        <f>IF(YEAR(計算シート!H5)&gt;=1949,23,"")</f>
        <v>23</v>
      </c>
      <c r="AB21" s="15"/>
      <c r="AC21" s="11"/>
      <c r="AD21" s="11"/>
      <c r="AE21" s="55"/>
    </row>
    <row r="22" spans="3:31">
      <c r="C22" s="15"/>
      <c r="D22" s="11"/>
      <c r="E22" s="11"/>
      <c r="F22" s="11"/>
      <c r="G22" s="16"/>
      <c r="I22" s="15"/>
      <c r="J22" s="32"/>
      <c r="K22" s="16" t="s">
        <v>75</v>
      </c>
      <c r="M22" s="34"/>
      <c r="N22" s="35"/>
      <c r="P22" s="37"/>
      <c r="Q22" s="341"/>
      <c r="S22" s="37"/>
      <c r="V22" s="804" t="str">
        <f>IF(YEAR(計算シート!H5)&gt;=1989,"天皇誕生日","")</f>
        <v>天皇誕生日</v>
      </c>
      <c r="W22" s="805">
        <f>IF(YEAR(計算シート!H5)&gt;=2020,2,"")</f>
        <v>2</v>
      </c>
      <c r="X22" s="806">
        <f>IF(YEAR(計算シート!H5)&gt;=2020,23,"")</f>
        <v>23</v>
      </c>
      <c r="AB22" s="15"/>
      <c r="AC22" s="11"/>
      <c r="AD22" s="11"/>
      <c r="AE22" s="55"/>
    </row>
    <row r="23" spans="3:31" ht="14.25" thickBot="1">
      <c r="C23" s="17"/>
      <c r="D23" s="18"/>
      <c r="E23" s="18"/>
      <c r="F23" s="18"/>
      <c r="G23" s="19"/>
      <c r="I23" s="15"/>
      <c r="J23" s="32"/>
      <c r="K23" s="16" t="s">
        <v>76</v>
      </c>
      <c r="M23" s="144"/>
      <c r="N23" s="145"/>
      <c r="P23" s="37"/>
      <c r="Q23" s="342"/>
      <c r="S23" s="38"/>
      <c r="V23" s="34" t="s">
        <v>467</v>
      </c>
      <c r="W23" s="20">
        <f>IF(YEAR(計算シート!H5)&gt;=1972,12,"")</f>
        <v>12</v>
      </c>
      <c r="X23" s="35">
        <f>IF(YEAR(計算シート!H5)&gt;=1972,29,"")</f>
        <v>29</v>
      </c>
      <c r="AB23" s="15"/>
      <c r="AC23" s="11"/>
      <c r="AD23" s="11"/>
      <c r="AE23" s="55"/>
    </row>
    <row r="24" spans="3:31">
      <c r="C24" s="12" t="s">
        <v>130</v>
      </c>
      <c r="D24" s="13"/>
      <c r="E24" s="13"/>
      <c r="F24" s="13"/>
      <c r="G24" s="14"/>
      <c r="I24" s="15"/>
      <c r="J24" s="32"/>
      <c r="K24" s="16" t="s">
        <v>77</v>
      </c>
      <c r="P24" s="37"/>
      <c r="V24" s="34" t="s">
        <v>467</v>
      </c>
      <c r="W24" s="20">
        <f>IF(YEAR(計算シート!H5)&gt;=1972,12,"")</f>
        <v>12</v>
      </c>
      <c r="X24" s="35">
        <f>IF(YEAR(計算シート!H5)&gt;=1972,30,"")</f>
        <v>30</v>
      </c>
      <c r="AB24" s="15"/>
      <c r="AC24" s="11"/>
      <c r="AD24" s="11"/>
      <c r="AE24" s="55"/>
    </row>
    <row r="25" spans="3:31" ht="14.25" thickBot="1">
      <c r="C25" s="15" t="s">
        <v>0</v>
      </c>
      <c r="D25" s="11" t="s">
        <v>123</v>
      </c>
      <c r="E25" s="11"/>
      <c r="F25" s="11" t="s">
        <v>3</v>
      </c>
      <c r="G25" s="16" t="s">
        <v>4</v>
      </c>
      <c r="I25" s="15"/>
      <c r="J25" s="32"/>
      <c r="K25" s="16" t="s">
        <v>78</v>
      </c>
      <c r="P25" s="38"/>
      <c r="V25" s="34" t="s">
        <v>467</v>
      </c>
      <c r="W25" s="20">
        <f>IF(YEAR(計算シート!H5)&gt;=1972,12,"")</f>
        <v>12</v>
      </c>
      <c r="X25" s="35">
        <f>IF(YEAR(計算シート!H5)&gt;=1972,31,"")</f>
        <v>31</v>
      </c>
      <c r="AB25" s="15"/>
      <c r="AC25" s="11"/>
      <c r="AD25" s="11"/>
      <c r="AE25" s="55"/>
    </row>
    <row r="26" spans="3:31">
      <c r="C26" s="15" t="s">
        <v>1</v>
      </c>
      <c r="D26" s="11" t="s">
        <v>52</v>
      </c>
      <c r="E26" s="11"/>
      <c r="F26" s="11" t="s">
        <v>126</v>
      </c>
      <c r="G26" s="16" t="s">
        <v>127</v>
      </c>
      <c r="I26" s="15"/>
      <c r="J26" s="32"/>
      <c r="K26" s="16" t="s">
        <v>79</v>
      </c>
      <c r="M26" s="12" t="s">
        <v>227</v>
      </c>
      <c r="N26" s="13"/>
      <c r="O26" s="14"/>
      <c r="V26" s="34" t="s">
        <v>467</v>
      </c>
      <c r="W26" s="20">
        <f>IF(YEAR(計算シート!H5)&gt;=1972,1,"")</f>
        <v>1</v>
      </c>
      <c r="X26" s="35">
        <f>IF(YEAR(計算シート!H5)&gt;=1972,1,"")</f>
        <v>1</v>
      </c>
      <c r="AB26" s="15"/>
      <c r="AC26" s="11"/>
      <c r="AD26" s="11"/>
      <c r="AE26" s="55"/>
    </row>
    <row r="27" spans="3:31">
      <c r="C27" s="15" t="s">
        <v>2</v>
      </c>
      <c r="D27" s="11" t="s">
        <v>124</v>
      </c>
      <c r="E27" s="11" t="s">
        <v>32</v>
      </c>
      <c r="F27" s="11" t="s">
        <v>125</v>
      </c>
      <c r="G27" s="16" t="s">
        <v>52</v>
      </c>
      <c r="I27" s="15"/>
      <c r="J27" s="32"/>
      <c r="K27" s="16" t="s">
        <v>80</v>
      </c>
      <c r="M27" s="15" t="s">
        <v>56</v>
      </c>
      <c r="N27" s="11" t="s">
        <v>57</v>
      </c>
      <c r="O27" s="16" t="s">
        <v>58</v>
      </c>
      <c r="V27" s="34" t="s">
        <v>467</v>
      </c>
      <c r="W27" s="20">
        <f>IF(YEAR(計算シート!H5)&gt;=1972,1,"")</f>
        <v>1</v>
      </c>
      <c r="X27" s="35">
        <f>IF(YEAR(計算シート!H5)&gt;=1972,2,"")</f>
        <v>2</v>
      </c>
      <c r="AB27" s="15"/>
      <c r="AC27" s="11"/>
      <c r="AD27" s="11"/>
      <c r="AE27" s="55"/>
    </row>
    <row r="28" spans="3:31">
      <c r="C28" s="15" t="s">
        <v>47</v>
      </c>
      <c r="D28" s="11" t="s">
        <v>125</v>
      </c>
      <c r="E28" s="11"/>
      <c r="F28" s="11" t="s">
        <v>25</v>
      </c>
      <c r="G28" s="16" t="s">
        <v>22</v>
      </c>
      <c r="I28" s="15"/>
      <c r="J28" s="32"/>
      <c r="K28" s="16" t="s">
        <v>81</v>
      </c>
      <c r="M28" s="34">
        <f>IF(YEAR(計算シート!H5)&gt;=2000,1,"")</f>
        <v>1</v>
      </c>
      <c r="N28" s="20">
        <f>IF(YEAR(計算シート!H5)&gt;=2000,2,"")</f>
        <v>2</v>
      </c>
      <c r="O28" s="39" t="str">
        <f>IF(YEAR(計算シート!H5)&gt;=2000,"月","")</f>
        <v>月</v>
      </c>
      <c r="V28" s="34" t="s">
        <v>467</v>
      </c>
      <c r="W28" s="20">
        <v>1</v>
      </c>
      <c r="X28" s="35">
        <v>3</v>
      </c>
      <c r="AB28" s="15"/>
      <c r="AC28" s="11"/>
      <c r="AD28" s="11"/>
      <c r="AE28" s="55"/>
    </row>
    <row r="29" spans="3:31">
      <c r="C29" s="15" t="s">
        <v>49</v>
      </c>
      <c r="D29" s="11" t="s">
        <v>50</v>
      </c>
      <c r="E29" s="11"/>
      <c r="F29" s="11" t="s">
        <v>26</v>
      </c>
      <c r="G29" s="16" t="s">
        <v>29</v>
      </c>
      <c r="I29" s="15"/>
      <c r="J29" s="32"/>
      <c r="K29" s="16" t="s">
        <v>82</v>
      </c>
      <c r="M29" s="34">
        <f>IF(YEAR(計算シート!H5)&gt;=2000,10,"")</f>
        <v>10</v>
      </c>
      <c r="N29" s="20">
        <f>IF(YEAR(計算シート!H5)&gt;=2000,2,"")</f>
        <v>2</v>
      </c>
      <c r="O29" s="39" t="str">
        <f>IF(YEAR(計算シート!H5)&gt;=2000,"月","")</f>
        <v>月</v>
      </c>
      <c r="V29" s="15" t="s">
        <v>544</v>
      </c>
      <c r="W29" s="20"/>
      <c r="X29" s="35"/>
      <c r="AB29" s="15"/>
      <c r="AC29" s="11"/>
      <c r="AD29" s="11"/>
      <c r="AE29" s="55"/>
    </row>
    <row r="30" spans="3:31">
      <c r="C30" s="15" t="s">
        <v>51</v>
      </c>
      <c r="D30" s="11">
        <f>MINUTE(D29)+HOUR(D29)*60</f>
        <v>465</v>
      </c>
      <c r="E30" s="11"/>
      <c r="F30" s="11" t="s">
        <v>27</v>
      </c>
      <c r="G30" s="16" t="s">
        <v>30</v>
      </c>
      <c r="I30" s="15"/>
      <c r="J30" s="32"/>
      <c r="K30" s="16" t="s">
        <v>83</v>
      </c>
      <c r="M30" s="56"/>
      <c r="N30" s="57"/>
      <c r="O30" s="55"/>
      <c r="V30" s="15" t="s">
        <v>545</v>
      </c>
      <c r="W30" s="20"/>
      <c r="X30" s="35"/>
      <c r="AB30" s="15"/>
      <c r="AC30" s="11"/>
      <c r="AD30" s="11"/>
      <c r="AE30" s="55"/>
    </row>
    <row r="31" spans="3:31">
      <c r="C31" s="15"/>
      <c r="D31" s="11"/>
      <c r="E31" s="11"/>
      <c r="F31" s="11"/>
      <c r="G31" s="16"/>
      <c r="I31" s="15"/>
      <c r="J31" s="32"/>
      <c r="K31" s="16" t="s">
        <v>84</v>
      </c>
      <c r="M31" s="56"/>
      <c r="N31" s="57"/>
      <c r="O31" s="55"/>
      <c r="V31" s="34"/>
      <c r="W31" s="20"/>
      <c r="X31" s="35"/>
      <c r="AB31" s="15"/>
      <c r="AC31" s="11"/>
      <c r="AD31" s="11"/>
      <c r="AE31" s="55"/>
    </row>
    <row r="32" spans="3:31">
      <c r="C32" s="15"/>
      <c r="D32" s="11"/>
      <c r="E32" s="11"/>
      <c r="F32" s="11"/>
      <c r="G32" s="16"/>
      <c r="I32" s="15"/>
      <c r="J32" s="32"/>
      <c r="K32" s="16" t="s">
        <v>85</v>
      </c>
      <c r="M32" s="56"/>
      <c r="N32" s="57"/>
      <c r="O32" s="55"/>
      <c r="V32" s="15"/>
      <c r="W32" s="20"/>
      <c r="X32" s="35"/>
      <c r="AB32" s="15"/>
      <c r="AC32" s="11"/>
      <c r="AD32" s="11"/>
      <c r="AE32" s="55"/>
    </row>
    <row r="33" spans="3:31" ht="14.25" thickBot="1">
      <c r="C33" s="17"/>
      <c r="D33" s="18">
        <v>3</v>
      </c>
      <c r="E33" s="18"/>
      <c r="F33" s="18"/>
      <c r="G33" s="19"/>
      <c r="I33" s="15"/>
      <c r="J33" s="32"/>
      <c r="K33" s="16" t="s">
        <v>78</v>
      </c>
      <c r="M33" s="56"/>
      <c r="N33" s="57"/>
      <c r="O33" s="55"/>
      <c r="V33" s="15"/>
      <c r="W33" s="11"/>
      <c r="X33" s="16"/>
      <c r="AB33" s="15"/>
      <c r="AC33" s="11"/>
      <c r="AD33" s="11"/>
      <c r="AE33" s="55"/>
    </row>
    <row r="34" spans="3:31">
      <c r="C34" s="12" t="s">
        <v>133</v>
      </c>
      <c r="D34" s="13">
        <v>2</v>
      </c>
      <c r="E34" s="13"/>
      <c r="F34" s="13"/>
      <c r="G34" s="14"/>
      <c r="I34" s="15"/>
      <c r="J34" s="32"/>
      <c r="K34" s="16" t="s">
        <v>79</v>
      </c>
      <c r="M34" s="56"/>
      <c r="N34" s="57"/>
      <c r="O34" s="55"/>
      <c r="V34" s="15"/>
      <c r="W34" s="11"/>
      <c r="X34" s="16"/>
      <c r="AB34" s="15"/>
      <c r="AC34" s="11"/>
      <c r="AD34" s="11"/>
      <c r="AE34" s="55"/>
    </row>
    <row r="35" spans="3:31" ht="14.25" thickBot="1">
      <c r="C35" s="15" t="s">
        <v>0</v>
      </c>
      <c r="D35" s="11" t="s">
        <v>20</v>
      </c>
      <c r="E35" s="11"/>
      <c r="F35" s="11" t="s">
        <v>3</v>
      </c>
      <c r="G35" s="16" t="s">
        <v>4</v>
      </c>
      <c r="I35" s="15"/>
      <c r="J35" s="32"/>
      <c r="K35" s="16" t="s">
        <v>80</v>
      </c>
      <c r="M35" s="56"/>
      <c r="N35" s="57"/>
      <c r="O35" s="55"/>
      <c r="V35" s="15"/>
      <c r="W35" s="11"/>
      <c r="X35" s="16"/>
      <c r="AB35" s="17"/>
      <c r="AC35" s="18"/>
      <c r="AD35" s="18"/>
      <c r="AE35" s="161"/>
    </row>
    <row r="36" spans="3:31">
      <c r="C36" s="15" t="s">
        <v>1</v>
      </c>
      <c r="D36" s="11" t="s">
        <v>53</v>
      </c>
      <c r="E36" s="11"/>
      <c r="F36" s="11" t="s">
        <v>126</v>
      </c>
      <c r="G36" s="16" t="s">
        <v>127</v>
      </c>
      <c r="I36" s="15"/>
      <c r="J36" s="32"/>
      <c r="K36" s="16" t="s">
        <v>81</v>
      </c>
      <c r="M36" s="56"/>
      <c r="N36" s="57"/>
      <c r="O36" s="55"/>
      <c r="V36" s="15"/>
      <c r="W36" s="11"/>
      <c r="X36" s="16"/>
    </row>
    <row r="37" spans="3:31" ht="14.25" thickBot="1">
      <c r="C37" s="15" t="s">
        <v>2</v>
      </c>
      <c r="D37" s="11" t="s">
        <v>22</v>
      </c>
      <c r="E37" s="11" t="s">
        <v>32</v>
      </c>
      <c r="F37" s="11" t="s">
        <v>24</v>
      </c>
      <c r="G37" s="16" t="s">
        <v>21</v>
      </c>
      <c r="I37" s="15"/>
      <c r="J37" s="32"/>
      <c r="K37" s="16" t="s">
        <v>82</v>
      </c>
      <c r="M37" s="56"/>
      <c r="N37" s="57"/>
      <c r="O37" s="55"/>
      <c r="V37" s="17"/>
      <c r="W37" s="18"/>
      <c r="X37" s="19"/>
    </row>
    <row r="38" spans="3:31" ht="14.25" thickBot="1">
      <c r="C38" s="15" t="s">
        <v>47</v>
      </c>
      <c r="D38" s="11" t="s">
        <v>48</v>
      </c>
      <c r="E38" s="11"/>
      <c r="F38" s="11" t="s">
        <v>25</v>
      </c>
      <c r="G38" s="16" t="s">
        <v>22</v>
      </c>
      <c r="I38" s="15"/>
      <c r="J38" s="32"/>
      <c r="K38" s="16" t="s">
        <v>83</v>
      </c>
      <c r="M38" s="58"/>
      <c r="N38" s="59"/>
      <c r="O38" s="19"/>
    </row>
    <row r="39" spans="3:31">
      <c r="C39" s="15" t="s">
        <v>49</v>
      </c>
      <c r="D39" s="11" t="s">
        <v>50</v>
      </c>
      <c r="E39" s="11"/>
      <c r="F39" s="11" t="s">
        <v>26</v>
      </c>
      <c r="G39" s="16" t="s">
        <v>29</v>
      </c>
      <c r="I39" s="15"/>
      <c r="J39" s="32"/>
      <c r="K39" s="16" t="s">
        <v>84</v>
      </c>
    </row>
    <row r="40" spans="3:31">
      <c r="C40" s="15" t="s">
        <v>51</v>
      </c>
      <c r="D40" s="11">
        <f>MINUTE(D39)+HOUR(D39)*60</f>
        <v>465</v>
      </c>
      <c r="E40" s="11"/>
      <c r="F40" s="11" t="s">
        <v>27</v>
      </c>
      <c r="G40" s="16" t="s">
        <v>30</v>
      </c>
      <c r="I40" s="15"/>
      <c r="J40" s="32"/>
      <c r="K40" s="16" t="s">
        <v>85</v>
      </c>
    </row>
    <row r="41" spans="3:31">
      <c r="C41" s="15"/>
      <c r="D41" s="11"/>
      <c r="E41" s="11"/>
      <c r="F41" s="11"/>
      <c r="G41" s="16"/>
      <c r="I41" s="15"/>
      <c r="J41" s="32"/>
      <c r="K41" s="16" t="s">
        <v>86</v>
      </c>
    </row>
    <row r="42" spans="3:31">
      <c r="C42" s="15"/>
      <c r="D42" s="11"/>
      <c r="E42" s="11"/>
      <c r="F42" s="11"/>
      <c r="G42" s="16"/>
      <c r="I42" s="15"/>
      <c r="J42" s="32"/>
      <c r="K42" s="16" t="s">
        <v>87</v>
      </c>
    </row>
    <row r="43" spans="3:31" ht="14.25" thickBot="1">
      <c r="C43" s="17"/>
      <c r="D43" s="18"/>
      <c r="E43" s="18"/>
      <c r="F43" s="18"/>
      <c r="G43" s="19"/>
      <c r="I43" s="15"/>
      <c r="J43" s="32"/>
      <c r="K43" s="16" t="s">
        <v>88</v>
      </c>
    </row>
    <row r="44" spans="3:31">
      <c r="C44" s="12" t="s">
        <v>134</v>
      </c>
      <c r="D44" s="13"/>
      <c r="E44" s="13"/>
      <c r="F44" s="13"/>
      <c r="G44" s="14"/>
      <c r="I44" s="15"/>
      <c r="J44" s="32"/>
      <c r="K44" s="16" t="s">
        <v>89</v>
      </c>
    </row>
    <row r="45" spans="3:31">
      <c r="C45" s="15" t="s">
        <v>0</v>
      </c>
      <c r="D45" s="11" t="s">
        <v>20</v>
      </c>
      <c r="E45" s="11"/>
      <c r="F45" s="11" t="s">
        <v>3</v>
      </c>
      <c r="G45" s="16" t="s">
        <v>4</v>
      </c>
      <c r="I45" s="15"/>
      <c r="J45" s="32"/>
      <c r="K45" s="16" t="s">
        <v>90</v>
      </c>
    </row>
    <row r="46" spans="3:31">
      <c r="C46" s="15" t="s">
        <v>1</v>
      </c>
      <c r="D46" s="11" t="s">
        <v>21</v>
      </c>
      <c r="E46" s="11"/>
      <c r="F46" s="11" t="s">
        <v>126</v>
      </c>
      <c r="G46" s="16" t="s">
        <v>127</v>
      </c>
      <c r="I46" s="15"/>
      <c r="J46" s="32"/>
      <c r="K46" s="16" t="s">
        <v>91</v>
      </c>
    </row>
    <row r="47" spans="3:31">
      <c r="C47" s="15" t="s">
        <v>2</v>
      </c>
      <c r="D47" s="11" t="s">
        <v>22</v>
      </c>
      <c r="E47" s="11" t="s">
        <v>32</v>
      </c>
      <c r="F47" s="11" t="s">
        <v>24</v>
      </c>
      <c r="G47" s="16" t="s">
        <v>21</v>
      </c>
      <c r="I47" s="15"/>
      <c r="J47" s="32"/>
      <c r="K47" s="16" t="s">
        <v>92</v>
      </c>
    </row>
    <row r="48" spans="3:31">
      <c r="C48" s="15" t="s">
        <v>47</v>
      </c>
      <c r="D48" s="11" t="s">
        <v>48</v>
      </c>
      <c r="E48" s="11"/>
      <c r="F48" s="11" t="s">
        <v>25</v>
      </c>
      <c r="G48" s="16" t="s">
        <v>22</v>
      </c>
      <c r="I48" s="15"/>
      <c r="J48" s="32"/>
      <c r="K48" s="16" t="s">
        <v>93</v>
      </c>
    </row>
    <row r="49" spans="3:11">
      <c r="C49" s="15" t="s">
        <v>49</v>
      </c>
      <c r="D49" s="11" t="s">
        <v>50</v>
      </c>
      <c r="E49" s="11"/>
      <c r="F49" s="11" t="s">
        <v>26</v>
      </c>
      <c r="G49" s="16" t="s">
        <v>29</v>
      </c>
      <c r="I49" s="15"/>
      <c r="J49" s="32"/>
      <c r="K49" s="16" t="s">
        <v>94</v>
      </c>
    </row>
    <row r="50" spans="3:11">
      <c r="C50" s="15" t="s">
        <v>51</v>
      </c>
      <c r="D50" s="11">
        <f>MINUTE(D49)+HOUR(D49)*60</f>
        <v>465</v>
      </c>
      <c r="E50" s="11"/>
      <c r="F50" s="11" t="s">
        <v>27</v>
      </c>
      <c r="G50" s="16" t="s">
        <v>30</v>
      </c>
      <c r="I50" s="15"/>
      <c r="J50" s="32"/>
      <c r="K50" s="16" t="s">
        <v>95</v>
      </c>
    </row>
    <row r="51" spans="3:11">
      <c r="C51" s="15"/>
      <c r="D51" s="11"/>
      <c r="E51" s="11"/>
      <c r="F51" s="11"/>
      <c r="G51" s="16"/>
      <c r="I51" s="15"/>
      <c r="J51" s="32"/>
      <c r="K51" s="16" t="s">
        <v>96</v>
      </c>
    </row>
    <row r="52" spans="3:11">
      <c r="C52" s="15"/>
      <c r="D52" s="11"/>
      <c r="E52" s="11"/>
      <c r="F52" s="11"/>
      <c r="G52" s="16"/>
      <c r="I52" s="15"/>
      <c r="J52" s="32"/>
      <c r="K52" s="16" t="s">
        <v>97</v>
      </c>
    </row>
    <row r="53" spans="3:11" ht="14.25" thickBot="1">
      <c r="C53" s="17"/>
      <c r="D53" s="18"/>
      <c r="E53" s="18"/>
      <c r="F53" s="18"/>
      <c r="G53" s="19"/>
      <c r="I53" s="15"/>
      <c r="J53" s="32"/>
      <c r="K53" s="16" t="s">
        <v>98</v>
      </c>
    </row>
    <row r="54" spans="3:11">
      <c r="C54" s="12" t="s">
        <v>128</v>
      </c>
      <c r="D54" s="13"/>
      <c r="E54" s="13"/>
      <c r="F54" s="13"/>
      <c r="G54" s="14"/>
      <c r="I54" s="15"/>
      <c r="J54" s="32"/>
      <c r="K54" s="16" t="s">
        <v>99</v>
      </c>
    </row>
    <row r="55" spans="3:11">
      <c r="C55" s="15" t="s">
        <v>0</v>
      </c>
      <c r="D55" s="11" t="s">
        <v>20</v>
      </c>
      <c r="E55" s="11"/>
      <c r="F55" s="11" t="s">
        <v>3</v>
      </c>
      <c r="G55" s="16" t="s">
        <v>4</v>
      </c>
      <c r="I55" s="15"/>
      <c r="J55" s="32"/>
      <c r="K55" s="16" t="s">
        <v>100</v>
      </c>
    </row>
    <row r="56" spans="3:11">
      <c r="C56" s="15" t="s">
        <v>1</v>
      </c>
      <c r="D56" s="11" t="s">
        <v>21</v>
      </c>
      <c r="E56" s="11"/>
      <c r="F56" s="11" t="s">
        <v>23</v>
      </c>
      <c r="G56" s="16" t="s">
        <v>28</v>
      </c>
      <c r="I56" s="15"/>
      <c r="J56" s="32"/>
      <c r="K56" s="16" t="s">
        <v>101</v>
      </c>
    </row>
    <row r="57" spans="3:11">
      <c r="C57" s="15" t="s">
        <v>2</v>
      </c>
      <c r="D57" s="11" t="s">
        <v>22</v>
      </c>
      <c r="E57" s="11" t="s">
        <v>32</v>
      </c>
      <c r="F57" s="11" t="s">
        <v>24</v>
      </c>
      <c r="G57" s="16" t="s">
        <v>21</v>
      </c>
      <c r="I57" s="15"/>
      <c r="J57" s="32"/>
      <c r="K57" s="16" t="s">
        <v>102</v>
      </c>
    </row>
    <row r="58" spans="3:11">
      <c r="C58" s="15" t="s">
        <v>47</v>
      </c>
      <c r="D58" s="11" t="s">
        <v>48</v>
      </c>
      <c r="E58" s="11"/>
      <c r="F58" s="11" t="s">
        <v>25</v>
      </c>
      <c r="G58" s="16" t="s">
        <v>22</v>
      </c>
      <c r="I58" s="15"/>
      <c r="J58" s="32"/>
      <c r="K58" s="16" t="s">
        <v>103</v>
      </c>
    </row>
    <row r="59" spans="3:11">
      <c r="C59" s="15" t="s">
        <v>49</v>
      </c>
      <c r="D59" s="11" t="s">
        <v>50</v>
      </c>
      <c r="E59" s="11"/>
      <c r="F59" s="11" t="s">
        <v>26</v>
      </c>
      <c r="G59" s="16" t="s">
        <v>29</v>
      </c>
      <c r="I59" s="15"/>
      <c r="J59" s="32"/>
      <c r="K59" s="16" t="s">
        <v>104</v>
      </c>
    </row>
    <row r="60" spans="3:11">
      <c r="C60" s="15" t="s">
        <v>51</v>
      </c>
      <c r="D60" s="11">
        <f>MINUTE(D59)+HOUR(D59)*60</f>
        <v>465</v>
      </c>
      <c r="E60" s="11"/>
      <c r="F60" s="11" t="s">
        <v>27</v>
      </c>
      <c r="G60" s="16" t="s">
        <v>30</v>
      </c>
      <c r="I60" s="15"/>
      <c r="J60" s="32"/>
      <c r="K60" s="16" t="s">
        <v>105</v>
      </c>
    </row>
    <row r="61" spans="3:11">
      <c r="C61" s="15"/>
      <c r="D61" s="11"/>
      <c r="E61" s="11"/>
      <c r="F61" s="11"/>
      <c r="G61" s="16"/>
      <c r="I61" s="15"/>
      <c r="J61" s="32"/>
      <c r="K61" s="16" t="s">
        <v>106</v>
      </c>
    </row>
    <row r="62" spans="3:11">
      <c r="C62" s="15"/>
      <c r="D62" s="11"/>
      <c r="E62" s="11"/>
      <c r="F62" s="11"/>
      <c r="G62" s="16"/>
      <c r="I62" s="15"/>
      <c r="J62" s="32"/>
      <c r="K62" s="16" t="s">
        <v>107</v>
      </c>
    </row>
    <row r="63" spans="3:11" ht="14.25" thickBot="1">
      <c r="C63" s="17"/>
      <c r="D63" s="18"/>
      <c r="E63" s="18"/>
      <c r="F63" s="18"/>
      <c r="G63" s="19"/>
      <c r="I63" s="15"/>
      <c r="J63" s="32"/>
      <c r="K63" s="16" t="s">
        <v>108</v>
      </c>
    </row>
    <row r="64" spans="3:11">
      <c r="I64" s="15"/>
      <c r="J64" s="32"/>
      <c r="K64" s="16" t="s">
        <v>109</v>
      </c>
    </row>
    <row r="65" spans="9:11">
      <c r="I65" s="15"/>
      <c r="J65" s="32"/>
      <c r="K65" s="16" t="s">
        <v>110</v>
      </c>
    </row>
    <row r="66" spans="9:11">
      <c r="I66" s="15"/>
      <c r="J66" s="32"/>
      <c r="K66" s="16" t="s">
        <v>111</v>
      </c>
    </row>
    <row r="67" spans="9:11">
      <c r="I67" s="15"/>
      <c r="J67" s="32"/>
      <c r="K67" s="16" t="s">
        <v>112</v>
      </c>
    </row>
    <row r="68" spans="9:11">
      <c r="I68" s="15"/>
      <c r="J68" s="32"/>
      <c r="K68" s="16" t="s">
        <v>113</v>
      </c>
    </row>
    <row r="69" spans="9:11">
      <c r="I69" s="15"/>
      <c r="J69" s="32"/>
      <c r="K69" s="16" t="s">
        <v>114</v>
      </c>
    </row>
    <row r="70" spans="9:11" ht="14.25" thickBot="1">
      <c r="I70" s="17"/>
      <c r="J70" s="33"/>
      <c r="K70" s="19" t="s">
        <v>115</v>
      </c>
    </row>
  </sheetData>
  <mergeCells count="2">
    <mergeCell ref="V4:X4"/>
    <mergeCell ref="AB4:AE4"/>
  </mergeCells>
  <phoneticPr fontId="2"/>
  <pageMargins left="0.75" right="0.75" top="1" bottom="1" header="0.51200000000000001" footer="0.51200000000000001"/>
  <headerFooter alignWithMargins="0"/>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BM20"/>
  <sheetViews>
    <sheetView showGridLines="0" topLeftCell="H7" zoomScale="60" zoomScaleNormal="75" workbookViewId="0">
      <selection activeCell="I18" sqref="I18"/>
    </sheetView>
  </sheetViews>
  <sheetFormatPr defaultRowHeight="13.5"/>
  <cols>
    <col min="1" max="1" width="14.25" customWidth="1"/>
    <col min="2" max="2" width="23.375" customWidth="1"/>
    <col min="3" max="3" width="4.25" customWidth="1"/>
    <col min="5" max="5" width="2.625" customWidth="1"/>
    <col min="7" max="7" width="2.625" customWidth="1"/>
    <col min="9" max="9" width="2.625" customWidth="1"/>
    <col min="11" max="11" width="2.625" customWidth="1"/>
    <col min="13" max="13" width="2.625" customWidth="1"/>
    <col min="15" max="15" width="2.625" customWidth="1"/>
    <col min="17" max="17" width="2.625" customWidth="1"/>
    <col min="19" max="19" width="2.625" customWidth="1"/>
    <col min="21" max="21" width="2.625" customWidth="1"/>
    <col min="23" max="23" width="2.625" customWidth="1"/>
    <col min="25" max="25" width="2.625" customWidth="1"/>
    <col min="27" max="27" width="2.625" customWidth="1"/>
    <col min="29" max="29" width="2.625" customWidth="1"/>
    <col min="31" max="31" width="2.625" customWidth="1"/>
    <col min="32" max="32" width="11.75" bestFit="1" customWidth="1"/>
    <col min="33" max="33" width="2.625" customWidth="1"/>
    <col min="35" max="35" width="2.625" customWidth="1"/>
    <col min="36" max="36" width="11.75" customWidth="1"/>
    <col min="37" max="37" width="2.625" customWidth="1"/>
    <col min="39" max="39" width="2.625" customWidth="1"/>
    <col min="40" max="40" width="12.5" customWidth="1"/>
    <col min="41" max="41" width="2.625" customWidth="1"/>
    <col min="43" max="43" width="2.625" customWidth="1"/>
    <col min="44" max="44" width="13.75" customWidth="1"/>
    <col min="45" max="45" width="2.625" customWidth="1"/>
    <col min="47" max="47" width="2.625" customWidth="1"/>
    <col min="48" max="48" width="11.75" customWidth="1"/>
    <col min="49" max="49" width="2.625" customWidth="1"/>
    <col min="51" max="51" width="2.625" customWidth="1"/>
    <col min="53" max="55" width="5.75" style="266" customWidth="1"/>
    <col min="56" max="56" width="18.125" customWidth="1"/>
  </cols>
  <sheetData>
    <row r="2" spans="1:65" ht="35.25" customHeight="1">
      <c r="A2" s="265" t="s">
        <v>330</v>
      </c>
    </row>
    <row r="3" spans="1:65" ht="7.5" customHeight="1"/>
    <row r="4" spans="1:65" ht="32.25" customHeight="1">
      <c r="A4" s="267" t="s">
        <v>331</v>
      </c>
    </row>
    <row r="5" spans="1:65" ht="32.25" customHeight="1">
      <c r="A5" s="267" t="s">
        <v>332</v>
      </c>
    </row>
    <row r="6" spans="1:65" ht="32.25" customHeight="1">
      <c r="A6" s="267" t="s">
        <v>333</v>
      </c>
    </row>
    <row r="9" spans="1:65" s="268" customFormat="1" ht="42.75" customHeight="1">
      <c r="D9" s="269" t="s">
        <v>316</v>
      </c>
      <c r="F9" s="270" t="s">
        <v>317</v>
      </c>
      <c r="H9" s="270" t="s">
        <v>318</v>
      </c>
      <c r="J9" s="270" t="s">
        <v>319</v>
      </c>
      <c r="L9" s="270" t="s">
        <v>320</v>
      </c>
      <c r="N9" s="271" t="s">
        <v>285</v>
      </c>
      <c r="P9" s="271" t="s">
        <v>286</v>
      </c>
      <c r="R9" s="269" t="s">
        <v>321</v>
      </c>
      <c r="T9" s="269" t="s">
        <v>322</v>
      </c>
      <c r="V9" s="271" t="s">
        <v>334</v>
      </c>
      <c r="X9" s="271" t="s">
        <v>335</v>
      </c>
      <c r="Z9" s="271" t="s">
        <v>323</v>
      </c>
      <c r="AB9" s="271" t="s">
        <v>324</v>
      </c>
      <c r="AD9" s="269" t="s">
        <v>325</v>
      </c>
      <c r="AF9" s="269" t="s">
        <v>336</v>
      </c>
      <c r="AH9" s="271" t="s">
        <v>337</v>
      </c>
      <c r="AJ9" s="269" t="s">
        <v>326</v>
      </c>
      <c r="AL9" s="271" t="s">
        <v>338</v>
      </c>
      <c r="AN9" s="269" t="s">
        <v>327</v>
      </c>
      <c r="AP9" s="271" t="s">
        <v>339</v>
      </c>
      <c r="AR9" s="269" t="s">
        <v>328</v>
      </c>
      <c r="AT9" s="271" t="s">
        <v>340</v>
      </c>
      <c r="AV9" s="269" t="s">
        <v>329</v>
      </c>
      <c r="AX9" s="271" t="s">
        <v>341</v>
      </c>
      <c r="AZ9" s="271" t="s">
        <v>531</v>
      </c>
      <c r="BA9" s="272"/>
      <c r="BB9" s="272"/>
      <c r="BC9" s="272"/>
    </row>
    <row r="10" spans="1:65" s="273" customFormat="1" ht="42.75" customHeight="1">
      <c r="D10" s="274" t="s">
        <v>342</v>
      </c>
      <c r="F10" s="275" t="s">
        <v>343</v>
      </c>
      <c r="H10" s="275" t="s">
        <v>343</v>
      </c>
      <c r="J10" s="275" t="s">
        <v>343</v>
      </c>
      <c r="L10" s="275" t="s">
        <v>343</v>
      </c>
      <c r="N10" s="276" t="s">
        <v>344</v>
      </c>
      <c r="P10" s="276" t="s">
        <v>344</v>
      </c>
      <c r="R10" s="274" t="s">
        <v>342</v>
      </c>
      <c r="T10" s="274" t="s">
        <v>342</v>
      </c>
      <c r="V10" s="276" t="s">
        <v>345</v>
      </c>
      <c r="X10" s="276" t="s">
        <v>345</v>
      </c>
      <c r="Z10" s="276" t="s">
        <v>345</v>
      </c>
      <c r="AB10" s="276" t="s">
        <v>345</v>
      </c>
      <c r="AD10" s="274" t="s">
        <v>342</v>
      </c>
      <c r="AF10" s="274" t="s">
        <v>342</v>
      </c>
      <c r="AH10" s="276" t="s">
        <v>345</v>
      </c>
      <c r="AJ10" s="274" t="s">
        <v>342</v>
      </c>
      <c r="AL10" s="276" t="s">
        <v>345</v>
      </c>
      <c r="AN10" s="274" t="s">
        <v>342</v>
      </c>
      <c r="AP10" s="276" t="s">
        <v>345</v>
      </c>
      <c r="AR10" s="274" t="s">
        <v>342</v>
      </c>
      <c r="AT10" s="276" t="s">
        <v>345</v>
      </c>
      <c r="AV10" s="274" t="s">
        <v>342</v>
      </c>
      <c r="AX10" s="276" t="s">
        <v>345</v>
      </c>
      <c r="AZ10" s="276" t="s">
        <v>345</v>
      </c>
      <c r="BA10" s="277"/>
      <c r="BB10" s="277"/>
      <c r="BC10" s="277"/>
    </row>
    <row r="11" spans="1:65" s="245" customFormat="1" ht="27" customHeight="1">
      <c r="D11" s="278">
        <f>入力シート!C47</f>
        <v>19</v>
      </c>
      <c r="F11" s="279">
        <f>入力シート!D47</f>
        <v>0</v>
      </c>
      <c r="G11" s="280"/>
      <c r="H11" s="279">
        <f>IF(入力シート!E47="",0,入力シート!E47)</f>
        <v>0</v>
      </c>
      <c r="I11" s="280"/>
      <c r="J11" s="279">
        <f>IF(入力シート!F47="",0,入力シート!F47)</f>
        <v>0</v>
      </c>
      <c r="K11" s="280"/>
      <c r="L11" s="279">
        <f>IF(入力シート!G47="",0,入力シート!G47)</f>
        <v>0</v>
      </c>
      <c r="N11" s="281">
        <f>hhmmtoNumber(入力シート!H47)</f>
        <v>0</v>
      </c>
      <c r="O11" s="282"/>
      <c r="P11" s="281">
        <f>hhmmtoNumber(T(入力シート!I47))</f>
        <v>0</v>
      </c>
      <c r="R11" s="278">
        <f>IF(入力シート!J47="",0,入力シート!J47)</f>
        <v>0</v>
      </c>
      <c r="T11" s="278">
        <f>入力シート!K47</f>
        <v>0</v>
      </c>
      <c r="V11" s="283">
        <f>hhmmtoNumber(入力シート!L47)</f>
        <v>0</v>
      </c>
      <c r="X11" s="281">
        <f>hhmmtoNumber(入力シート!N47)</f>
        <v>0</v>
      </c>
      <c r="Z11" s="281">
        <f>hhmmtoNumber(入力シート!O47)</f>
        <v>0</v>
      </c>
      <c r="AA11" s="282"/>
      <c r="AB11" s="281">
        <f>hhmmtoNumber(入力シート!P47)</f>
        <v>0</v>
      </c>
      <c r="AD11" s="278">
        <f>入力シート!Q47</f>
        <v>1</v>
      </c>
      <c r="AF11" s="278" t="str">
        <f>IF(AF18&lt;&gt;"", AF18, 0)</f>
        <v>352105434</v>
      </c>
      <c r="AH11" s="283">
        <f>IF(入力シート!Q45="",0,hhmmtoNumber(入力シート!Q45))</f>
        <v>6.3333333333333304</v>
      </c>
      <c r="AJ11" s="278" t="str">
        <f>IF(AG18&lt;&gt;"", AG18, 0)</f>
        <v>00000</v>
      </c>
      <c r="AL11" s="281">
        <f>IF(入力シート!R45="",0,hhmmtoNumber(入力シート!R45))</f>
        <v>0</v>
      </c>
      <c r="AN11" s="284" t="str">
        <f>IF(AH18&lt;&gt;"", AH18, 0)</f>
        <v>00000</v>
      </c>
      <c r="AO11" s="285"/>
      <c r="AP11" s="283">
        <f>IF(入力シート!S45="",0,hhmmtoNumber(入力シート!S45))</f>
        <v>0</v>
      </c>
      <c r="AQ11" s="285"/>
      <c r="AR11" s="284" t="str">
        <f>IF(AI18&lt;&gt;"", AI18, 0)</f>
        <v>00000</v>
      </c>
      <c r="AS11" s="285"/>
      <c r="AT11" s="283">
        <f>IF(入力シート!T45="",0,hhmmtoNumber(入力シート!T45))</f>
        <v>0</v>
      </c>
      <c r="AU11" s="285"/>
      <c r="AV11" s="284" t="str">
        <f>IF(AJ18&lt;&gt;"", AJ18, 0)</f>
        <v>00000</v>
      </c>
      <c r="AX11" s="281">
        <f>IF(入力シート!U45="",0,hhmmtoNumber(入力シート!U45))</f>
        <v>0</v>
      </c>
      <c r="AZ11" s="281">
        <f>IF(入力シート!R47="",0,hhmmtoNumber(入力シート!R47))</f>
        <v>0</v>
      </c>
      <c r="BA11" s="286"/>
      <c r="BB11" s="286"/>
      <c r="BC11" s="286"/>
    </row>
    <row r="12" spans="1:65" s="245" customFormat="1" ht="36.75" customHeight="1">
      <c r="A12" s="287"/>
      <c r="B12" s="288" t="s">
        <v>346</v>
      </c>
      <c r="C12" s="289"/>
      <c r="D12" s="290" t="s">
        <v>347</v>
      </c>
      <c r="E12" s="290"/>
      <c r="F12" s="290" t="s">
        <v>347</v>
      </c>
      <c r="G12" s="291"/>
      <c r="H12" s="290" t="s">
        <v>347</v>
      </c>
      <c r="I12" s="291"/>
      <c r="J12" s="290" t="s">
        <v>347</v>
      </c>
      <c r="K12" s="291"/>
      <c r="L12" s="290" t="s">
        <v>347</v>
      </c>
      <c r="M12" s="290"/>
      <c r="N12" s="290" t="s">
        <v>347</v>
      </c>
      <c r="O12" s="292"/>
      <c r="P12" s="290" t="s">
        <v>347</v>
      </c>
      <c r="Q12" s="290"/>
      <c r="R12" s="290" t="s">
        <v>347</v>
      </c>
      <c r="S12" s="290"/>
      <c r="T12" s="290" t="s">
        <v>347</v>
      </c>
      <c r="U12" s="290"/>
      <c r="V12" s="290" t="s">
        <v>347</v>
      </c>
      <c r="W12" s="290"/>
      <c r="X12" s="290" t="s">
        <v>347</v>
      </c>
      <c r="Y12" s="290"/>
      <c r="Z12" s="290" t="s">
        <v>347</v>
      </c>
      <c r="AA12" s="292"/>
      <c r="AB12" s="290" t="s">
        <v>347</v>
      </c>
      <c r="AC12" s="290"/>
      <c r="AD12" s="290" t="s">
        <v>347</v>
      </c>
      <c r="AE12" s="290"/>
      <c r="AF12" s="290" t="s">
        <v>347</v>
      </c>
      <c r="AG12" s="290"/>
      <c r="AH12" s="290" t="s">
        <v>347</v>
      </c>
      <c r="AI12" s="290"/>
      <c r="AJ12" s="290" t="s">
        <v>347</v>
      </c>
      <c r="AK12" s="290"/>
      <c r="AL12" s="290" t="s">
        <v>347</v>
      </c>
      <c r="AM12" s="290"/>
      <c r="AN12" s="290" t="s">
        <v>347</v>
      </c>
      <c r="AO12" s="290"/>
      <c r="AP12" s="290" t="s">
        <v>347</v>
      </c>
      <c r="AQ12" s="290"/>
      <c r="AR12" s="290" t="s">
        <v>347</v>
      </c>
      <c r="AS12" s="290"/>
      <c r="AT12" s="290" t="s">
        <v>347</v>
      </c>
      <c r="AU12" s="290"/>
      <c r="AV12" s="290" t="s">
        <v>347</v>
      </c>
      <c r="AW12" s="290"/>
      <c r="AX12" s="290" t="s">
        <v>347</v>
      </c>
      <c r="AY12" s="290"/>
      <c r="AZ12" s="290" t="s">
        <v>347</v>
      </c>
      <c r="BA12" s="293"/>
      <c r="BB12" s="293"/>
      <c r="BC12" s="293"/>
      <c r="BD12" s="290"/>
      <c r="BE12" s="290"/>
      <c r="BF12" s="290"/>
      <c r="BG12" s="290"/>
      <c r="BH12" s="290"/>
      <c r="BI12" s="290"/>
      <c r="BJ12" s="290"/>
      <c r="BK12" s="290"/>
      <c r="BL12" s="290"/>
      <c r="BM12" s="290"/>
    </row>
    <row r="13" spans="1:65" s="245" customFormat="1" ht="36.75" customHeight="1">
      <c r="A13" s="294" t="s">
        <v>348</v>
      </c>
      <c r="B13" s="295" t="s">
        <v>349</v>
      </c>
      <c r="D13" s="246">
        <v>1</v>
      </c>
      <c r="F13" s="296">
        <v>10</v>
      </c>
      <c r="H13" s="296">
        <v>10</v>
      </c>
      <c r="J13" s="296">
        <v>10</v>
      </c>
      <c r="L13" s="296">
        <v>10</v>
      </c>
      <c r="N13" s="247">
        <v>100</v>
      </c>
      <c r="P13" s="247">
        <v>100</v>
      </c>
      <c r="R13" s="246">
        <v>1</v>
      </c>
      <c r="T13" s="246">
        <v>1</v>
      </c>
      <c r="V13" s="247">
        <v>100</v>
      </c>
      <c r="X13" s="247">
        <v>100</v>
      </c>
      <c r="Z13" s="247">
        <v>100</v>
      </c>
      <c r="AB13" s="247">
        <v>100</v>
      </c>
      <c r="AD13" s="246">
        <v>1</v>
      </c>
      <c r="AF13" s="246">
        <v>1</v>
      </c>
      <c r="AH13" s="247">
        <v>100</v>
      </c>
      <c r="AJ13" s="246">
        <v>1</v>
      </c>
      <c r="AL13" s="247">
        <v>100</v>
      </c>
      <c r="AN13" s="246">
        <v>1</v>
      </c>
      <c r="AP13" s="247">
        <v>100</v>
      </c>
      <c r="AR13" s="246">
        <v>1</v>
      </c>
      <c r="AT13" s="247">
        <v>100</v>
      </c>
      <c r="AV13" s="246">
        <v>1</v>
      </c>
      <c r="AX13" s="247">
        <v>100</v>
      </c>
      <c r="AZ13" s="247">
        <v>100</v>
      </c>
      <c r="BA13" s="286"/>
      <c r="BB13" s="286"/>
      <c r="BC13" s="286"/>
    </row>
    <row r="14" spans="1:65" s="245" customFormat="1" ht="36.75" customHeight="1">
      <c r="A14" s="297"/>
      <c r="B14" s="298" t="s">
        <v>350</v>
      </c>
      <c r="C14" s="299"/>
      <c r="D14" s="245" t="s">
        <v>351</v>
      </c>
      <c r="F14" s="245" t="s">
        <v>351</v>
      </c>
      <c r="H14" s="245" t="s">
        <v>351</v>
      </c>
      <c r="J14" s="245" t="s">
        <v>351</v>
      </c>
      <c r="L14" s="245" t="s">
        <v>351</v>
      </c>
      <c r="N14" s="245" t="s">
        <v>351</v>
      </c>
      <c r="P14" s="245" t="s">
        <v>351</v>
      </c>
      <c r="R14" s="245" t="s">
        <v>351</v>
      </c>
      <c r="T14" s="245" t="s">
        <v>351</v>
      </c>
      <c r="V14" s="245" t="s">
        <v>351</v>
      </c>
      <c r="X14" s="245" t="s">
        <v>351</v>
      </c>
      <c r="Z14" s="245" t="s">
        <v>351</v>
      </c>
      <c r="AB14" s="245" t="s">
        <v>351</v>
      </c>
      <c r="AD14" s="245" t="s">
        <v>351</v>
      </c>
      <c r="AF14" s="245" t="s">
        <v>351</v>
      </c>
      <c r="AH14" s="245" t="s">
        <v>351</v>
      </c>
      <c r="AJ14" s="245" t="s">
        <v>351</v>
      </c>
      <c r="AL14" s="245" t="s">
        <v>351</v>
      </c>
      <c r="AN14" s="245" t="s">
        <v>351</v>
      </c>
      <c r="AP14" s="245" t="s">
        <v>351</v>
      </c>
      <c r="AR14" s="245" t="s">
        <v>351</v>
      </c>
      <c r="AT14" s="245" t="s">
        <v>351</v>
      </c>
      <c r="AV14" s="245" t="s">
        <v>351</v>
      </c>
      <c r="AX14" s="245" t="s">
        <v>351</v>
      </c>
      <c r="AZ14" s="245" t="s">
        <v>351</v>
      </c>
      <c r="BA14" s="286"/>
      <c r="BB14" s="286"/>
      <c r="BC14" s="286"/>
    </row>
    <row r="15" spans="1:65" s="245" customFormat="1" ht="36.75" customHeight="1">
      <c r="B15" s="300"/>
      <c r="D15" s="245" t="s">
        <v>351</v>
      </c>
      <c r="F15" s="245" t="s">
        <v>351</v>
      </c>
      <c r="H15" s="245" t="s">
        <v>351</v>
      </c>
      <c r="J15" s="245" t="s">
        <v>351</v>
      </c>
      <c r="L15" s="245" t="s">
        <v>351</v>
      </c>
      <c r="N15" s="245" t="s">
        <v>351</v>
      </c>
      <c r="P15" s="245" t="s">
        <v>351</v>
      </c>
      <c r="R15" s="245" t="s">
        <v>351</v>
      </c>
      <c r="T15" s="245" t="s">
        <v>351</v>
      </c>
      <c r="V15" s="245" t="s">
        <v>351</v>
      </c>
      <c r="X15" s="245" t="s">
        <v>351</v>
      </c>
      <c r="Z15" s="245" t="s">
        <v>351</v>
      </c>
      <c r="AB15" s="245" t="s">
        <v>351</v>
      </c>
      <c r="AD15" s="245" t="s">
        <v>351</v>
      </c>
      <c r="AF15" s="245" t="s">
        <v>351</v>
      </c>
      <c r="AH15" s="245" t="s">
        <v>351</v>
      </c>
      <c r="AJ15" s="245" t="s">
        <v>351</v>
      </c>
      <c r="AL15" s="245" t="s">
        <v>351</v>
      </c>
      <c r="AN15" s="245" t="s">
        <v>351</v>
      </c>
      <c r="AP15" s="245" t="s">
        <v>351</v>
      </c>
      <c r="AR15" s="245" t="s">
        <v>351</v>
      </c>
      <c r="AT15" s="245" t="s">
        <v>351</v>
      </c>
      <c r="AV15" s="245" t="s">
        <v>351</v>
      </c>
      <c r="AX15" s="245" t="s">
        <v>351</v>
      </c>
      <c r="AZ15" s="245" t="s">
        <v>351</v>
      </c>
      <c r="BA15" s="286"/>
      <c r="BB15" s="286"/>
      <c r="BC15" s="286"/>
    </row>
    <row r="16" spans="1:65" s="245" customFormat="1" ht="27.75" customHeight="1">
      <c r="A16" s="301" t="s">
        <v>352</v>
      </c>
      <c r="B16" s="245" t="s">
        <v>353</v>
      </c>
      <c r="D16" s="278">
        <f>D11</f>
        <v>19</v>
      </c>
      <c r="E16" s="290" t="s">
        <v>354</v>
      </c>
      <c r="F16" s="323">
        <f>F11*10</f>
        <v>0</v>
      </c>
      <c r="G16" s="324" t="s">
        <v>354</v>
      </c>
      <c r="H16" s="323">
        <f>H11*10</f>
        <v>0</v>
      </c>
      <c r="I16" s="324" t="s">
        <v>354</v>
      </c>
      <c r="J16" s="323">
        <f>J11*10</f>
        <v>0</v>
      </c>
      <c r="K16" s="324" t="s">
        <v>354</v>
      </c>
      <c r="L16" s="323">
        <f>L11*10</f>
        <v>0</v>
      </c>
      <c r="M16" s="324" t="s">
        <v>354</v>
      </c>
      <c r="N16" s="323">
        <f>N11*100</f>
        <v>0</v>
      </c>
      <c r="O16" s="324" t="s">
        <v>354</v>
      </c>
      <c r="P16" s="323">
        <f>P11*100</f>
        <v>0</v>
      </c>
      <c r="Q16" s="324" t="s">
        <v>354</v>
      </c>
      <c r="R16" s="323">
        <f>R11</f>
        <v>0</v>
      </c>
      <c r="S16" s="324" t="s">
        <v>354</v>
      </c>
      <c r="T16" s="323">
        <f>T11</f>
        <v>0</v>
      </c>
      <c r="U16" s="324" t="s">
        <v>354</v>
      </c>
      <c r="V16" s="323">
        <f>V11*100</f>
        <v>0</v>
      </c>
      <c r="W16" s="324" t="s">
        <v>354</v>
      </c>
      <c r="X16" s="323">
        <f>X11*100</f>
        <v>0</v>
      </c>
      <c r="Y16" s="324" t="s">
        <v>354</v>
      </c>
      <c r="Z16" s="323">
        <f>Z11*100</f>
        <v>0</v>
      </c>
      <c r="AA16" s="324" t="s">
        <v>354</v>
      </c>
      <c r="AB16" s="323">
        <f>AB11*100</f>
        <v>0</v>
      </c>
      <c r="AC16" s="324" t="s">
        <v>354</v>
      </c>
      <c r="AD16" s="323">
        <f>AD11</f>
        <v>1</v>
      </c>
      <c r="AE16" s="324" t="s">
        <v>354</v>
      </c>
      <c r="AF16" s="323">
        <f>AF11*1</f>
        <v>352105434</v>
      </c>
      <c r="AG16" s="324" t="s">
        <v>354</v>
      </c>
      <c r="AH16" s="323">
        <f>AH11*100</f>
        <v>633.33333333333303</v>
      </c>
      <c r="AI16" s="324" t="s">
        <v>354</v>
      </c>
      <c r="AJ16" s="323">
        <f>AJ11*1</f>
        <v>0</v>
      </c>
      <c r="AK16" s="324" t="s">
        <v>354</v>
      </c>
      <c r="AL16" s="323">
        <f>AL11*100</f>
        <v>0</v>
      </c>
      <c r="AM16" s="324" t="s">
        <v>354</v>
      </c>
      <c r="AN16" s="323">
        <f>AN11*1</f>
        <v>0</v>
      </c>
      <c r="AO16" s="324" t="s">
        <v>354</v>
      </c>
      <c r="AP16" s="323">
        <f>AP11*100</f>
        <v>0</v>
      </c>
      <c r="AQ16" s="324" t="s">
        <v>354</v>
      </c>
      <c r="AR16" s="323">
        <f>AR11*1</f>
        <v>0</v>
      </c>
      <c r="AS16" s="324" t="s">
        <v>354</v>
      </c>
      <c r="AT16" s="323">
        <f>AT11*100</f>
        <v>0</v>
      </c>
      <c r="AU16" s="324" t="s">
        <v>354</v>
      </c>
      <c r="AV16" s="323">
        <f>AV11*1</f>
        <v>0</v>
      </c>
      <c r="AW16" s="324" t="s">
        <v>354</v>
      </c>
      <c r="AX16" s="323">
        <f>AX11*100</f>
        <v>0</v>
      </c>
      <c r="AY16" s="324" t="s">
        <v>354</v>
      </c>
      <c r="AZ16" s="323">
        <f>AZ11*100</f>
        <v>0</v>
      </c>
      <c r="BA16" s="290" t="s">
        <v>355</v>
      </c>
      <c r="BB16" s="290"/>
      <c r="BC16" s="290"/>
      <c r="BD16" s="431">
        <f>SUM(D16,F16,H16,J16,L16,N16,P16,R16,T16,V16,X16,Z16,AB16,AD16,AF16,AH16,AJ16,AL16,AN16,AP16,AR16,AT16,AV16,AX16,AZ16)</f>
        <v>352106087.33333331</v>
      </c>
    </row>
    <row r="17" spans="1:56" s="245" customFormat="1" ht="27.75" customHeight="1">
      <c r="BA17" s="286"/>
      <c r="BB17" s="286"/>
      <c r="BC17" s="286"/>
    </row>
    <row r="18" spans="1:56" s="245" customFormat="1" ht="35.25" customHeight="1">
      <c r="A18" s="302" t="s">
        <v>356</v>
      </c>
      <c r="B18" s="303">
        <f>SUM(D16,F16,H16,J16,L16,N16,P16,R16,T16,V16,X16,Z16,AB16,AD16,AF16,AH16,AJ16,AL16,AN16,AP16,AR16,AT16,AV16,AX16,AZ16)</f>
        <v>352106087.33333331</v>
      </c>
      <c r="C18" s="1470" t="str">
        <f>RIGHT(TEXT(B18,"0"),9)</f>
        <v>352106087</v>
      </c>
      <c r="D18" s="1471"/>
      <c r="E18" s="1471"/>
      <c r="F18" s="1472"/>
      <c r="AF18" s="304" t="str">
        <f>getWorkNum(入力シート!Q12)</f>
        <v>352105434</v>
      </c>
      <c r="AG18" s="304" t="str">
        <f>getWorkNum(入力シート!R12)</f>
        <v>00000</v>
      </c>
      <c r="AH18" s="304" t="str">
        <f>getWorkNum(入力シート!S12)</f>
        <v>00000</v>
      </c>
      <c r="AI18" s="304" t="str">
        <f>getWorkNum(入力シート!T12)</f>
        <v>00000</v>
      </c>
      <c r="AJ18" s="304" t="str">
        <f>getWorkNum(入力シート!U12)</f>
        <v>00000</v>
      </c>
      <c r="AK18" s="304"/>
      <c r="AL18" s="304"/>
      <c r="BA18" s="286"/>
      <c r="BB18" s="286"/>
      <c r="BC18" s="286"/>
    </row>
    <row r="19" spans="1:56">
      <c r="AF19" t="str">
        <f>IF(AF16&lt;&gt;0, IF(AH16=0, "error",""), "")</f>
        <v/>
      </c>
      <c r="AH19" t="str">
        <f>IF(AH16&lt;&gt;0,IF(AF16=0,"error",""),"")</f>
        <v/>
      </c>
      <c r="AJ19" t="str">
        <f>IF(AJ16&lt;&gt;0, IF(AL16=0, "error",""), "")</f>
        <v/>
      </c>
      <c r="AL19" t="str">
        <f>IF(AL16&lt;&gt;0,IF(AJ16=0,"error",""),"")</f>
        <v/>
      </c>
      <c r="AN19" t="str">
        <f>IF(AN16&lt;&gt;0, IF(AP16=0, "error",""), "")</f>
        <v/>
      </c>
      <c r="AP19" t="str">
        <f>IF(AP16&lt;&gt;0,IF(AN16=0,"error",""),"")</f>
        <v/>
      </c>
      <c r="AR19" t="str">
        <f>IF(AR16&lt;&gt;0, IF(AT16=0, "error",""), "")</f>
        <v/>
      </c>
      <c r="AT19" t="str">
        <f>IF(AT16&lt;&gt;0,IF(AR16=0,"error",""),"")</f>
        <v/>
      </c>
      <c r="AV19" t="str">
        <f>IF(AV16&lt;&gt;0, IF(AX16=0, "error",""), "")</f>
        <v/>
      </c>
      <c r="AX19" t="str">
        <f>IF(AX16&lt;&gt;0,IF(AV16=0,"error",""),"")</f>
        <v/>
      </c>
      <c r="AZ19" t="str">
        <f>IF(AZ16&lt;&gt;0,IF(AX16=0,"error",""),"")</f>
        <v/>
      </c>
      <c r="BA19"/>
      <c r="BB19"/>
      <c r="BC19"/>
      <c r="BD19">
        <f>COUNTIF(AF19:AX19,"error")</f>
        <v>0</v>
      </c>
    </row>
    <row r="20" spans="1:56">
      <c r="BD20" t="str">
        <f>IF(BD19&gt;0,"※作番が未入力、もしくは作業時間が無い作番が設定されています。Q12:U12を確認してください。","")</f>
        <v/>
      </c>
    </row>
  </sheetData>
  <mergeCells count="1">
    <mergeCell ref="C18:F18"/>
  </mergeCells>
  <phoneticPr fontId="2"/>
  <pageMargins left="0.31" right="0.2" top="1" bottom="1" header="0.51200000000000001" footer="0.51200000000000001"/>
  <pageSetup paperSize="9" scale="34" orientation="landscape" r:id="rId1"/>
  <headerFooter alignWithMargins="0">
    <oddHeader>&amp;L&amp;24&amp;A</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82"/>
  <sheetViews>
    <sheetView topLeftCell="A49" workbookViewId="0">
      <selection activeCell="A85" sqref="A85"/>
    </sheetView>
  </sheetViews>
  <sheetFormatPr defaultRowHeight="13.5"/>
  <cols>
    <col min="1" max="1" width="87.625" customWidth="1"/>
  </cols>
  <sheetData>
    <row r="1" spans="1:1">
      <c r="A1" t="s">
        <v>205</v>
      </c>
    </row>
    <row r="2" spans="1:1">
      <c r="A2" t="s">
        <v>206</v>
      </c>
    </row>
    <row r="3" spans="1:1">
      <c r="A3" t="s">
        <v>207</v>
      </c>
    </row>
    <row r="4" spans="1:1">
      <c r="A4" t="s">
        <v>208</v>
      </c>
    </row>
    <row r="5" spans="1:1">
      <c r="A5" t="s">
        <v>209</v>
      </c>
    </row>
    <row r="6" spans="1:1">
      <c r="A6" t="s">
        <v>211</v>
      </c>
    </row>
    <row r="8" spans="1:1">
      <c r="A8" t="s">
        <v>210</v>
      </c>
    </row>
    <row r="9" spans="1:1">
      <c r="A9" t="s">
        <v>212</v>
      </c>
    </row>
    <row r="10" spans="1:1">
      <c r="A10" t="s">
        <v>207</v>
      </c>
    </row>
    <row r="11" spans="1:1">
      <c r="A11" t="s">
        <v>430</v>
      </c>
    </row>
    <row r="12" spans="1:1">
      <c r="A12" t="s">
        <v>213</v>
      </c>
    </row>
    <row r="14" spans="1:1">
      <c r="A14" t="s">
        <v>237</v>
      </c>
    </row>
    <row r="15" spans="1:1">
      <c r="A15" t="s">
        <v>218</v>
      </c>
    </row>
    <row r="16" spans="1:1">
      <c r="A16" t="s">
        <v>207</v>
      </c>
    </row>
    <row r="17" spans="1:1">
      <c r="A17" t="s">
        <v>214</v>
      </c>
    </row>
    <row r="18" spans="1:1">
      <c r="A18" t="s">
        <v>215</v>
      </c>
    </row>
    <row r="19" spans="1:1">
      <c r="A19" t="s">
        <v>216</v>
      </c>
    </row>
    <row r="20" spans="1:1">
      <c r="A20" t="s">
        <v>217</v>
      </c>
    </row>
    <row r="21" spans="1:1">
      <c r="A21" t="s">
        <v>242</v>
      </c>
    </row>
    <row r="22" spans="1:1">
      <c r="A22" t="s">
        <v>418</v>
      </c>
    </row>
    <row r="23" spans="1:1">
      <c r="A23" t="s">
        <v>416</v>
      </c>
    </row>
    <row r="24" spans="1:1">
      <c r="A24" t="s">
        <v>417</v>
      </c>
    </row>
    <row r="25" spans="1:1">
      <c r="A25" t="s">
        <v>419</v>
      </c>
    </row>
    <row r="26" spans="1:1">
      <c r="A26" t="s">
        <v>420</v>
      </c>
    </row>
    <row r="28" spans="1:1">
      <c r="A28" t="s">
        <v>238</v>
      </c>
    </row>
    <row r="29" spans="1:1">
      <c r="A29" t="s">
        <v>415</v>
      </c>
    </row>
    <row r="30" spans="1:1">
      <c r="A30" t="s">
        <v>207</v>
      </c>
    </row>
    <row r="31" spans="1:1">
      <c r="A31" t="s">
        <v>233</v>
      </c>
    </row>
    <row r="32" spans="1:1">
      <c r="A32" t="s">
        <v>234</v>
      </c>
    </row>
    <row r="34" spans="1:1">
      <c r="A34" t="s">
        <v>239</v>
      </c>
    </row>
    <row r="35" spans="1:1">
      <c r="A35" t="s">
        <v>219</v>
      </c>
    </row>
    <row r="36" spans="1:1">
      <c r="A36" t="s">
        <v>220</v>
      </c>
    </row>
    <row r="37" spans="1:1">
      <c r="A37" t="s">
        <v>221</v>
      </c>
    </row>
    <row r="39" spans="1:1">
      <c r="A39" t="s">
        <v>240</v>
      </c>
    </row>
    <row r="40" spans="1:1">
      <c r="A40" t="s">
        <v>224</v>
      </c>
    </row>
    <row r="41" spans="1:1">
      <c r="A41" t="s">
        <v>220</v>
      </c>
    </row>
    <row r="42" spans="1:1">
      <c r="A42" t="s">
        <v>226</v>
      </c>
    </row>
    <row r="44" spans="1:1">
      <c r="A44" t="s">
        <v>225</v>
      </c>
    </row>
    <row r="45" spans="1:1">
      <c r="A45" t="s">
        <v>230</v>
      </c>
    </row>
    <row r="46" spans="1:1">
      <c r="A46" t="s">
        <v>220</v>
      </c>
    </row>
    <row r="47" spans="1:1">
      <c r="A47" t="s">
        <v>229</v>
      </c>
    </row>
    <row r="48" spans="1:1">
      <c r="A48" t="s">
        <v>231</v>
      </c>
    </row>
    <row r="50" spans="1:1">
      <c r="A50" t="s">
        <v>241</v>
      </c>
    </row>
    <row r="51" spans="1:1">
      <c r="A51" t="s">
        <v>256</v>
      </c>
    </row>
    <row r="52" spans="1:1">
      <c r="A52" t="s">
        <v>220</v>
      </c>
    </row>
    <row r="53" spans="1:1">
      <c r="A53" t="s">
        <v>257</v>
      </c>
    </row>
    <row r="54" spans="1:1">
      <c r="A54" t="s">
        <v>258</v>
      </c>
    </row>
    <row r="56" spans="1:1">
      <c r="A56" t="s">
        <v>432</v>
      </c>
    </row>
    <row r="57" spans="1:1">
      <c r="A57" t="s">
        <v>433</v>
      </c>
    </row>
    <row r="58" spans="1:1">
      <c r="A58" t="s">
        <v>207</v>
      </c>
    </row>
    <row r="59" spans="1:1">
      <c r="A59" t="s">
        <v>434</v>
      </c>
    </row>
    <row r="60" spans="1:1">
      <c r="A60" t="s">
        <v>435</v>
      </c>
    </row>
    <row r="61" spans="1:1">
      <c r="A61" t="s">
        <v>436</v>
      </c>
    </row>
    <row r="63" spans="1:1">
      <c r="A63" t="s">
        <v>437</v>
      </c>
    </row>
    <row r="64" spans="1:1">
      <c r="A64" t="s">
        <v>439</v>
      </c>
    </row>
    <row r="65" spans="1:1">
      <c r="A65" t="s">
        <v>207</v>
      </c>
    </row>
    <row r="66" spans="1:1">
      <c r="A66" t="s">
        <v>438</v>
      </c>
    </row>
    <row r="68" spans="1:1">
      <c r="A68" t="s">
        <v>443</v>
      </c>
    </row>
    <row r="69" spans="1:1">
      <c r="A69" t="s">
        <v>444</v>
      </c>
    </row>
    <row r="70" spans="1:1">
      <c r="A70" t="s">
        <v>207</v>
      </c>
    </row>
    <row r="71" spans="1:1">
      <c r="A71" t="s">
        <v>445</v>
      </c>
    </row>
    <row r="73" spans="1:1">
      <c r="A73" t="s">
        <v>513</v>
      </c>
    </row>
    <row r="74" spans="1:1">
      <c r="A74" t="s">
        <v>511</v>
      </c>
    </row>
    <row r="75" spans="1:1">
      <c r="A75" t="s">
        <v>207</v>
      </c>
    </row>
    <row r="76" spans="1:1">
      <c r="A76" t="s">
        <v>512</v>
      </c>
    </row>
    <row r="78" spans="1:1">
      <c r="A78" t="s">
        <v>510</v>
      </c>
    </row>
    <row r="79" spans="1:1">
      <c r="A79" t="s">
        <v>236</v>
      </c>
    </row>
    <row r="80" spans="1:1">
      <c r="A80" t="s">
        <v>220</v>
      </c>
    </row>
    <row r="81" spans="1:1">
      <c r="A81" t="s">
        <v>235</v>
      </c>
    </row>
    <row r="82" spans="1:1">
      <c r="A82" s="148" t="s">
        <v>584</v>
      </c>
    </row>
  </sheetData>
  <phoneticPr fontId="2"/>
  <hyperlinks>
    <hyperlink ref="A82" r:id="rId1"/>
  </hyperlinks>
  <pageMargins left="0.75" right="0.75" top="1" bottom="1" header="0.51200000000000001" footer="0.5120000000000000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85"/>
  <sheetViews>
    <sheetView topLeftCell="B73" workbookViewId="0">
      <selection activeCell="D86" sqref="D86"/>
    </sheetView>
  </sheetViews>
  <sheetFormatPr defaultRowHeight="13.5"/>
  <cols>
    <col min="1" max="1" width="4" style="165" hidden="1" customWidth="1"/>
    <col min="2" max="2" width="8.875" style="426" customWidth="1"/>
    <col min="3" max="3" width="10.875" style="337" customWidth="1"/>
    <col min="4" max="4" width="47.125" style="166" customWidth="1"/>
    <col min="5" max="5" width="21.25" bestFit="1" customWidth="1"/>
  </cols>
  <sheetData>
    <row r="1" spans="1:4" s="150" customFormat="1">
      <c r="A1" s="164" t="s">
        <v>274</v>
      </c>
      <c r="B1" s="428" t="s">
        <v>244</v>
      </c>
      <c r="C1" s="336" t="s">
        <v>245</v>
      </c>
      <c r="D1" s="338" t="s">
        <v>243</v>
      </c>
    </row>
    <row r="2" spans="1:4">
      <c r="A2" s="165">
        <v>1</v>
      </c>
      <c r="B2" s="426">
        <v>1</v>
      </c>
      <c r="C2" s="337">
        <v>36120</v>
      </c>
      <c r="D2" s="166" t="s">
        <v>246</v>
      </c>
    </row>
    <row r="3" spans="1:4">
      <c r="A3" s="165">
        <v>2</v>
      </c>
      <c r="B3" s="426">
        <v>2</v>
      </c>
      <c r="C3" s="337">
        <v>36202</v>
      </c>
      <c r="D3" s="166" t="s">
        <v>248</v>
      </c>
    </row>
    <row r="4" spans="1:4">
      <c r="A4" s="165">
        <v>3</v>
      </c>
      <c r="B4" s="426">
        <v>3</v>
      </c>
      <c r="C4" s="337">
        <v>36983</v>
      </c>
      <c r="D4" s="166" t="s">
        <v>249</v>
      </c>
    </row>
    <row r="5" spans="1:4">
      <c r="D5" s="166" t="s">
        <v>250</v>
      </c>
    </row>
    <row r="6" spans="1:4">
      <c r="A6" s="165">
        <v>4</v>
      </c>
      <c r="B6" s="426">
        <v>3.1</v>
      </c>
      <c r="C6" s="337">
        <v>37167</v>
      </c>
      <c r="D6" s="166" t="s">
        <v>247</v>
      </c>
    </row>
    <row r="7" spans="1:4">
      <c r="A7" s="165">
        <v>5</v>
      </c>
      <c r="B7" s="426">
        <v>3.2</v>
      </c>
      <c r="C7" s="337">
        <v>37168</v>
      </c>
      <c r="D7" s="166" t="s">
        <v>255</v>
      </c>
    </row>
    <row r="8" spans="1:4">
      <c r="A8" s="165">
        <v>6</v>
      </c>
      <c r="B8" s="426">
        <v>3.3</v>
      </c>
      <c r="C8" s="337">
        <v>37196</v>
      </c>
      <c r="D8" s="166" t="s">
        <v>259</v>
      </c>
    </row>
    <row r="9" spans="1:4">
      <c r="D9" s="166" t="s">
        <v>260</v>
      </c>
    </row>
    <row r="10" spans="1:4">
      <c r="D10" s="166" t="s">
        <v>261</v>
      </c>
    </row>
    <row r="11" spans="1:4">
      <c r="A11" s="165">
        <v>7</v>
      </c>
      <c r="B11" s="426">
        <v>3.4</v>
      </c>
      <c r="C11" s="337">
        <v>37329</v>
      </c>
      <c r="D11" s="166" t="s">
        <v>270</v>
      </c>
    </row>
    <row r="12" spans="1:4">
      <c r="D12" s="166" t="s">
        <v>262</v>
      </c>
    </row>
    <row r="13" spans="1:4">
      <c r="D13" s="166" t="s">
        <v>268</v>
      </c>
    </row>
    <row r="14" spans="1:4">
      <c r="D14" s="166" t="s">
        <v>269</v>
      </c>
    </row>
    <row r="15" spans="1:4" ht="27">
      <c r="A15" s="165">
        <v>8</v>
      </c>
      <c r="B15" s="426">
        <v>3.5</v>
      </c>
      <c r="C15" s="337">
        <v>37440</v>
      </c>
      <c r="D15" s="166" t="s">
        <v>273</v>
      </c>
    </row>
    <row r="16" spans="1:4">
      <c r="A16" s="165">
        <v>9</v>
      </c>
      <c r="B16" s="426">
        <v>3.6</v>
      </c>
      <c r="C16" s="337">
        <v>37501</v>
      </c>
      <c r="D16" s="166" t="s">
        <v>275</v>
      </c>
    </row>
    <row r="17" spans="1:4">
      <c r="D17" s="166" t="s">
        <v>276</v>
      </c>
    </row>
    <row r="18" spans="1:4">
      <c r="A18" s="165">
        <v>10</v>
      </c>
      <c r="B18" s="426">
        <v>3.7</v>
      </c>
      <c r="C18" s="337">
        <v>37584</v>
      </c>
      <c r="D18" s="166" t="s">
        <v>277</v>
      </c>
    </row>
    <row r="19" spans="1:4">
      <c r="A19" s="165">
        <v>11</v>
      </c>
      <c r="B19" s="426">
        <v>4</v>
      </c>
      <c r="C19" s="337">
        <v>38078</v>
      </c>
      <c r="D19" s="166" t="s">
        <v>359</v>
      </c>
    </row>
    <row r="20" spans="1:4">
      <c r="D20" s="166" t="s">
        <v>360</v>
      </c>
    </row>
    <row r="21" spans="1:4" ht="27">
      <c r="A21" s="165">
        <v>12</v>
      </c>
      <c r="B21" s="426">
        <v>4.0999999999999996</v>
      </c>
      <c r="C21" s="337">
        <v>38090</v>
      </c>
      <c r="D21" s="166" t="s">
        <v>391</v>
      </c>
    </row>
    <row r="22" spans="1:4">
      <c r="D22" s="166" t="s">
        <v>392</v>
      </c>
    </row>
    <row r="23" spans="1:4" ht="27">
      <c r="D23" s="166" t="s">
        <v>394</v>
      </c>
    </row>
    <row r="24" spans="1:4">
      <c r="D24" s="166" t="s">
        <v>393</v>
      </c>
    </row>
    <row r="25" spans="1:4" ht="27">
      <c r="D25" s="166" t="s">
        <v>396</v>
      </c>
    </row>
    <row r="26" spans="1:4">
      <c r="D26" s="166" t="s">
        <v>395</v>
      </c>
    </row>
    <row r="27" spans="1:4">
      <c r="D27" s="166" t="s">
        <v>397</v>
      </c>
    </row>
    <row r="28" spans="1:4" ht="27">
      <c r="D28" s="166" t="s">
        <v>398</v>
      </c>
    </row>
    <row r="29" spans="1:4">
      <c r="D29" s="166" t="s">
        <v>401</v>
      </c>
    </row>
    <row r="30" spans="1:4" ht="27">
      <c r="D30" s="166" t="s">
        <v>402</v>
      </c>
    </row>
    <row r="31" spans="1:4" ht="27">
      <c r="D31" s="166" t="s">
        <v>421</v>
      </c>
    </row>
    <row r="32" spans="1:4">
      <c r="D32" s="166" t="s">
        <v>422</v>
      </c>
    </row>
    <row r="33" spans="1:4">
      <c r="A33" s="165">
        <v>13</v>
      </c>
      <c r="B33" s="426">
        <v>4.2</v>
      </c>
      <c r="C33" s="337">
        <v>38107</v>
      </c>
      <c r="D33" s="166" t="s">
        <v>428</v>
      </c>
    </row>
    <row r="34" spans="1:4">
      <c r="D34" s="166" t="s">
        <v>429</v>
      </c>
    </row>
    <row r="35" spans="1:4">
      <c r="D35" s="166" t="s">
        <v>431</v>
      </c>
    </row>
    <row r="36" spans="1:4" ht="40.5">
      <c r="D36" s="166" t="s">
        <v>440</v>
      </c>
    </row>
    <row r="37" spans="1:4" ht="27">
      <c r="D37" s="166" t="s">
        <v>454</v>
      </c>
    </row>
    <row r="38" spans="1:4" ht="27">
      <c r="D38" s="166" t="s">
        <v>441</v>
      </c>
    </row>
    <row r="39" spans="1:4" ht="27">
      <c r="A39" s="165">
        <v>14</v>
      </c>
      <c r="B39" s="426">
        <v>4.3</v>
      </c>
      <c r="C39" s="337">
        <v>37755</v>
      </c>
      <c r="D39" s="166" t="s">
        <v>448</v>
      </c>
    </row>
    <row r="40" spans="1:4">
      <c r="D40" s="166" t="s">
        <v>449</v>
      </c>
    </row>
    <row r="41" spans="1:4" ht="54">
      <c r="D41" s="166" t="s">
        <v>455</v>
      </c>
    </row>
    <row r="42" spans="1:4" ht="27">
      <c r="A42" s="165">
        <v>15</v>
      </c>
      <c r="B42" s="426">
        <v>4.4000000000000004</v>
      </c>
      <c r="C42" s="337">
        <v>38126</v>
      </c>
      <c r="D42" s="166" t="s">
        <v>456</v>
      </c>
    </row>
    <row r="43" spans="1:4">
      <c r="D43" s="166" t="s">
        <v>451</v>
      </c>
    </row>
    <row r="44" spans="1:4" ht="27">
      <c r="A44" s="165">
        <v>16</v>
      </c>
      <c r="B44" s="426">
        <v>4.5</v>
      </c>
      <c r="C44" s="337">
        <v>38141</v>
      </c>
      <c r="D44" s="166" t="s">
        <v>457</v>
      </c>
    </row>
    <row r="45" spans="1:4">
      <c r="D45" s="166" t="s">
        <v>453</v>
      </c>
    </row>
    <row r="46" spans="1:4">
      <c r="A46" s="165">
        <v>17</v>
      </c>
      <c r="B46" s="426">
        <v>4.5999999999999996</v>
      </c>
      <c r="C46" s="337">
        <v>38169</v>
      </c>
      <c r="D46" s="166" t="s">
        <v>460</v>
      </c>
    </row>
    <row r="47" spans="1:4">
      <c r="D47" s="166" t="s">
        <v>461</v>
      </c>
    </row>
    <row r="48" spans="1:4">
      <c r="D48" s="166" t="s">
        <v>462</v>
      </c>
    </row>
    <row r="49" spans="2:5" ht="27">
      <c r="B49" s="426">
        <v>4.7</v>
      </c>
      <c r="C49" s="337">
        <v>38310</v>
      </c>
      <c r="D49" s="166" t="s">
        <v>463</v>
      </c>
    </row>
    <row r="50" spans="2:5" ht="27">
      <c r="C50" s="337">
        <v>38326</v>
      </c>
      <c r="D50" s="166" t="s">
        <v>464</v>
      </c>
    </row>
    <row r="51" spans="2:5">
      <c r="B51" s="426">
        <v>4.8</v>
      </c>
      <c r="C51" s="337">
        <v>38338</v>
      </c>
      <c r="D51" s="166" t="s">
        <v>465</v>
      </c>
    </row>
    <row r="52" spans="2:5" ht="40.5">
      <c r="D52" s="166" t="s">
        <v>466</v>
      </c>
    </row>
    <row r="53" spans="2:5" ht="27">
      <c r="B53" s="426">
        <v>4.9000000000000004</v>
      </c>
      <c r="C53" s="337">
        <v>38390</v>
      </c>
      <c r="D53" s="166" t="s">
        <v>470</v>
      </c>
    </row>
    <row r="54" spans="2:5" ht="27">
      <c r="D54" s="166" t="s">
        <v>504</v>
      </c>
    </row>
    <row r="55" spans="2:5" ht="40.5">
      <c r="B55" s="427" t="s">
        <v>516</v>
      </c>
      <c r="C55" s="337">
        <v>38419</v>
      </c>
      <c r="D55" s="166" t="s">
        <v>509</v>
      </c>
    </row>
    <row r="56" spans="2:5">
      <c r="D56" s="166" t="s">
        <v>507</v>
      </c>
    </row>
    <row r="57" spans="2:5" ht="27">
      <c r="D57" s="166" t="s">
        <v>518</v>
      </c>
    </row>
    <row r="58" spans="2:5">
      <c r="D58" s="166" t="s">
        <v>508</v>
      </c>
    </row>
    <row r="59" spans="2:5">
      <c r="C59" s="337">
        <v>38502</v>
      </c>
      <c r="D59" s="166" t="s">
        <v>517</v>
      </c>
    </row>
    <row r="60" spans="2:5">
      <c r="B60" s="426" t="s">
        <v>519</v>
      </c>
      <c r="C60" s="337">
        <v>38520</v>
      </c>
      <c r="D60" s="166" t="s">
        <v>520</v>
      </c>
    </row>
    <row r="61" spans="2:5">
      <c r="B61" s="426" t="s">
        <v>532</v>
      </c>
      <c r="C61" s="337">
        <v>38807</v>
      </c>
      <c r="D61" s="166" t="s">
        <v>530</v>
      </c>
    </row>
    <row r="62" spans="2:5">
      <c r="B62" s="426" t="s">
        <v>573</v>
      </c>
      <c r="C62" s="337">
        <v>39517</v>
      </c>
      <c r="D62" s="166" t="s">
        <v>571</v>
      </c>
      <c r="E62" t="s">
        <v>574</v>
      </c>
    </row>
    <row r="63" spans="2:5">
      <c r="B63" s="426" t="s">
        <v>577</v>
      </c>
      <c r="C63" s="337">
        <v>39626</v>
      </c>
      <c r="D63" s="166" t="s">
        <v>578</v>
      </c>
      <c r="E63" t="s">
        <v>579</v>
      </c>
    </row>
    <row r="64" spans="2:5">
      <c r="C64" s="337">
        <v>40184</v>
      </c>
      <c r="D64" s="166" t="s">
        <v>580</v>
      </c>
      <c r="E64" t="s">
        <v>581</v>
      </c>
    </row>
    <row r="65" spans="2:5" ht="27">
      <c r="C65" s="337">
        <v>40191</v>
      </c>
      <c r="D65" s="166" t="s">
        <v>583</v>
      </c>
      <c r="E65" t="s">
        <v>581</v>
      </c>
    </row>
    <row r="66" spans="2:5" ht="27">
      <c r="B66" s="426" t="s">
        <v>604</v>
      </c>
      <c r="C66" s="337">
        <v>40603</v>
      </c>
      <c r="D66" s="166" t="s">
        <v>606</v>
      </c>
      <c r="E66" t="s">
        <v>605</v>
      </c>
    </row>
    <row r="67" spans="2:5" ht="94.5">
      <c r="B67" s="426" t="s">
        <v>607</v>
      </c>
      <c r="C67" s="337">
        <v>40877</v>
      </c>
      <c r="D67" s="166" t="s">
        <v>610</v>
      </c>
      <c r="E67" t="s">
        <v>608</v>
      </c>
    </row>
    <row r="68" spans="2:5">
      <c r="B68" s="426" t="s">
        <v>611</v>
      </c>
      <c r="C68" s="337">
        <v>40940</v>
      </c>
      <c r="D68" s="166" t="s">
        <v>614</v>
      </c>
    </row>
    <row r="69" spans="2:5" ht="27">
      <c r="B69" s="426" t="s">
        <v>615</v>
      </c>
      <c r="C69" s="337">
        <v>41422</v>
      </c>
      <c r="D69" s="166" t="s">
        <v>617</v>
      </c>
      <c r="E69" t="s">
        <v>616</v>
      </c>
    </row>
    <row r="70" spans="2:5" ht="54">
      <c r="B70" s="426" t="s">
        <v>638</v>
      </c>
      <c r="C70" s="337">
        <v>41730</v>
      </c>
      <c r="D70" s="166" t="s">
        <v>639</v>
      </c>
      <c r="E70" t="s">
        <v>616</v>
      </c>
    </row>
    <row r="71" spans="2:5" ht="67.5">
      <c r="B71" s="426" t="s">
        <v>675</v>
      </c>
      <c r="C71" s="337">
        <v>41787</v>
      </c>
      <c r="D71" s="166" t="s">
        <v>676</v>
      </c>
      <c r="E71" t="s">
        <v>616</v>
      </c>
    </row>
    <row r="72" spans="2:5" ht="40.5">
      <c r="B72" s="426" t="s">
        <v>673</v>
      </c>
      <c r="C72" s="337">
        <v>42075</v>
      </c>
      <c r="D72" s="166" t="s">
        <v>674</v>
      </c>
      <c r="E72" t="s">
        <v>616</v>
      </c>
    </row>
    <row r="74" spans="2:5">
      <c r="B74" s="426" t="s">
        <v>680</v>
      </c>
      <c r="C74" s="337">
        <v>42282</v>
      </c>
      <c r="D74" s="166" t="s">
        <v>681</v>
      </c>
      <c r="E74" t="s">
        <v>616</v>
      </c>
    </row>
    <row r="75" spans="2:5" ht="27">
      <c r="B75" s="426" t="s">
        <v>682</v>
      </c>
      <c r="C75" s="337">
        <v>42312</v>
      </c>
      <c r="D75" s="166" t="s">
        <v>683</v>
      </c>
      <c r="E75" t="s">
        <v>616</v>
      </c>
    </row>
    <row r="76" spans="2:5" ht="27">
      <c r="B76" s="426" t="s">
        <v>686</v>
      </c>
      <c r="C76" s="337">
        <v>42473</v>
      </c>
      <c r="D76" s="166" t="s">
        <v>688</v>
      </c>
      <c r="E76" t="s">
        <v>687</v>
      </c>
    </row>
    <row r="77" spans="2:5" ht="27">
      <c r="B77" s="426" t="s">
        <v>689</v>
      </c>
      <c r="C77" s="337">
        <v>42513</v>
      </c>
      <c r="D77" s="166" t="s">
        <v>690</v>
      </c>
      <c r="E77" t="s">
        <v>691</v>
      </c>
    </row>
    <row r="78" spans="2:5">
      <c r="B78" s="426" t="s">
        <v>692</v>
      </c>
      <c r="C78" s="337">
        <v>42793</v>
      </c>
      <c r="D78" s="166" t="s">
        <v>693</v>
      </c>
      <c r="E78" t="s">
        <v>616</v>
      </c>
    </row>
    <row r="79" spans="2:5">
      <c r="B79" s="426" t="s">
        <v>694</v>
      </c>
      <c r="C79" s="337">
        <v>42842</v>
      </c>
      <c r="D79" s="166" t="s">
        <v>695</v>
      </c>
      <c r="E79" t="s">
        <v>616</v>
      </c>
    </row>
    <row r="80" spans="2:5">
      <c r="B80" s="426" t="s">
        <v>696</v>
      </c>
      <c r="C80" s="337">
        <v>42856</v>
      </c>
      <c r="D80" s="166" t="s">
        <v>697</v>
      </c>
      <c r="E80" t="s">
        <v>616</v>
      </c>
    </row>
    <row r="81" spans="2:5" ht="27">
      <c r="B81" s="426" t="s">
        <v>722</v>
      </c>
      <c r="C81" s="337">
        <v>42917</v>
      </c>
      <c r="D81" s="166" t="s">
        <v>730</v>
      </c>
      <c r="E81" t="s">
        <v>616</v>
      </c>
    </row>
    <row r="82" spans="2:5">
      <c r="B82" s="426" t="s">
        <v>740</v>
      </c>
      <c r="C82" s="337">
        <v>42979</v>
      </c>
      <c r="D82" s="166" t="s">
        <v>741</v>
      </c>
      <c r="E82" t="s">
        <v>616</v>
      </c>
    </row>
    <row r="83" spans="2:5" ht="27">
      <c r="B83" s="426" t="s">
        <v>734</v>
      </c>
      <c r="C83" s="337">
        <v>43001</v>
      </c>
      <c r="D83" s="166" t="s">
        <v>733</v>
      </c>
      <c r="E83" t="s">
        <v>732</v>
      </c>
    </row>
    <row r="84" spans="2:5" ht="67.5">
      <c r="B84" s="426" t="s">
        <v>782</v>
      </c>
      <c r="C84" s="337">
        <v>43510</v>
      </c>
      <c r="D84" s="166" t="s">
        <v>783</v>
      </c>
      <c r="E84" t="s">
        <v>616</v>
      </c>
    </row>
    <row r="85" spans="2:5" ht="135">
      <c r="B85" s="426" t="s">
        <v>790</v>
      </c>
      <c r="C85" s="337">
        <v>43800</v>
      </c>
      <c r="D85" s="166" t="s">
        <v>791</v>
      </c>
      <c r="E85" t="s">
        <v>616</v>
      </c>
    </row>
  </sheetData>
  <phoneticPr fontId="2"/>
  <pageMargins left="0.75" right="0.75" top="1" bottom="1" header="0.51200000000000001" footer="0.51200000000000001"/>
  <pageSetup paperSize="9" orientation="portrait" horizontalDpi="0"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21</vt:i4>
      </vt:variant>
    </vt:vector>
  </HeadingPairs>
  <TitlesOfParts>
    <vt:vector size="34" baseType="lpstr">
      <vt:lpstr>入力シート</vt:lpstr>
      <vt:lpstr>計算シート</vt:lpstr>
      <vt:lpstr>提出用紙</vt:lpstr>
      <vt:lpstr>業務完了報告書</vt:lpstr>
      <vt:lpstr>稼働実績内訳書</vt:lpstr>
      <vt:lpstr>派遣先管理台帳（タイムシート）</vt:lpstr>
      <vt:lpstr>実費精算書</vt:lpstr>
      <vt:lpstr>交通費請求書兼精算書</vt:lpstr>
      <vt:lpstr>タイムテーブル</vt:lpstr>
      <vt:lpstr>詳細設定</vt:lpstr>
      <vt:lpstr>C-SUM</vt:lpstr>
      <vt:lpstr>FAQ</vt:lpstr>
      <vt:lpstr>変更履歴</vt:lpstr>
      <vt:lpstr>稼働実績内訳書!Print_Area</vt:lpstr>
      <vt:lpstr>業務完了報告書!Print_Area</vt:lpstr>
      <vt:lpstr>計算シート!Print_Area</vt:lpstr>
      <vt:lpstr>実費精算書!Print_Area</vt:lpstr>
      <vt:lpstr>提出用紙!Print_Area</vt:lpstr>
      <vt:lpstr>入力シート!Print_Area</vt:lpstr>
      <vt:lpstr>'派遣先管理台帳（タイムシート）'!Print_Area</vt:lpstr>
      <vt:lpstr>実費精算書!Print_Titles</vt:lpstr>
      <vt:lpstr>提出用紙!月</vt:lpstr>
      <vt:lpstr>月</vt:lpstr>
      <vt:lpstr>'派遣先管理台帳（タイムシート）'!時間２４</vt:lpstr>
      <vt:lpstr>時間外表示</vt:lpstr>
      <vt:lpstr>終了時間</vt:lpstr>
      <vt:lpstr>所属</vt:lpstr>
      <vt:lpstr>深夜時間表示</vt:lpstr>
      <vt:lpstr>担当氏名</vt:lpstr>
      <vt:lpstr>提出用紙!年</vt:lpstr>
      <vt:lpstr>'派遣先管理台帳（タイムシート）'!年</vt:lpstr>
      <vt:lpstr>年</vt:lpstr>
      <vt:lpstr>年月</vt:lpstr>
      <vt:lpstr>役職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d0017075</dc:creator>
  <cp:lastModifiedBy>李　学強</cp:lastModifiedBy>
  <cp:lastPrinted>2019-11-29T06:27:53Z</cp:lastPrinted>
  <dcterms:created xsi:type="dcterms:W3CDTF">1999-02-11T01:28:04Z</dcterms:created>
  <dcterms:modified xsi:type="dcterms:W3CDTF">2021-01-26T10:39:10Z</dcterms:modified>
</cp:coreProperties>
</file>